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2\kinh doanh\VO THANH HIEU\RING--\15\"/>
    </mc:Choice>
  </mc:AlternateContent>
  <bookViews>
    <workbookView xWindow="0" yWindow="0" windowWidth="24000" windowHeight="9630" tabRatio="574" firstSheet="4" activeTab="4"/>
  </bookViews>
  <sheets>
    <sheet name="Ring" sheetId="137" state="hidden" r:id="rId1"/>
    <sheet name="don hang" sheetId="138" state="hidden" r:id="rId2"/>
    <sheet name="Reel" sheetId="86" state="hidden" r:id="rId3"/>
    <sheet name="Info" sheetId="139" state="hidden" r:id="rId4"/>
    <sheet name="upload" sheetId="141" r:id="rId5"/>
    <sheet name="upload1" sheetId="147" r:id="rId6"/>
    <sheet name="data" sheetId="143" r:id="rId7"/>
  </sheets>
  <externalReferences>
    <externalReference r:id="rId8"/>
  </externalReferences>
  <definedNames>
    <definedName name="_xlnm._FilterDatabase" localSheetId="6" hidden="1">data!$B$3:$K$302</definedName>
    <definedName name="_xlnm._FilterDatabase" localSheetId="1" hidden="1">'don hang'!$A$2:$I$128</definedName>
    <definedName name="_xlnm._FilterDatabase" localSheetId="2" hidden="1">Reel!$A$1:$AC$170</definedName>
    <definedName name="_xlnm._FilterDatabase" localSheetId="0" hidden="1">Ring!$A$2:$AC$96</definedName>
    <definedName name="_xlnm._FilterDatabase" localSheetId="4" hidden="1">upload!$A$2:$J$356</definedName>
    <definedName name="_xlnm._FilterDatabase" localSheetId="5" hidden="1">upload1!$A$2:$J$2</definedName>
    <definedName name="_xlnm.Print_Area" localSheetId="6">data!$B$1:$J$106</definedName>
    <definedName name="_xlnm.Print_Area" localSheetId="4">upload!$A$1:$M$208</definedName>
  </definedNames>
  <calcPr calcId="162913"/>
</workbook>
</file>

<file path=xl/calcChain.xml><?xml version="1.0" encoding="utf-8"?>
<calcChain xmlns="http://schemas.openxmlformats.org/spreadsheetml/2006/main">
  <c r="H227" i="147" l="1"/>
  <c r="H226" i="147"/>
  <c r="H225" i="147"/>
  <c r="H224" i="147"/>
  <c r="H223" i="147"/>
  <c r="H222" i="147"/>
  <c r="H221" i="147"/>
  <c r="H220" i="147"/>
  <c r="H219" i="147"/>
  <c r="H218" i="147"/>
  <c r="H217" i="147"/>
  <c r="H216" i="147"/>
  <c r="H215" i="147"/>
  <c r="H214" i="147"/>
  <c r="H213" i="147"/>
  <c r="H212" i="147"/>
  <c r="H211" i="147"/>
  <c r="H210" i="147"/>
  <c r="H209" i="147"/>
  <c r="H208" i="147"/>
  <c r="H207" i="147"/>
  <c r="H206" i="147"/>
  <c r="H205" i="147"/>
  <c r="H204" i="147"/>
  <c r="H203" i="147"/>
  <c r="H202" i="147"/>
  <c r="H201" i="147"/>
  <c r="H200" i="147"/>
  <c r="H199" i="147"/>
  <c r="H198" i="147"/>
  <c r="H197" i="147"/>
  <c r="H196" i="147"/>
  <c r="H195" i="147"/>
  <c r="H194" i="147"/>
  <c r="H193" i="147"/>
  <c r="H192" i="147"/>
  <c r="H191" i="147"/>
  <c r="H190" i="147"/>
  <c r="H189" i="147"/>
  <c r="H188" i="147"/>
  <c r="H187" i="147"/>
  <c r="H186" i="147"/>
  <c r="H185" i="147"/>
  <c r="H184" i="147"/>
  <c r="H183" i="147"/>
  <c r="H182" i="147"/>
  <c r="H181" i="147"/>
  <c r="H180" i="147"/>
  <c r="H179" i="147"/>
  <c r="H178" i="147"/>
  <c r="H177" i="147"/>
  <c r="H176" i="147"/>
  <c r="H175" i="147"/>
  <c r="H174" i="147"/>
  <c r="H173" i="147"/>
  <c r="H172" i="147"/>
  <c r="H171" i="147"/>
  <c r="H170" i="147"/>
  <c r="H169" i="147"/>
  <c r="H168" i="147"/>
  <c r="H167" i="147"/>
  <c r="H166" i="147"/>
  <c r="H165" i="147"/>
  <c r="H164" i="147"/>
  <c r="H163" i="147"/>
  <c r="H162" i="147"/>
  <c r="H161" i="147"/>
  <c r="H160" i="147"/>
  <c r="H159" i="147"/>
  <c r="H158" i="147"/>
  <c r="H157" i="147"/>
  <c r="H156" i="147"/>
  <c r="H155" i="147"/>
  <c r="H154" i="147"/>
  <c r="H153" i="147"/>
  <c r="H152" i="147"/>
  <c r="H151" i="147"/>
  <c r="H150" i="147"/>
  <c r="H149" i="147"/>
  <c r="H148" i="147"/>
  <c r="H147" i="147"/>
  <c r="H146" i="147"/>
  <c r="H145" i="147"/>
  <c r="H144" i="147"/>
  <c r="H143" i="147"/>
  <c r="H142" i="147"/>
  <c r="H141" i="147"/>
  <c r="H140" i="147"/>
  <c r="H139" i="147"/>
  <c r="H138" i="147"/>
  <c r="H137" i="147"/>
  <c r="H136" i="147"/>
  <c r="H135" i="147"/>
  <c r="H134" i="147"/>
  <c r="H133" i="147"/>
  <c r="H132" i="147"/>
  <c r="H131" i="147"/>
  <c r="H130" i="147"/>
  <c r="H129" i="147"/>
  <c r="H128" i="147"/>
  <c r="H127" i="147"/>
  <c r="H126" i="147"/>
  <c r="H125" i="147"/>
  <c r="H124" i="147"/>
  <c r="H123" i="147"/>
  <c r="H122" i="147"/>
  <c r="H121" i="147"/>
  <c r="H120" i="147"/>
  <c r="H119" i="147"/>
  <c r="H118" i="147"/>
  <c r="H117" i="147"/>
  <c r="H116" i="147"/>
  <c r="H115" i="147"/>
  <c r="H114" i="147"/>
  <c r="H113" i="147"/>
  <c r="H112" i="147"/>
  <c r="H111" i="147"/>
  <c r="H110" i="147"/>
  <c r="H109" i="147"/>
  <c r="H108" i="147"/>
  <c r="H107" i="147"/>
  <c r="H106" i="147"/>
  <c r="H105" i="147"/>
  <c r="H104" i="147"/>
  <c r="H103" i="147"/>
  <c r="H102" i="147"/>
  <c r="H101" i="147"/>
  <c r="H100" i="147"/>
  <c r="H99" i="147"/>
  <c r="H98" i="147"/>
  <c r="H97" i="147"/>
  <c r="H96" i="147"/>
  <c r="H95" i="147"/>
  <c r="H94" i="147"/>
  <c r="H93" i="147"/>
  <c r="H92" i="147"/>
  <c r="H91" i="147"/>
  <c r="H90" i="147"/>
  <c r="H89" i="147"/>
  <c r="H88" i="147"/>
  <c r="H87" i="147"/>
  <c r="H86" i="147"/>
  <c r="H85" i="147"/>
  <c r="H84" i="147"/>
  <c r="H83" i="147"/>
  <c r="H82" i="147"/>
  <c r="H81" i="147"/>
  <c r="H80" i="147"/>
  <c r="H79" i="147"/>
  <c r="H78" i="147"/>
  <c r="H77" i="147"/>
  <c r="H76" i="147"/>
  <c r="H75" i="147"/>
  <c r="H74" i="147"/>
  <c r="H73" i="147"/>
  <c r="H72" i="147"/>
  <c r="H71" i="147"/>
  <c r="H70" i="147"/>
  <c r="H69" i="147"/>
  <c r="H68" i="147"/>
  <c r="H67" i="147"/>
  <c r="H66" i="147"/>
  <c r="H65" i="147"/>
  <c r="H64" i="147"/>
  <c r="H63" i="147"/>
  <c r="H62" i="147"/>
  <c r="H61" i="147"/>
  <c r="H60" i="147"/>
  <c r="H59" i="147"/>
  <c r="H58" i="147"/>
  <c r="H57" i="147"/>
  <c r="H56" i="147"/>
  <c r="H55" i="147"/>
  <c r="H54" i="147"/>
  <c r="H53" i="147"/>
  <c r="H52" i="147"/>
  <c r="H51" i="147"/>
  <c r="H50" i="147"/>
  <c r="H49" i="147"/>
  <c r="H48" i="147"/>
  <c r="H47" i="147"/>
  <c r="H46" i="147"/>
  <c r="H45" i="147"/>
  <c r="H44" i="147"/>
  <c r="H43" i="147"/>
  <c r="H42" i="147"/>
  <c r="H41" i="147"/>
  <c r="H40" i="147"/>
  <c r="H39" i="147"/>
  <c r="H38" i="147"/>
  <c r="H37" i="147"/>
  <c r="H36" i="147"/>
  <c r="H35" i="147"/>
  <c r="H34" i="147"/>
  <c r="H33" i="147"/>
  <c r="H32" i="147"/>
  <c r="H31" i="147"/>
  <c r="H30" i="147"/>
  <c r="H29" i="147"/>
  <c r="H28" i="147"/>
  <c r="H27" i="147"/>
  <c r="H26" i="147"/>
  <c r="H25" i="147"/>
  <c r="H24" i="147"/>
  <c r="H23" i="147"/>
  <c r="H22" i="147"/>
  <c r="H21" i="147"/>
  <c r="H20" i="147"/>
  <c r="H19" i="147"/>
  <c r="H18" i="147"/>
  <c r="H17" i="147"/>
  <c r="H16" i="147"/>
  <c r="H15" i="147"/>
  <c r="H14" i="147"/>
  <c r="H13" i="147"/>
  <c r="H12" i="147"/>
  <c r="H11" i="147"/>
  <c r="H10" i="147"/>
  <c r="H9" i="147"/>
  <c r="H8" i="147"/>
  <c r="H7" i="147"/>
  <c r="H6" i="147"/>
  <c r="H5" i="147"/>
  <c r="H4" i="147"/>
  <c r="H3" i="147"/>
  <c r="H5" i="143"/>
  <c r="H6" i="143"/>
  <c r="H7" i="143"/>
  <c r="H8" i="143"/>
  <c r="H9" i="143"/>
  <c r="H10" i="143"/>
  <c r="H11" i="143"/>
  <c r="H12" i="143"/>
  <c r="H13" i="143"/>
  <c r="H14" i="143"/>
  <c r="H15" i="143"/>
  <c r="H16" i="143"/>
  <c r="H17" i="143"/>
  <c r="H18" i="143"/>
  <c r="H19" i="143"/>
  <c r="H20" i="143"/>
  <c r="H21" i="143"/>
  <c r="H22" i="143"/>
  <c r="H23" i="143"/>
  <c r="H24" i="143"/>
  <c r="H25" i="143"/>
  <c r="H26" i="143"/>
  <c r="H27" i="143"/>
  <c r="H28" i="143"/>
  <c r="H29" i="143"/>
  <c r="H30" i="143"/>
  <c r="H31" i="143"/>
  <c r="H32" i="143"/>
  <c r="H33" i="143"/>
  <c r="H34" i="143"/>
  <c r="H35" i="143"/>
  <c r="H36" i="143"/>
  <c r="H37" i="143"/>
  <c r="H38" i="143"/>
  <c r="H39" i="143"/>
  <c r="H40" i="143"/>
  <c r="H41" i="143"/>
  <c r="H42" i="143"/>
  <c r="H43" i="143"/>
  <c r="H44" i="143"/>
  <c r="H45" i="143"/>
  <c r="H46" i="143"/>
  <c r="H47" i="143"/>
  <c r="H48" i="143"/>
  <c r="H49" i="143"/>
  <c r="H50" i="143"/>
  <c r="H51" i="143"/>
  <c r="H52" i="143"/>
  <c r="H53" i="143"/>
  <c r="H54" i="143"/>
  <c r="H55" i="143"/>
  <c r="H56" i="143"/>
  <c r="H57" i="143"/>
  <c r="H58" i="143"/>
  <c r="H59" i="143"/>
  <c r="H60" i="143"/>
  <c r="H61" i="143"/>
  <c r="H62" i="143"/>
  <c r="H63" i="143"/>
  <c r="H64" i="143"/>
  <c r="H65" i="143"/>
  <c r="H66" i="143"/>
  <c r="H67" i="143"/>
  <c r="H68" i="143"/>
  <c r="H69" i="143"/>
  <c r="H70" i="143"/>
  <c r="H71" i="143"/>
  <c r="H72" i="143"/>
  <c r="H73" i="143"/>
  <c r="H74" i="143"/>
  <c r="H75" i="143"/>
  <c r="H76" i="143"/>
  <c r="H77" i="143"/>
  <c r="H78" i="143"/>
  <c r="H79" i="143"/>
  <c r="H80" i="143"/>
  <c r="H81" i="143"/>
  <c r="H82" i="143"/>
  <c r="H83" i="143"/>
  <c r="H84" i="143"/>
  <c r="H85" i="143"/>
  <c r="H86" i="143"/>
  <c r="H87" i="143"/>
  <c r="H88" i="143"/>
  <c r="H89" i="143"/>
  <c r="H90" i="143"/>
  <c r="H91" i="143"/>
  <c r="H92" i="143"/>
  <c r="H93" i="143"/>
  <c r="H94" i="143"/>
  <c r="H95" i="143"/>
  <c r="H96" i="143"/>
  <c r="H97" i="143"/>
  <c r="H98" i="143"/>
  <c r="H99" i="143"/>
  <c r="H100" i="143"/>
  <c r="H101" i="143"/>
  <c r="H102" i="143"/>
  <c r="H103" i="143"/>
  <c r="H104" i="143"/>
  <c r="H105" i="143"/>
  <c r="H106" i="143"/>
  <c r="H107" i="143"/>
  <c r="H108" i="143"/>
  <c r="H109" i="143"/>
  <c r="H110" i="143"/>
  <c r="H111" i="143"/>
  <c r="H112" i="143"/>
  <c r="H113" i="143"/>
  <c r="H114" i="143"/>
  <c r="H115" i="143"/>
  <c r="H116" i="143"/>
  <c r="H117" i="143"/>
  <c r="H118" i="143"/>
  <c r="H119" i="143"/>
  <c r="H120" i="143"/>
  <c r="H121" i="143"/>
  <c r="H122" i="143"/>
  <c r="H123" i="143"/>
  <c r="H124" i="143"/>
  <c r="H125" i="143"/>
  <c r="H126" i="143"/>
  <c r="H127" i="143"/>
  <c r="H128" i="143"/>
  <c r="H129" i="143"/>
  <c r="H130" i="143"/>
  <c r="H131" i="143"/>
  <c r="H132" i="143"/>
  <c r="H133" i="143"/>
  <c r="H134" i="143"/>
  <c r="H135" i="143"/>
  <c r="H136" i="143"/>
  <c r="H137" i="143"/>
  <c r="H138" i="143"/>
  <c r="H139" i="143"/>
  <c r="H140" i="143"/>
  <c r="H141" i="143"/>
  <c r="H142" i="143"/>
  <c r="H143" i="143"/>
  <c r="H144" i="143"/>
  <c r="H145" i="143"/>
  <c r="H146" i="143"/>
  <c r="H147" i="143"/>
  <c r="H148" i="143"/>
  <c r="H149" i="143"/>
  <c r="H150" i="143"/>
  <c r="H151" i="143"/>
  <c r="H152" i="143"/>
  <c r="H153" i="143"/>
  <c r="H154" i="143"/>
  <c r="H155" i="143"/>
  <c r="H156" i="143"/>
  <c r="H157" i="143"/>
  <c r="H158" i="143"/>
  <c r="H159" i="143"/>
  <c r="H160" i="143"/>
  <c r="H161" i="143"/>
  <c r="H162" i="143"/>
  <c r="H163" i="143"/>
  <c r="H164" i="143"/>
  <c r="H165" i="143"/>
  <c r="H166" i="143"/>
  <c r="H167" i="143"/>
  <c r="H168" i="143"/>
  <c r="H169" i="143"/>
  <c r="H170" i="143"/>
  <c r="H171" i="143"/>
  <c r="H172" i="143"/>
  <c r="H173" i="143"/>
  <c r="H174" i="143"/>
  <c r="H175" i="143"/>
  <c r="H176" i="143"/>
  <c r="H177" i="143"/>
  <c r="H178" i="143"/>
  <c r="H179" i="143"/>
  <c r="H180" i="143"/>
  <c r="H181" i="143"/>
  <c r="H182" i="143"/>
  <c r="H183" i="143"/>
  <c r="H184" i="143"/>
  <c r="H185" i="143"/>
  <c r="H186" i="143"/>
  <c r="H187" i="143"/>
  <c r="H188" i="143"/>
  <c r="H189" i="143"/>
  <c r="H190" i="143"/>
  <c r="H191" i="143"/>
  <c r="H192" i="143"/>
  <c r="H193" i="143"/>
  <c r="H194" i="143"/>
  <c r="H195" i="143"/>
  <c r="H196" i="143"/>
  <c r="H197" i="143"/>
  <c r="H198" i="143"/>
  <c r="H199" i="143"/>
  <c r="H200" i="143"/>
  <c r="H201" i="143"/>
  <c r="H202" i="143"/>
  <c r="H203" i="143"/>
  <c r="H204" i="143"/>
  <c r="H205" i="143"/>
  <c r="H206" i="143"/>
  <c r="H207" i="143"/>
  <c r="H208" i="143"/>
  <c r="H209" i="143"/>
  <c r="H210" i="143"/>
  <c r="H211" i="143"/>
  <c r="H212" i="143"/>
  <c r="H213" i="143"/>
  <c r="H214" i="143"/>
  <c r="H215" i="143"/>
  <c r="H216" i="143"/>
  <c r="H217" i="143"/>
  <c r="H218" i="143"/>
  <c r="H219" i="143"/>
  <c r="H220" i="143"/>
  <c r="H221" i="143"/>
  <c r="H222" i="143"/>
  <c r="H223" i="143"/>
  <c r="H224" i="143"/>
  <c r="H225" i="143"/>
  <c r="H226" i="143"/>
  <c r="H227" i="143"/>
  <c r="H228" i="143"/>
  <c r="H229" i="143"/>
  <c r="H230" i="143"/>
  <c r="H231" i="143"/>
  <c r="H232" i="143"/>
  <c r="H233" i="143"/>
  <c r="H234" i="143"/>
  <c r="H235" i="143"/>
  <c r="H236" i="143"/>
  <c r="H237" i="143"/>
  <c r="H238" i="143"/>
  <c r="H239" i="143"/>
  <c r="H240" i="143"/>
  <c r="H241" i="143"/>
  <c r="H242" i="143"/>
  <c r="H243" i="143"/>
  <c r="H244" i="143"/>
  <c r="H245" i="143"/>
  <c r="H246" i="143"/>
  <c r="H247" i="143"/>
  <c r="H248" i="143"/>
  <c r="H249" i="143"/>
  <c r="H250" i="143"/>
  <c r="H251" i="143"/>
  <c r="H252" i="143"/>
  <c r="H253" i="143"/>
  <c r="H254" i="143"/>
  <c r="H255" i="143"/>
  <c r="H256" i="143"/>
  <c r="H257" i="143"/>
  <c r="H258" i="143"/>
  <c r="H259" i="143"/>
  <c r="H260" i="143"/>
  <c r="H261" i="143"/>
  <c r="H262" i="143"/>
  <c r="H263" i="143"/>
  <c r="H264" i="143"/>
  <c r="H265" i="143"/>
  <c r="H266" i="143"/>
  <c r="H267" i="143"/>
  <c r="H268" i="143"/>
  <c r="H269" i="143"/>
  <c r="H270" i="143"/>
  <c r="H271" i="143"/>
  <c r="H272" i="143"/>
  <c r="H273" i="143"/>
  <c r="H274" i="143"/>
  <c r="H275" i="143"/>
  <c r="H276" i="143"/>
  <c r="H277" i="143"/>
  <c r="H278" i="143"/>
  <c r="H279" i="143"/>
  <c r="H280" i="143"/>
  <c r="H281" i="143"/>
  <c r="H282" i="143"/>
  <c r="H283" i="143"/>
  <c r="H284" i="143"/>
  <c r="H285" i="143"/>
  <c r="H286" i="143"/>
  <c r="H287" i="143"/>
  <c r="H288" i="143"/>
  <c r="H289" i="143"/>
  <c r="H290" i="143"/>
  <c r="H291" i="143"/>
  <c r="H292" i="143"/>
  <c r="H293" i="143"/>
  <c r="H294" i="143"/>
  <c r="H295" i="143"/>
  <c r="H296" i="143"/>
  <c r="H297" i="143"/>
  <c r="H298" i="143"/>
  <c r="H299" i="143"/>
  <c r="H300" i="143"/>
  <c r="H301" i="143"/>
  <c r="H302" i="143"/>
  <c r="H4" i="143"/>
  <c r="F5" i="143"/>
  <c r="F6" i="143"/>
  <c r="F7" i="143"/>
  <c r="F8" i="143"/>
  <c r="F9" i="143"/>
  <c r="F10" i="143"/>
  <c r="F11" i="143"/>
  <c r="F12" i="143"/>
  <c r="F13" i="143"/>
  <c r="F14" i="143"/>
  <c r="F15" i="143"/>
  <c r="F16" i="143"/>
  <c r="F17" i="143"/>
  <c r="F18" i="143"/>
  <c r="F19" i="143"/>
  <c r="F20" i="143"/>
  <c r="F21" i="143"/>
  <c r="F22" i="143"/>
  <c r="F23" i="143"/>
  <c r="F24" i="143"/>
  <c r="F25" i="143"/>
  <c r="F26" i="143"/>
  <c r="F27" i="143"/>
  <c r="F28" i="143"/>
  <c r="F29" i="143"/>
  <c r="F30" i="143"/>
  <c r="F31" i="143"/>
  <c r="F32" i="143"/>
  <c r="F33" i="143"/>
  <c r="F34" i="143"/>
  <c r="F35" i="143"/>
  <c r="F36" i="143"/>
  <c r="F37" i="143"/>
  <c r="F38" i="143"/>
  <c r="F39" i="143"/>
  <c r="F40" i="143"/>
  <c r="F41" i="143"/>
  <c r="F42" i="143"/>
  <c r="F43" i="143"/>
  <c r="F44" i="143"/>
  <c r="F45" i="143"/>
  <c r="F46" i="143"/>
  <c r="F47" i="143"/>
  <c r="F48" i="143"/>
  <c r="F49" i="143"/>
  <c r="F50" i="143"/>
  <c r="F51" i="143"/>
  <c r="F52" i="143"/>
  <c r="F53" i="143"/>
  <c r="F54" i="143"/>
  <c r="F55" i="143"/>
  <c r="F56" i="143"/>
  <c r="F57" i="143"/>
  <c r="F58" i="143"/>
  <c r="F59" i="143"/>
  <c r="F60" i="143"/>
  <c r="F61" i="143"/>
  <c r="F62" i="143"/>
  <c r="F63" i="143"/>
  <c r="F64" i="143"/>
  <c r="F65" i="143"/>
  <c r="F66" i="143"/>
  <c r="F67" i="143"/>
  <c r="F68" i="143"/>
  <c r="F69" i="143"/>
  <c r="F70" i="143"/>
  <c r="F71" i="143"/>
  <c r="F72" i="143"/>
  <c r="F73" i="143"/>
  <c r="F74" i="143"/>
  <c r="F75" i="143"/>
  <c r="F76" i="143"/>
  <c r="F77" i="143"/>
  <c r="F78" i="143"/>
  <c r="F79" i="143"/>
  <c r="F80" i="143"/>
  <c r="F81" i="143"/>
  <c r="F82" i="143"/>
  <c r="F83" i="143"/>
  <c r="F84" i="143"/>
  <c r="F85" i="143"/>
  <c r="F86" i="143"/>
  <c r="F87" i="143"/>
  <c r="F88" i="143"/>
  <c r="F89" i="143"/>
  <c r="F90" i="143"/>
  <c r="F91" i="143"/>
  <c r="F92" i="143"/>
  <c r="F93" i="143"/>
  <c r="F94" i="143"/>
  <c r="F95" i="143"/>
  <c r="F96" i="143"/>
  <c r="F97" i="143"/>
  <c r="F98" i="143"/>
  <c r="F99" i="143"/>
  <c r="F100" i="143"/>
  <c r="F101" i="143"/>
  <c r="F102" i="143"/>
  <c r="F103" i="143"/>
  <c r="F104" i="143"/>
  <c r="F105" i="143"/>
  <c r="F106" i="143"/>
  <c r="F107" i="143"/>
  <c r="F108" i="143"/>
  <c r="F109" i="143"/>
  <c r="F110" i="143"/>
  <c r="F111" i="143"/>
  <c r="F112" i="143"/>
  <c r="F113" i="143"/>
  <c r="F114" i="143"/>
  <c r="F115" i="143"/>
  <c r="F116" i="143"/>
  <c r="F117" i="143"/>
  <c r="F118" i="143"/>
  <c r="F119" i="143"/>
  <c r="F120" i="143"/>
  <c r="F121" i="143"/>
  <c r="F122" i="143"/>
  <c r="F123" i="143"/>
  <c r="F124" i="143"/>
  <c r="F125" i="143"/>
  <c r="F126" i="143"/>
  <c r="F127" i="143"/>
  <c r="F128" i="143"/>
  <c r="F129" i="143"/>
  <c r="F130" i="143"/>
  <c r="F131" i="143"/>
  <c r="F132" i="143"/>
  <c r="F133" i="143"/>
  <c r="F134" i="143"/>
  <c r="F135" i="143"/>
  <c r="F136" i="143"/>
  <c r="F137" i="143"/>
  <c r="F138" i="143"/>
  <c r="F139" i="143"/>
  <c r="F140" i="143"/>
  <c r="F141" i="143"/>
  <c r="F142" i="143"/>
  <c r="F143" i="143"/>
  <c r="F144" i="143"/>
  <c r="F145" i="143"/>
  <c r="F146" i="143"/>
  <c r="F147" i="143"/>
  <c r="F148" i="143"/>
  <c r="F149" i="143"/>
  <c r="F150" i="143"/>
  <c r="F151" i="143"/>
  <c r="F152" i="143"/>
  <c r="F153" i="143"/>
  <c r="F154" i="143"/>
  <c r="F155" i="143"/>
  <c r="F156" i="143"/>
  <c r="F157" i="143"/>
  <c r="F158" i="143"/>
  <c r="F159" i="143"/>
  <c r="F160" i="143"/>
  <c r="F161" i="143"/>
  <c r="F162" i="143"/>
  <c r="F163" i="143"/>
  <c r="F164" i="143"/>
  <c r="F165" i="143"/>
  <c r="F166" i="143"/>
  <c r="F167" i="143"/>
  <c r="F168" i="143"/>
  <c r="F169" i="143"/>
  <c r="F170" i="143"/>
  <c r="F171" i="143"/>
  <c r="F172" i="143"/>
  <c r="F173" i="143"/>
  <c r="F174" i="143"/>
  <c r="F175" i="143"/>
  <c r="F176" i="143"/>
  <c r="F177" i="143"/>
  <c r="F178" i="143"/>
  <c r="F179" i="143"/>
  <c r="F180" i="143"/>
  <c r="F181" i="143"/>
  <c r="F182" i="143"/>
  <c r="F183" i="143"/>
  <c r="F184" i="143"/>
  <c r="F185" i="143"/>
  <c r="F186" i="143"/>
  <c r="F187" i="143"/>
  <c r="F188" i="143"/>
  <c r="F189" i="143"/>
  <c r="F190" i="143"/>
  <c r="F191" i="143"/>
  <c r="F192" i="143"/>
  <c r="F193" i="143"/>
  <c r="F194" i="143"/>
  <c r="F195" i="143"/>
  <c r="F196" i="143"/>
  <c r="F197" i="143"/>
  <c r="F198" i="143"/>
  <c r="F199" i="143"/>
  <c r="F200" i="143"/>
  <c r="F201" i="143"/>
  <c r="F202" i="143"/>
  <c r="F203" i="143"/>
  <c r="F204" i="143"/>
  <c r="F205" i="143"/>
  <c r="F206" i="143"/>
  <c r="F207" i="143"/>
  <c r="F208" i="143"/>
  <c r="F209" i="143"/>
  <c r="F210" i="143"/>
  <c r="F211" i="143"/>
  <c r="F212" i="143"/>
  <c r="F213" i="143"/>
  <c r="F214" i="143"/>
  <c r="F215" i="143"/>
  <c r="F216" i="143"/>
  <c r="F217" i="143"/>
  <c r="F218" i="143"/>
  <c r="F219" i="143"/>
  <c r="F220" i="143"/>
  <c r="F221" i="143"/>
  <c r="F222" i="143"/>
  <c r="F223" i="143"/>
  <c r="F224" i="143"/>
  <c r="F225" i="143"/>
  <c r="F226" i="143"/>
  <c r="F227" i="143"/>
  <c r="F228" i="143"/>
  <c r="F229" i="143"/>
  <c r="F230" i="143"/>
  <c r="F231" i="143"/>
  <c r="F232" i="143"/>
  <c r="F233" i="143"/>
  <c r="F234" i="143"/>
  <c r="F235" i="143"/>
  <c r="F236" i="143"/>
  <c r="F237" i="143"/>
  <c r="F238" i="143"/>
  <c r="F239" i="143"/>
  <c r="F240" i="143"/>
  <c r="F241" i="143"/>
  <c r="F242" i="143"/>
  <c r="F243" i="143"/>
  <c r="F244" i="143"/>
  <c r="F245" i="143"/>
  <c r="F246" i="143"/>
  <c r="F247" i="143"/>
  <c r="F248" i="143"/>
  <c r="F249" i="143"/>
  <c r="F250" i="143"/>
  <c r="F251" i="143"/>
  <c r="F252" i="143"/>
  <c r="F253" i="143"/>
  <c r="F254" i="143"/>
  <c r="F255" i="143"/>
  <c r="F256" i="143"/>
  <c r="F257" i="143"/>
  <c r="F258" i="143"/>
  <c r="F259" i="143"/>
  <c r="F260" i="143"/>
  <c r="F261" i="143"/>
  <c r="F262" i="143"/>
  <c r="F263" i="143"/>
  <c r="F264" i="143"/>
  <c r="F265" i="143"/>
  <c r="F266" i="143"/>
  <c r="F267" i="143"/>
  <c r="F268" i="143"/>
  <c r="F269" i="143"/>
  <c r="F270" i="143"/>
  <c r="F271" i="143"/>
  <c r="F272" i="143"/>
  <c r="F273" i="143"/>
  <c r="F274" i="143"/>
  <c r="F275" i="143"/>
  <c r="F276" i="143"/>
  <c r="F277" i="143"/>
  <c r="F278" i="143"/>
  <c r="F279" i="143"/>
  <c r="F280" i="143"/>
  <c r="F281" i="143"/>
  <c r="F282" i="143"/>
  <c r="F283" i="143"/>
  <c r="F284" i="143"/>
  <c r="F285" i="143"/>
  <c r="F286" i="143"/>
  <c r="F287" i="143"/>
  <c r="F288" i="143"/>
  <c r="F289" i="143"/>
  <c r="F290" i="143"/>
  <c r="F291" i="143"/>
  <c r="F292" i="143"/>
  <c r="F293" i="143"/>
  <c r="F294" i="143"/>
  <c r="F295" i="143"/>
  <c r="F296" i="143"/>
  <c r="F297" i="143"/>
  <c r="F298" i="143"/>
  <c r="F299" i="143"/>
  <c r="F300" i="143"/>
  <c r="F301" i="143"/>
  <c r="F302" i="143"/>
  <c r="F4" i="143"/>
  <c r="I4" i="143" l="1"/>
  <c r="I229" i="143" l="1"/>
  <c r="I230" i="143"/>
  <c r="I231" i="143"/>
  <c r="I232" i="143"/>
  <c r="I233" i="143"/>
  <c r="I234" i="143"/>
  <c r="I235" i="143"/>
  <c r="I236" i="143"/>
  <c r="I237" i="143"/>
  <c r="I238" i="143"/>
  <c r="I239" i="143"/>
  <c r="I240" i="143"/>
  <c r="I241" i="143"/>
  <c r="I242" i="143"/>
  <c r="I243" i="143"/>
  <c r="I244" i="143"/>
  <c r="I245" i="143"/>
  <c r="I246" i="143"/>
  <c r="I247" i="143"/>
  <c r="I248" i="143"/>
  <c r="I249" i="143"/>
  <c r="I250" i="143"/>
  <c r="I251" i="143"/>
  <c r="I252" i="143"/>
  <c r="I253" i="143"/>
  <c r="I254" i="143"/>
  <c r="I255" i="143"/>
  <c r="I256" i="143"/>
  <c r="I257" i="143"/>
  <c r="I258" i="143"/>
  <c r="I259" i="143"/>
  <c r="I260" i="143"/>
  <c r="I261" i="143"/>
  <c r="I262" i="143"/>
  <c r="I263" i="143"/>
  <c r="I264" i="143"/>
  <c r="I265" i="143"/>
  <c r="I266" i="143"/>
  <c r="I267" i="143"/>
  <c r="I268" i="143"/>
  <c r="I269" i="143"/>
  <c r="I270" i="143"/>
  <c r="I271" i="143"/>
  <c r="I272" i="143"/>
  <c r="I273" i="143"/>
  <c r="I274" i="143"/>
  <c r="I275" i="143"/>
  <c r="I276" i="143"/>
  <c r="I277" i="143"/>
  <c r="I278" i="143"/>
  <c r="I279" i="143"/>
  <c r="I280" i="143"/>
  <c r="I281" i="143"/>
  <c r="I282" i="143"/>
  <c r="I283" i="143"/>
  <c r="I284" i="143"/>
  <c r="I285" i="143"/>
  <c r="I286" i="143"/>
  <c r="I287" i="143"/>
  <c r="I288" i="143"/>
  <c r="I289" i="143"/>
  <c r="I290" i="143"/>
  <c r="I291" i="143"/>
  <c r="I292" i="143"/>
  <c r="I293" i="143"/>
  <c r="I294" i="143"/>
  <c r="I295" i="143"/>
  <c r="I296" i="143"/>
  <c r="I297" i="143"/>
  <c r="I298" i="143"/>
  <c r="I299" i="143"/>
  <c r="I300" i="143"/>
  <c r="I301" i="143"/>
  <c r="I302" i="143"/>
  <c r="I5" i="143" l="1"/>
  <c r="I6" i="143"/>
  <c r="I7" i="143"/>
  <c r="I8" i="143"/>
  <c r="I9" i="143"/>
  <c r="I10" i="143"/>
  <c r="I11" i="143"/>
  <c r="I12" i="143"/>
  <c r="I13" i="143"/>
  <c r="I14" i="143"/>
  <c r="I15" i="143"/>
  <c r="I16" i="143"/>
  <c r="I17" i="143"/>
  <c r="I18" i="143"/>
  <c r="I19" i="143"/>
  <c r="I20" i="143"/>
  <c r="I21" i="143"/>
  <c r="I22" i="143"/>
  <c r="I23" i="143"/>
  <c r="I24" i="143"/>
  <c r="I25" i="143"/>
  <c r="I26" i="143"/>
  <c r="I27" i="143"/>
  <c r="I28" i="143"/>
  <c r="I29" i="143"/>
  <c r="I30" i="143"/>
  <c r="I31" i="143"/>
  <c r="I32" i="143"/>
  <c r="I33" i="143"/>
  <c r="I34" i="143"/>
  <c r="I35" i="143"/>
  <c r="I36" i="143"/>
  <c r="I37" i="143"/>
  <c r="I38" i="143"/>
  <c r="I39" i="143"/>
  <c r="I40" i="143"/>
  <c r="I41" i="143"/>
  <c r="I42" i="143"/>
  <c r="I43" i="143"/>
  <c r="I44" i="143"/>
  <c r="I45" i="143"/>
  <c r="I46" i="143"/>
  <c r="I47" i="143"/>
  <c r="I48" i="143"/>
  <c r="I49" i="143"/>
  <c r="I50" i="143"/>
  <c r="I51" i="143"/>
  <c r="I52" i="143"/>
  <c r="I53" i="143"/>
  <c r="I54" i="143"/>
  <c r="I55" i="143"/>
  <c r="I56" i="143"/>
  <c r="I57" i="143"/>
  <c r="I58" i="143"/>
  <c r="I59" i="143"/>
  <c r="I60" i="143"/>
  <c r="I61" i="143"/>
  <c r="I62" i="143"/>
  <c r="I63" i="143"/>
  <c r="I64" i="143"/>
  <c r="I65" i="143"/>
  <c r="I66" i="143"/>
  <c r="I67" i="143"/>
  <c r="I68" i="143"/>
  <c r="I69" i="143"/>
  <c r="I70" i="143"/>
  <c r="I71" i="143"/>
  <c r="I72" i="143"/>
  <c r="I73" i="143"/>
  <c r="I74" i="143"/>
  <c r="I75" i="143"/>
  <c r="I76" i="143"/>
  <c r="I77" i="143"/>
  <c r="I78" i="143"/>
  <c r="I79" i="143"/>
  <c r="I80" i="143"/>
  <c r="I81" i="143"/>
  <c r="I82" i="143"/>
  <c r="I83" i="143"/>
  <c r="I84" i="143"/>
  <c r="I85" i="143"/>
  <c r="I86" i="143"/>
  <c r="I87" i="143"/>
  <c r="I88" i="143"/>
  <c r="I89" i="143"/>
  <c r="I90" i="143"/>
  <c r="I91" i="143"/>
  <c r="I92" i="143"/>
  <c r="I93" i="143"/>
  <c r="I94" i="143"/>
  <c r="I95" i="143"/>
  <c r="I96" i="143"/>
  <c r="I97" i="143"/>
  <c r="I98" i="143"/>
  <c r="I99" i="143"/>
  <c r="I100" i="143"/>
  <c r="I101" i="143"/>
  <c r="I102" i="143"/>
  <c r="I103" i="143"/>
  <c r="I104" i="143"/>
  <c r="I105" i="143"/>
  <c r="I106" i="143"/>
  <c r="I107" i="143"/>
  <c r="I108" i="143"/>
  <c r="I109" i="143"/>
  <c r="I110" i="143"/>
  <c r="I111" i="143"/>
  <c r="I112" i="143"/>
  <c r="I113" i="143"/>
  <c r="I114" i="143"/>
  <c r="I115" i="143"/>
  <c r="I116" i="143"/>
  <c r="I117" i="143"/>
  <c r="I118" i="143"/>
  <c r="I119" i="143"/>
  <c r="I120" i="143"/>
  <c r="I121" i="143"/>
  <c r="I122" i="143"/>
  <c r="I123" i="143"/>
  <c r="I124" i="143"/>
  <c r="I125" i="143"/>
  <c r="I126" i="143"/>
  <c r="I127" i="143"/>
  <c r="I128" i="143"/>
  <c r="I129" i="143"/>
  <c r="I130" i="143"/>
  <c r="I131" i="143"/>
  <c r="I132" i="143"/>
  <c r="I133" i="143"/>
  <c r="I134" i="143"/>
  <c r="I135" i="143"/>
  <c r="I136" i="143"/>
  <c r="I137" i="143"/>
  <c r="I138" i="143"/>
  <c r="I139" i="143"/>
  <c r="I140" i="143"/>
  <c r="I141" i="143"/>
  <c r="I142" i="143"/>
  <c r="I143" i="143"/>
  <c r="I144" i="143"/>
  <c r="I145" i="143"/>
  <c r="I146" i="143"/>
  <c r="I147" i="143"/>
  <c r="I148" i="143"/>
  <c r="I149" i="143"/>
  <c r="I150" i="143"/>
  <c r="I151" i="143"/>
  <c r="I152" i="143"/>
  <c r="I153" i="143"/>
  <c r="I154" i="143"/>
  <c r="I155" i="143"/>
  <c r="I156" i="143"/>
  <c r="I157" i="143"/>
  <c r="I158" i="143"/>
  <c r="I159" i="143"/>
  <c r="I160" i="143"/>
  <c r="I161" i="143"/>
  <c r="I162" i="143"/>
  <c r="I163" i="143"/>
  <c r="I164" i="143"/>
  <c r="I165" i="143"/>
  <c r="I166" i="143"/>
  <c r="I167" i="143"/>
  <c r="I168" i="143"/>
  <c r="I169" i="143"/>
  <c r="I170" i="143"/>
  <c r="I171" i="143"/>
  <c r="I172" i="143"/>
  <c r="I173" i="143"/>
  <c r="I174" i="143"/>
  <c r="I175" i="143"/>
  <c r="I176" i="143"/>
  <c r="I177" i="143"/>
  <c r="I178" i="143"/>
  <c r="I179" i="143"/>
  <c r="I180" i="143"/>
  <c r="I181" i="143"/>
  <c r="I182" i="143"/>
  <c r="I183" i="143"/>
  <c r="I184" i="143"/>
  <c r="I185" i="143"/>
  <c r="I186" i="143"/>
  <c r="I187" i="143"/>
  <c r="I188" i="143"/>
  <c r="I189" i="143"/>
  <c r="I190" i="143"/>
  <c r="I191" i="143"/>
  <c r="I192" i="143"/>
  <c r="I193" i="143"/>
  <c r="I194" i="143"/>
  <c r="I195" i="143"/>
  <c r="I196" i="143"/>
  <c r="I197" i="143"/>
  <c r="I198" i="143"/>
  <c r="I199" i="143"/>
  <c r="I200" i="143"/>
  <c r="I201" i="143"/>
  <c r="I202" i="143"/>
  <c r="I203" i="143"/>
  <c r="I204" i="143"/>
  <c r="I205" i="143"/>
  <c r="I206" i="143"/>
  <c r="I207" i="143"/>
  <c r="I208" i="143"/>
  <c r="I209" i="143"/>
  <c r="I210" i="143"/>
  <c r="I211" i="143"/>
  <c r="I212" i="143"/>
  <c r="I213" i="143"/>
  <c r="I214" i="143"/>
  <c r="I215" i="143"/>
  <c r="I216" i="143"/>
  <c r="I217" i="143"/>
  <c r="I218" i="143"/>
  <c r="I219" i="143"/>
  <c r="I220" i="143"/>
  <c r="I221" i="143"/>
  <c r="I222" i="143"/>
  <c r="I223" i="143"/>
  <c r="I224" i="143"/>
  <c r="I225" i="143"/>
  <c r="I226" i="143"/>
  <c r="I227" i="143"/>
  <c r="I228" i="143"/>
  <c r="E2" i="147" l="1"/>
  <c r="G1" i="143"/>
  <c r="G2" i="147" l="1"/>
  <c r="I1" i="143" l="1"/>
  <c r="C25" i="138" l="1"/>
  <c r="D25" i="138" s="1"/>
  <c r="C26" i="138"/>
  <c r="D26" i="138" s="1"/>
  <c r="A25" i="138"/>
  <c r="A26" i="138"/>
  <c r="A27" i="138"/>
  <c r="C27" i="138"/>
  <c r="D27" i="138" s="1"/>
  <c r="C44" i="138"/>
  <c r="D44" i="138" s="1"/>
  <c r="A44" i="138"/>
  <c r="C29" i="138"/>
  <c r="D29" i="138" s="1"/>
  <c r="A29" i="138"/>
  <c r="C28" i="138"/>
  <c r="D28" i="138" s="1"/>
  <c r="A28" i="138"/>
  <c r="C3" i="138"/>
  <c r="D3" i="138"/>
  <c r="B17" i="139"/>
  <c r="B18" i="139"/>
  <c r="B20" i="139"/>
  <c r="B21" i="139"/>
  <c r="B23" i="139"/>
  <c r="B24" i="139"/>
  <c r="A123" i="138"/>
  <c r="C123" i="138"/>
  <c r="D123" i="138" s="1"/>
  <c r="A124" i="138"/>
  <c r="C124" i="138"/>
  <c r="D124" i="138" s="1"/>
  <c r="A125" i="138"/>
  <c r="C125" i="138"/>
  <c r="D125" i="138" s="1"/>
  <c r="A126" i="138"/>
  <c r="C126" i="138"/>
  <c r="D126" i="138" s="1"/>
  <c r="A127" i="138"/>
  <c r="C127" i="138"/>
  <c r="D127" i="138" s="1"/>
  <c r="A128" i="138"/>
  <c r="C128" i="138"/>
  <c r="D128" i="138" s="1"/>
  <c r="C118" i="138"/>
  <c r="D118" i="138" s="1"/>
  <c r="A118" i="138"/>
  <c r="A43" i="138"/>
  <c r="C43" i="138"/>
  <c r="D43" i="138" s="1"/>
  <c r="A103" i="138"/>
  <c r="C103" i="138"/>
  <c r="D103" i="138" s="1"/>
  <c r="C21" i="138"/>
  <c r="D21" i="138" s="1"/>
  <c r="A21" i="138"/>
  <c r="C34" i="138"/>
  <c r="D34" i="138" s="1"/>
  <c r="A34" i="138"/>
  <c r="C38" i="138"/>
  <c r="D38" i="138" s="1"/>
  <c r="A38" i="138"/>
  <c r="A39" i="138"/>
  <c r="A40" i="138"/>
  <c r="A41" i="138"/>
  <c r="A42" i="138"/>
  <c r="A45" i="138"/>
  <c r="A46" i="138"/>
  <c r="A47" i="138"/>
  <c r="A48" i="138"/>
  <c r="A49" i="138"/>
  <c r="A50" i="138"/>
  <c r="A51" i="138"/>
  <c r="A52" i="138"/>
  <c r="A53" i="138"/>
  <c r="A54" i="138"/>
  <c r="A55" i="138"/>
  <c r="A56" i="138"/>
  <c r="A57" i="138"/>
  <c r="A58" i="138"/>
  <c r="A59" i="138"/>
  <c r="A60" i="138"/>
  <c r="A61" i="138"/>
  <c r="A62" i="138"/>
  <c r="A63" i="138"/>
  <c r="A64" i="138"/>
  <c r="A65" i="138"/>
  <c r="A66" i="138"/>
  <c r="A67" i="138"/>
  <c r="A68" i="138"/>
  <c r="A69" i="138"/>
  <c r="A70" i="138"/>
  <c r="A71" i="138"/>
  <c r="A72" i="138"/>
  <c r="A73" i="138"/>
  <c r="A74" i="138"/>
  <c r="A75" i="138"/>
  <c r="A76" i="138"/>
  <c r="A77" i="138"/>
  <c r="A78" i="138"/>
  <c r="A79" i="138"/>
  <c r="A80" i="138"/>
  <c r="A81" i="138"/>
  <c r="A82" i="138"/>
  <c r="A83" i="138"/>
  <c r="A84" i="138"/>
  <c r="A85" i="138"/>
  <c r="A86" i="138"/>
  <c r="A87" i="138"/>
  <c r="A88" i="138"/>
  <c r="A89" i="138"/>
  <c r="A90" i="138"/>
  <c r="A91" i="138"/>
  <c r="A92" i="138"/>
  <c r="A93" i="138"/>
  <c r="A94" i="138"/>
  <c r="A95" i="138"/>
  <c r="A96" i="138"/>
  <c r="A97" i="138"/>
  <c r="A98" i="138"/>
  <c r="A99" i="138"/>
  <c r="A100" i="138"/>
  <c r="A101" i="138"/>
  <c r="A102" i="138"/>
  <c r="A104" i="138"/>
  <c r="A105" i="138"/>
  <c r="A106" i="138"/>
  <c r="A107" i="138"/>
  <c r="A108" i="138"/>
  <c r="A109" i="138"/>
  <c r="A110" i="138"/>
  <c r="A111" i="138"/>
  <c r="A112" i="138"/>
  <c r="A113" i="138"/>
  <c r="A114" i="138"/>
  <c r="A115" i="138"/>
  <c r="A116" i="138"/>
  <c r="A117" i="138"/>
  <c r="A119" i="138"/>
  <c r="A120" i="138"/>
  <c r="A121" i="138"/>
  <c r="A122" i="138"/>
  <c r="C116" i="138"/>
  <c r="D116" i="138" s="1"/>
  <c r="C117" i="138"/>
  <c r="D117" i="138" s="1"/>
  <c r="C119" i="138"/>
  <c r="D119" i="138" s="1"/>
  <c r="C120" i="138"/>
  <c r="D120" i="138" s="1"/>
  <c r="C121" i="138"/>
  <c r="D121" i="138" s="1"/>
  <c r="C122" i="138"/>
  <c r="D122" i="138" s="1"/>
  <c r="C46" i="138"/>
  <c r="D46" i="138" s="1"/>
  <c r="C45" i="138"/>
  <c r="D45" i="138" s="1"/>
  <c r="C42" i="138"/>
  <c r="D42" i="138" s="1"/>
  <c r="B5" i="139"/>
  <c r="B15" i="139"/>
  <c r="B13" i="139"/>
  <c r="B11" i="139"/>
  <c r="B9" i="139"/>
  <c r="O109" i="86"/>
  <c r="M109" i="86"/>
  <c r="P109" i="86" s="1"/>
  <c r="R109" i="86" s="1"/>
  <c r="S109" i="86" s="1"/>
  <c r="C58" i="138"/>
  <c r="D58" i="138" s="1"/>
  <c r="O108" i="86"/>
  <c r="M108" i="86"/>
  <c r="C115" i="138"/>
  <c r="D115" i="138" s="1"/>
  <c r="F20" i="139"/>
  <c r="F21" i="139" s="1"/>
  <c r="F17" i="139"/>
  <c r="F18" i="139" s="1"/>
  <c r="H23" i="139"/>
  <c r="H24" i="139" s="1"/>
  <c r="H20" i="139"/>
  <c r="H21" i="139" s="1"/>
  <c r="H17" i="139"/>
  <c r="H18" i="139" s="1"/>
  <c r="H15" i="139"/>
  <c r="H13" i="139"/>
  <c r="H11" i="139"/>
  <c r="H9" i="139"/>
  <c r="H5" i="139"/>
  <c r="J23" i="139"/>
  <c r="J24" i="139"/>
  <c r="O29" i="86"/>
  <c r="M29" i="86"/>
  <c r="P29" i="86" s="1"/>
  <c r="R29" i="86" s="1"/>
  <c r="S29" i="86" s="1"/>
  <c r="O106" i="86"/>
  <c r="M106" i="86"/>
  <c r="P106" i="86" s="1"/>
  <c r="R106" i="86" s="1"/>
  <c r="S106" i="86" s="1"/>
  <c r="C110" i="138"/>
  <c r="D110" i="138" s="1"/>
  <c r="A3" i="138"/>
  <c r="A4" i="138"/>
  <c r="A5" i="138"/>
  <c r="A6" i="138"/>
  <c r="A7" i="138"/>
  <c r="A8" i="138"/>
  <c r="A9" i="138"/>
  <c r="A10" i="138"/>
  <c r="A11" i="138"/>
  <c r="A12" i="138"/>
  <c r="A13" i="138"/>
  <c r="A14" i="138"/>
  <c r="A15" i="138"/>
  <c r="A16" i="138"/>
  <c r="A17" i="138"/>
  <c r="A18" i="138"/>
  <c r="A19" i="138"/>
  <c r="A20" i="138"/>
  <c r="A22" i="138"/>
  <c r="A23" i="138"/>
  <c r="A24" i="138"/>
  <c r="A30" i="138"/>
  <c r="A31" i="138"/>
  <c r="A32" i="138"/>
  <c r="A33" i="138"/>
  <c r="A35" i="138"/>
  <c r="A36" i="138"/>
  <c r="A37" i="138"/>
  <c r="C4" i="138"/>
  <c r="D4" i="138" s="1"/>
  <c r="C5" i="138"/>
  <c r="D5" i="138" s="1"/>
  <c r="C6" i="138"/>
  <c r="D6" i="138" s="1"/>
  <c r="C7" i="138"/>
  <c r="D7" i="138" s="1"/>
  <c r="C8" i="138"/>
  <c r="D8" i="138" s="1"/>
  <c r="C9" i="138"/>
  <c r="D9" i="138" s="1"/>
  <c r="C10" i="138"/>
  <c r="D10" i="138" s="1"/>
  <c r="C11" i="138"/>
  <c r="D11" i="138" s="1"/>
  <c r="C12" i="138"/>
  <c r="D12" i="138" s="1"/>
  <c r="C13" i="138"/>
  <c r="D13" i="138" s="1"/>
  <c r="C14" i="138"/>
  <c r="D14" i="138" s="1"/>
  <c r="C15" i="138"/>
  <c r="D15" i="138" s="1"/>
  <c r="C16" i="138"/>
  <c r="D16" i="138" s="1"/>
  <c r="C17" i="138"/>
  <c r="D17" i="138"/>
  <c r="C18" i="138"/>
  <c r="D18" i="138" s="1"/>
  <c r="C19" i="138"/>
  <c r="D19" i="138" s="1"/>
  <c r="C20" i="138"/>
  <c r="D20" i="138" s="1"/>
  <c r="C22" i="138"/>
  <c r="D22" i="138" s="1"/>
  <c r="C23" i="138"/>
  <c r="D23" i="138" s="1"/>
  <c r="C24" i="138"/>
  <c r="D24" i="138" s="1"/>
  <c r="C30" i="138"/>
  <c r="D30" i="138" s="1"/>
  <c r="C31" i="138"/>
  <c r="D31" i="138"/>
  <c r="C32" i="138"/>
  <c r="D32" i="138" s="1"/>
  <c r="C33" i="138"/>
  <c r="D33" i="138" s="1"/>
  <c r="C35" i="138"/>
  <c r="D35" i="138" s="1"/>
  <c r="C36" i="138"/>
  <c r="D36" i="138" s="1"/>
  <c r="C37" i="138"/>
  <c r="D37" i="138" s="1"/>
  <c r="C39" i="138"/>
  <c r="D39" i="138" s="1"/>
  <c r="C40" i="138"/>
  <c r="D40" i="138" s="1"/>
  <c r="C41" i="138"/>
  <c r="D41" i="138"/>
  <c r="C47" i="138"/>
  <c r="D47" i="138" s="1"/>
  <c r="C48" i="138"/>
  <c r="D48" i="138" s="1"/>
  <c r="C49" i="138"/>
  <c r="D49" i="138" s="1"/>
  <c r="C50" i="138"/>
  <c r="D50" i="138" s="1"/>
  <c r="C51" i="138"/>
  <c r="D51" i="138" s="1"/>
  <c r="C52" i="138"/>
  <c r="D52" i="138"/>
  <c r="C53" i="138"/>
  <c r="D53" i="138" s="1"/>
  <c r="C54" i="138"/>
  <c r="D54" i="138" s="1"/>
  <c r="C55" i="138"/>
  <c r="D55" i="138" s="1"/>
  <c r="C56" i="138"/>
  <c r="D56" i="138" s="1"/>
  <c r="C57" i="138"/>
  <c r="D57" i="138" s="1"/>
  <c r="C59" i="138"/>
  <c r="D59" i="138"/>
  <c r="C60" i="138"/>
  <c r="D60" i="138" s="1"/>
  <c r="C61" i="138"/>
  <c r="D61" i="138" s="1"/>
  <c r="C62" i="138"/>
  <c r="D62" i="138" s="1"/>
  <c r="C63" i="138"/>
  <c r="D63" i="138"/>
  <c r="C64" i="138"/>
  <c r="D64" i="138" s="1"/>
  <c r="C65" i="138"/>
  <c r="D65" i="138" s="1"/>
  <c r="C66" i="138"/>
  <c r="D66" i="138" s="1"/>
  <c r="C67" i="138"/>
  <c r="D67" i="138" s="1"/>
  <c r="C68" i="138"/>
  <c r="D68" i="138" s="1"/>
  <c r="C69" i="138"/>
  <c r="D69" i="138"/>
  <c r="C70" i="138"/>
  <c r="D70" i="138" s="1"/>
  <c r="C71" i="138"/>
  <c r="D71" i="138" s="1"/>
  <c r="C72" i="138"/>
  <c r="D72" i="138" s="1"/>
  <c r="C73" i="138"/>
  <c r="D73" i="138" s="1"/>
  <c r="C74" i="138"/>
  <c r="D74" i="138" s="1"/>
  <c r="C75" i="138"/>
  <c r="D75" i="138"/>
  <c r="C76" i="138"/>
  <c r="D76" i="138" s="1"/>
  <c r="C77" i="138"/>
  <c r="D77" i="138" s="1"/>
  <c r="C78" i="138"/>
  <c r="D78" i="138" s="1"/>
  <c r="C79" i="138"/>
  <c r="D79" i="138"/>
  <c r="C80" i="138"/>
  <c r="D80" i="138" s="1"/>
  <c r="C81" i="138"/>
  <c r="D81" i="138" s="1"/>
  <c r="C82" i="138"/>
  <c r="D82" i="138" s="1"/>
  <c r="C83" i="138"/>
  <c r="D83" i="138" s="1"/>
  <c r="C84" i="138"/>
  <c r="D84" i="138" s="1"/>
  <c r="C85" i="138"/>
  <c r="D85" i="138" s="1"/>
  <c r="C86" i="138"/>
  <c r="D86" i="138" s="1"/>
  <c r="C87" i="138"/>
  <c r="D87" i="138"/>
  <c r="C88" i="138"/>
  <c r="D88" i="138" s="1"/>
  <c r="C89" i="138"/>
  <c r="D89" i="138" s="1"/>
  <c r="C90" i="138"/>
  <c r="D90" i="138" s="1"/>
  <c r="C91" i="138"/>
  <c r="D91" i="138" s="1"/>
  <c r="C92" i="138"/>
  <c r="D92" i="138" s="1"/>
  <c r="C93" i="138"/>
  <c r="D93" i="138"/>
  <c r="C94" i="138"/>
  <c r="D94" i="138" s="1"/>
  <c r="C95" i="138"/>
  <c r="D95" i="138" s="1"/>
  <c r="C96" i="138"/>
  <c r="D96" i="138" s="1"/>
  <c r="C97" i="138"/>
  <c r="D97" i="138" s="1"/>
  <c r="C98" i="138"/>
  <c r="D98" i="138" s="1"/>
  <c r="C99" i="138"/>
  <c r="D99" i="138" s="1"/>
  <c r="C100" i="138"/>
  <c r="D100" i="138" s="1"/>
  <c r="C101" i="138"/>
  <c r="D101" i="138"/>
  <c r="C102" i="138"/>
  <c r="D102" i="138" s="1"/>
  <c r="C104" i="138"/>
  <c r="D104" i="138" s="1"/>
  <c r="C105" i="138"/>
  <c r="D105" i="138" s="1"/>
  <c r="C106" i="138"/>
  <c r="D106" i="138" s="1"/>
  <c r="C107" i="138"/>
  <c r="D107" i="138" s="1"/>
  <c r="C108" i="138"/>
  <c r="D108" i="138"/>
  <c r="C109" i="138"/>
  <c r="D109" i="138" s="1"/>
  <c r="C111" i="138"/>
  <c r="D111" i="138" s="1"/>
  <c r="C112" i="138"/>
  <c r="D112" i="138" s="1"/>
  <c r="C113" i="138"/>
  <c r="D113" i="138" s="1"/>
  <c r="C114" i="138"/>
  <c r="D114" i="138" s="1"/>
  <c r="O105" i="86"/>
  <c r="M105" i="86"/>
  <c r="P105" i="86" s="1"/>
  <c r="R105" i="86" s="1"/>
  <c r="S105" i="86" s="1"/>
  <c r="F5" i="139"/>
  <c r="J5" i="139"/>
  <c r="F9" i="139"/>
  <c r="J9" i="139"/>
  <c r="F11" i="139"/>
  <c r="J11" i="139"/>
  <c r="F13" i="139"/>
  <c r="J13" i="139"/>
  <c r="F15" i="139"/>
  <c r="J15" i="139"/>
  <c r="J17" i="139"/>
  <c r="J18" i="139"/>
  <c r="J20" i="139"/>
  <c r="J21" i="139"/>
  <c r="F23" i="139"/>
  <c r="F24" i="139"/>
  <c r="E1" i="138"/>
  <c r="F1" i="138"/>
  <c r="M3" i="137"/>
  <c r="O3" i="137"/>
  <c r="P3" i="137" s="1"/>
  <c r="R3" i="137" s="1"/>
  <c r="S3" i="137" s="1"/>
  <c r="A4" i="137"/>
  <c r="A5" i="137" s="1"/>
  <c r="A6" i="137" s="1"/>
  <c r="A7" i="137" s="1"/>
  <c r="A8" i="137" s="1"/>
  <c r="A9" i="137" s="1"/>
  <c r="A10" i="137" s="1"/>
  <c r="A11" i="137" s="1"/>
  <c r="A12" i="137" s="1"/>
  <c r="A13" i="137" s="1"/>
  <c r="A14" i="137" s="1"/>
  <c r="A15" i="137" s="1"/>
  <c r="A16" i="137" s="1"/>
  <c r="A17" i="137" s="1"/>
  <c r="A18" i="137" s="1"/>
  <c r="A19" i="137" s="1"/>
  <c r="A20" i="137" s="1"/>
  <c r="A21" i="137" s="1"/>
  <c r="A22" i="137" s="1"/>
  <c r="A23" i="137" s="1"/>
  <c r="A24" i="137" s="1"/>
  <c r="A25" i="137" s="1"/>
  <c r="A26" i="137" s="1"/>
  <c r="A27" i="137" s="1"/>
  <c r="A28" i="137" s="1"/>
  <c r="A29" i="137" s="1"/>
  <c r="A30" i="137" s="1"/>
  <c r="A31" i="137" s="1"/>
  <c r="A32" i="137" s="1"/>
  <c r="A33" i="137" s="1"/>
  <c r="A34" i="137" s="1"/>
  <c r="A35" i="137" s="1"/>
  <c r="A36" i="137" s="1"/>
  <c r="A37" i="137" s="1"/>
  <c r="A38" i="137" s="1"/>
  <c r="A39" i="137" s="1"/>
  <c r="A40" i="137" s="1"/>
  <c r="A41" i="137" s="1"/>
  <c r="A42" i="137" s="1"/>
  <c r="A43" i="137" s="1"/>
  <c r="A44" i="137" s="1"/>
  <c r="A45" i="137" s="1"/>
  <c r="A46" i="137" s="1"/>
  <c r="A47" i="137" s="1"/>
  <c r="A48" i="137" s="1"/>
  <c r="A49" i="137" s="1"/>
  <c r="A50" i="137" s="1"/>
  <c r="A51" i="137" s="1"/>
  <c r="A52" i="137" s="1"/>
  <c r="A53" i="137" s="1"/>
  <c r="A54" i="137" s="1"/>
  <c r="A55" i="137" s="1"/>
  <c r="A56" i="137" s="1"/>
  <c r="A57" i="137" s="1"/>
  <c r="A58" i="137" s="1"/>
  <c r="A59" i="137" s="1"/>
  <c r="A60" i="137" s="1"/>
  <c r="A61" i="137" s="1"/>
  <c r="A62" i="137" s="1"/>
  <c r="A63" i="137" s="1"/>
  <c r="A64" i="137" s="1"/>
  <c r="A65" i="137" s="1"/>
  <c r="A66" i="137" s="1"/>
  <c r="A67" i="137" s="1"/>
  <c r="A68" i="137" s="1"/>
  <c r="A69" i="137" s="1"/>
  <c r="A70" i="137" s="1"/>
  <c r="A71" i="137" s="1"/>
  <c r="A72" i="137" s="1"/>
  <c r="A73" i="137" s="1"/>
  <c r="A74" i="137" s="1"/>
  <c r="A75" i="137" s="1"/>
  <c r="A76" i="137" s="1"/>
  <c r="A77" i="137" s="1"/>
  <c r="A78" i="137" s="1"/>
  <c r="A79" i="137" s="1"/>
  <c r="A80" i="137" s="1"/>
  <c r="A81" i="137" s="1"/>
  <c r="A82" i="137" s="1"/>
  <c r="A83" i="137" s="1"/>
  <c r="A84" i="137" s="1"/>
  <c r="A85" i="137" s="1"/>
  <c r="A86" i="137" s="1"/>
  <c r="A87" i="137" s="1"/>
  <c r="A88" i="137" s="1"/>
  <c r="A89" i="137" s="1"/>
  <c r="A90" i="137" s="1"/>
  <c r="A91" i="137" s="1"/>
  <c r="A92" i="137" s="1"/>
  <c r="A93" i="137" s="1"/>
  <c r="A94" i="137" s="1"/>
  <c r="A95" i="137" s="1"/>
  <c r="A96" i="137" s="1"/>
  <c r="M4" i="137"/>
  <c r="O4" i="137"/>
  <c r="M5" i="137"/>
  <c r="P5" i="137" s="1"/>
  <c r="R5" i="137" s="1"/>
  <c r="S5" i="137" s="1"/>
  <c r="O5" i="137"/>
  <c r="M6" i="137"/>
  <c r="O6" i="137"/>
  <c r="P6" i="137" s="1"/>
  <c r="R6" i="137" s="1"/>
  <c r="S6" i="137" s="1"/>
  <c r="M7" i="137"/>
  <c r="O7" i="137"/>
  <c r="P7" i="137" s="1"/>
  <c r="R7" i="137" s="1"/>
  <c r="S7" i="137" s="1"/>
  <c r="M8" i="137"/>
  <c r="O8" i="137"/>
  <c r="M9" i="137"/>
  <c r="O9" i="137"/>
  <c r="M10" i="137"/>
  <c r="P10" i="137"/>
  <c r="R10" i="137" s="1"/>
  <c r="S10" i="137" s="1"/>
  <c r="O10" i="137"/>
  <c r="M11" i="137"/>
  <c r="O11" i="137"/>
  <c r="M12" i="137"/>
  <c r="O12" i="137"/>
  <c r="M13" i="137"/>
  <c r="O13" i="137"/>
  <c r="M14" i="137"/>
  <c r="P14" i="137" s="1"/>
  <c r="R14" i="137" s="1"/>
  <c r="S14" i="137" s="1"/>
  <c r="O14" i="137"/>
  <c r="M15" i="137"/>
  <c r="O15" i="137"/>
  <c r="M16" i="137"/>
  <c r="O16" i="137"/>
  <c r="M17" i="137"/>
  <c r="O17" i="137"/>
  <c r="M18" i="137"/>
  <c r="P18" i="137" s="1"/>
  <c r="R18" i="137" s="1"/>
  <c r="S18" i="137" s="1"/>
  <c r="M19" i="137"/>
  <c r="O19" i="137"/>
  <c r="M20" i="137"/>
  <c r="O20" i="137"/>
  <c r="P20" i="137" s="1"/>
  <c r="R20" i="137" s="1"/>
  <c r="S20" i="137" s="1"/>
  <c r="M21" i="137"/>
  <c r="O21" i="137"/>
  <c r="M22" i="137"/>
  <c r="P22" i="137"/>
  <c r="R22" i="137" s="1"/>
  <c r="S22" i="137" s="1"/>
  <c r="O22" i="137"/>
  <c r="M23" i="137"/>
  <c r="O23" i="137"/>
  <c r="M24" i="137"/>
  <c r="P24" i="137" s="1"/>
  <c r="R24" i="137" s="1"/>
  <c r="S24" i="137" s="1"/>
  <c r="M25" i="137"/>
  <c r="O25" i="137"/>
  <c r="P25" i="137" s="1"/>
  <c r="R25" i="137" s="1"/>
  <c r="S25" i="137" s="1"/>
  <c r="M26" i="137"/>
  <c r="P26" i="137" s="1"/>
  <c r="R26" i="137" s="1"/>
  <c r="S26" i="137" s="1"/>
  <c r="M27" i="137"/>
  <c r="O27" i="137"/>
  <c r="M28" i="137"/>
  <c r="P28" i="137" s="1"/>
  <c r="R28" i="137" s="1"/>
  <c r="S28" i="137" s="1"/>
  <c r="M29" i="137"/>
  <c r="O29" i="137"/>
  <c r="M30" i="137"/>
  <c r="P30" i="137"/>
  <c r="R30" i="137" s="1"/>
  <c r="S30" i="137" s="1"/>
  <c r="M31" i="137"/>
  <c r="P31" i="137" s="1"/>
  <c r="R31" i="137" s="1"/>
  <c r="S31" i="137" s="1"/>
  <c r="M32" i="137"/>
  <c r="P32" i="137" s="1"/>
  <c r="R32" i="137" s="1"/>
  <c r="S32" i="137" s="1"/>
  <c r="O32" i="137"/>
  <c r="M33" i="137"/>
  <c r="O33" i="137"/>
  <c r="P33" i="137" s="1"/>
  <c r="R33" i="137" s="1"/>
  <c r="S33" i="137" s="1"/>
  <c r="M34" i="137"/>
  <c r="O34" i="137"/>
  <c r="M35" i="137"/>
  <c r="O35" i="137"/>
  <c r="M36" i="137"/>
  <c r="O36" i="137"/>
  <c r="M37" i="137"/>
  <c r="P37" i="137"/>
  <c r="R37" i="137" s="1"/>
  <c r="S37" i="137" s="1"/>
  <c r="O37" i="137"/>
  <c r="M38" i="137"/>
  <c r="O38" i="137"/>
  <c r="M39" i="137"/>
  <c r="O39" i="137"/>
  <c r="M40" i="137"/>
  <c r="O40" i="137"/>
  <c r="M41" i="137"/>
  <c r="O41" i="137"/>
  <c r="M42" i="137"/>
  <c r="O42" i="137"/>
  <c r="M43" i="137"/>
  <c r="O43" i="137"/>
  <c r="M44" i="137"/>
  <c r="O44" i="137"/>
  <c r="M45" i="137"/>
  <c r="P45" i="137" s="1"/>
  <c r="R45" i="137" s="1"/>
  <c r="S45" i="137" s="1"/>
  <c r="O45" i="137"/>
  <c r="M46" i="137"/>
  <c r="O46" i="137"/>
  <c r="M47" i="137"/>
  <c r="O47" i="137"/>
  <c r="P47" i="137" s="1"/>
  <c r="R47" i="137" s="1"/>
  <c r="S47" i="137" s="1"/>
  <c r="M48" i="137"/>
  <c r="O48" i="137"/>
  <c r="M49" i="137"/>
  <c r="O49" i="137"/>
  <c r="M50" i="137"/>
  <c r="O50" i="137"/>
  <c r="M51" i="137"/>
  <c r="O51" i="137"/>
  <c r="P51" i="137" s="1"/>
  <c r="R51" i="137" s="1"/>
  <c r="S51" i="137" s="1"/>
  <c r="M52" i="137"/>
  <c r="O52" i="137"/>
  <c r="M53" i="137"/>
  <c r="O53" i="137"/>
  <c r="M54" i="137"/>
  <c r="O54" i="137"/>
  <c r="M55" i="137"/>
  <c r="P55" i="137"/>
  <c r="R55" i="137"/>
  <c r="S55" i="137" s="1"/>
  <c r="O55" i="137"/>
  <c r="M56" i="137"/>
  <c r="O56" i="137"/>
  <c r="M57" i="137"/>
  <c r="P57" i="137" s="1"/>
  <c r="R57" i="137" s="1"/>
  <c r="S57" i="137" s="1"/>
  <c r="O57" i="137"/>
  <c r="M58" i="137"/>
  <c r="O58" i="137"/>
  <c r="M59" i="137"/>
  <c r="O59" i="137"/>
  <c r="M60" i="137"/>
  <c r="O60" i="137"/>
  <c r="M61" i="137"/>
  <c r="O61" i="137"/>
  <c r="M62" i="137"/>
  <c r="O62" i="137"/>
  <c r="M63" i="137"/>
  <c r="O63" i="137"/>
  <c r="M64" i="137"/>
  <c r="O64" i="137"/>
  <c r="P64" i="137" s="1"/>
  <c r="R64" i="137" s="1"/>
  <c r="S64" i="137" s="1"/>
  <c r="M65" i="137"/>
  <c r="O65" i="137"/>
  <c r="P65" i="137" s="1"/>
  <c r="R65" i="137" s="1"/>
  <c r="S65" i="137" s="1"/>
  <c r="M66" i="137"/>
  <c r="P66" i="137" s="1"/>
  <c r="R66" i="137" s="1"/>
  <c r="S66" i="137" s="1"/>
  <c r="O66" i="137"/>
  <c r="M67" i="137"/>
  <c r="P67" i="137"/>
  <c r="R67" i="137" s="1"/>
  <c r="S67" i="137" s="1"/>
  <c r="O67" i="137"/>
  <c r="M68" i="137"/>
  <c r="O68" i="137"/>
  <c r="P68" i="137" s="1"/>
  <c r="R68" i="137" s="1"/>
  <c r="S68" i="137" s="1"/>
  <c r="M69" i="137"/>
  <c r="O69" i="137"/>
  <c r="M70" i="137"/>
  <c r="O70" i="137"/>
  <c r="M71" i="137"/>
  <c r="P71" i="137" s="1"/>
  <c r="R71" i="137" s="1"/>
  <c r="S71" i="137" s="1"/>
  <c r="O71" i="137"/>
  <c r="M72" i="137"/>
  <c r="O72" i="137"/>
  <c r="M73" i="137"/>
  <c r="O73" i="137"/>
  <c r="M74" i="137"/>
  <c r="O74" i="137"/>
  <c r="M75" i="137"/>
  <c r="P75" i="137" s="1"/>
  <c r="R75" i="137" s="1"/>
  <c r="S75" i="137" s="1"/>
  <c r="O75" i="137"/>
  <c r="M76" i="137"/>
  <c r="O76" i="137"/>
  <c r="M77" i="137"/>
  <c r="O77" i="137"/>
  <c r="M78" i="137"/>
  <c r="O78" i="137"/>
  <c r="M79" i="137"/>
  <c r="P79" i="137"/>
  <c r="R79" i="137" s="1"/>
  <c r="S79" i="137" s="1"/>
  <c r="M80" i="137"/>
  <c r="P80" i="137"/>
  <c r="R80" i="137" s="1"/>
  <c r="S80" i="137" s="1"/>
  <c r="M81" i="137"/>
  <c r="P81" i="137"/>
  <c r="R81" i="137"/>
  <c r="S81" i="137" s="1"/>
  <c r="M82" i="137"/>
  <c r="P82" i="137" s="1"/>
  <c r="R82" i="137" s="1"/>
  <c r="S82" i="137" s="1"/>
  <c r="M83" i="137"/>
  <c r="P83" i="137" s="1"/>
  <c r="R83" i="137" s="1"/>
  <c r="S83" i="137" s="1"/>
  <c r="M84" i="137"/>
  <c r="P84" i="137"/>
  <c r="R84" i="137"/>
  <c r="S84" i="137" s="1"/>
  <c r="M85" i="137"/>
  <c r="O85" i="137"/>
  <c r="P85" i="137"/>
  <c r="R85" i="137" s="1"/>
  <c r="S85" i="137" s="1"/>
  <c r="M86" i="137"/>
  <c r="P86" i="137" s="1"/>
  <c r="R86" i="137" s="1"/>
  <c r="S86" i="137" s="1"/>
  <c r="O86" i="137"/>
  <c r="M87" i="137"/>
  <c r="P87" i="137"/>
  <c r="R87" i="137" s="1"/>
  <c r="S87" i="137" s="1"/>
  <c r="M88" i="137"/>
  <c r="P88" i="137" s="1"/>
  <c r="R88" i="137" s="1"/>
  <c r="S88" i="137" s="1"/>
  <c r="M89" i="137"/>
  <c r="O89" i="137"/>
  <c r="P89" i="137" s="1"/>
  <c r="R89" i="137" s="1"/>
  <c r="S89" i="137" s="1"/>
  <c r="M90" i="137"/>
  <c r="P90" i="137" s="1"/>
  <c r="R90" i="137" s="1"/>
  <c r="S90" i="137" s="1"/>
  <c r="M91" i="137"/>
  <c r="P91" i="137" s="1"/>
  <c r="R91" i="137"/>
  <c r="S91" i="137" s="1"/>
  <c r="M92" i="137"/>
  <c r="P92" i="137" s="1"/>
  <c r="R92" i="137" s="1"/>
  <c r="S92" i="137" s="1"/>
  <c r="M93" i="137"/>
  <c r="P93" i="137" s="1"/>
  <c r="R93" i="137" s="1"/>
  <c r="S93" i="137" s="1"/>
  <c r="M94" i="137"/>
  <c r="P94" i="137" s="1"/>
  <c r="R94" i="137" s="1"/>
  <c r="S94" i="137" s="1"/>
  <c r="M95" i="137"/>
  <c r="P95" i="137" s="1"/>
  <c r="R95" i="137"/>
  <c r="S95" i="137" s="1"/>
  <c r="M96" i="137"/>
  <c r="P96" i="137" s="1"/>
  <c r="R96" i="137" s="1"/>
  <c r="S96" i="137" s="1"/>
  <c r="M3" i="86"/>
  <c r="P3" i="86" s="1"/>
  <c r="R3" i="86" s="1"/>
  <c r="S3" i="86" s="1"/>
  <c r="M4" i="86"/>
  <c r="P4" i="86" s="1"/>
  <c r="R4" i="86" s="1"/>
  <c r="S4" i="86" s="1"/>
  <c r="M5" i="86"/>
  <c r="P5" i="86" s="1"/>
  <c r="R5" i="86" s="1"/>
  <c r="S5" i="86" s="1"/>
  <c r="M6" i="86"/>
  <c r="P6" i="86" s="1"/>
  <c r="R6" i="86" s="1"/>
  <c r="S6" i="86" s="1"/>
  <c r="M7" i="86"/>
  <c r="P7" i="86" s="1"/>
  <c r="R7" i="86"/>
  <c r="S7" i="86" s="1"/>
  <c r="M8" i="86"/>
  <c r="P8" i="86" s="1"/>
  <c r="R8" i="86" s="1"/>
  <c r="S8" i="86" s="1"/>
  <c r="O8" i="86"/>
  <c r="M9" i="86"/>
  <c r="O9" i="86"/>
  <c r="P9" i="86" s="1"/>
  <c r="R9" i="86" s="1"/>
  <c r="S9" i="86" s="1"/>
  <c r="M10" i="86"/>
  <c r="P10" i="86" s="1"/>
  <c r="R10" i="86" s="1"/>
  <c r="S10" i="86" s="1"/>
  <c r="O10" i="86"/>
  <c r="M11" i="86"/>
  <c r="P11" i="86" s="1"/>
  <c r="R11" i="86" s="1"/>
  <c r="S11" i="86" s="1"/>
  <c r="M12" i="86"/>
  <c r="P12" i="86" s="1"/>
  <c r="R12" i="86" s="1"/>
  <c r="S12" i="86" s="1"/>
  <c r="M13" i="86"/>
  <c r="P13" i="86" s="1"/>
  <c r="R13" i="86" s="1"/>
  <c r="S13" i="86" s="1"/>
  <c r="M14" i="86"/>
  <c r="P14" i="86" s="1"/>
  <c r="R14" i="86" s="1"/>
  <c r="S14" i="86" s="1"/>
  <c r="M15" i="86"/>
  <c r="P15" i="86" s="1"/>
  <c r="R15" i="86" s="1"/>
  <c r="S15" i="86" s="1"/>
  <c r="M16" i="86"/>
  <c r="P16" i="86" s="1"/>
  <c r="R16" i="86"/>
  <c r="S16" i="86" s="1"/>
  <c r="M17" i="86"/>
  <c r="P17" i="86" s="1"/>
  <c r="R17" i="86" s="1"/>
  <c r="S17" i="86" s="1"/>
  <c r="M18" i="86"/>
  <c r="P18" i="86" s="1"/>
  <c r="R18" i="86"/>
  <c r="S18" i="86" s="1"/>
  <c r="M19" i="86"/>
  <c r="P19" i="86" s="1"/>
  <c r="R19" i="86" s="1"/>
  <c r="S19" i="86" s="1"/>
  <c r="M20" i="86"/>
  <c r="P20" i="86" s="1"/>
  <c r="R20" i="86" s="1"/>
  <c r="S20" i="86" s="1"/>
  <c r="M21" i="86"/>
  <c r="P21" i="86" s="1"/>
  <c r="R21" i="86" s="1"/>
  <c r="S21" i="86" s="1"/>
  <c r="M22" i="86"/>
  <c r="P22" i="86" s="1"/>
  <c r="R22" i="86"/>
  <c r="S22" i="86" s="1"/>
  <c r="M23" i="86"/>
  <c r="P23" i="86" s="1"/>
  <c r="R23" i="86" s="1"/>
  <c r="S23" i="86" s="1"/>
  <c r="M24" i="86"/>
  <c r="P24" i="86" s="1"/>
  <c r="R24" i="86"/>
  <c r="S24" i="86" s="1"/>
  <c r="M25" i="86"/>
  <c r="P25" i="86" s="1"/>
  <c r="R25" i="86" s="1"/>
  <c r="S25" i="86" s="1"/>
  <c r="M26" i="86"/>
  <c r="P26" i="86" s="1"/>
  <c r="R26" i="86"/>
  <c r="S26" i="86" s="1"/>
  <c r="M27" i="86"/>
  <c r="O27" i="86"/>
  <c r="M28" i="86"/>
  <c r="O28" i="86"/>
  <c r="P28" i="86" s="1"/>
  <c r="R28" i="86" s="1"/>
  <c r="S28" i="86" s="1"/>
  <c r="M30" i="86"/>
  <c r="O30" i="86"/>
  <c r="M31" i="86"/>
  <c r="O31" i="86"/>
  <c r="M33" i="86"/>
  <c r="P33" i="86" s="1"/>
  <c r="R33" i="86" s="1"/>
  <c r="S33" i="86" s="1"/>
  <c r="M34" i="86"/>
  <c r="P34" i="86" s="1"/>
  <c r="R34" i="86" s="1"/>
  <c r="S34" i="86" s="1"/>
  <c r="M37" i="86"/>
  <c r="P37" i="86" s="1"/>
  <c r="R37" i="86" s="1"/>
  <c r="S37" i="86" s="1"/>
  <c r="M38" i="86"/>
  <c r="P38" i="86"/>
  <c r="R38" i="86" s="1"/>
  <c r="S38" i="86" s="1"/>
  <c r="M39" i="86"/>
  <c r="P39" i="86" s="1"/>
  <c r="R39" i="86" s="1"/>
  <c r="S39" i="86" s="1"/>
  <c r="M40" i="86"/>
  <c r="P40" i="86"/>
  <c r="R40" i="86" s="1"/>
  <c r="S40" i="86" s="1"/>
  <c r="M41" i="86"/>
  <c r="P41" i="86"/>
  <c r="R41" i="86" s="1"/>
  <c r="S41" i="86"/>
  <c r="M42" i="86"/>
  <c r="P42" i="86" s="1"/>
  <c r="R42" i="86" s="1"/>
  <c r="S42" i="86" s="1"/>
  <c r="M43" i="86"/>
  <c r="P43" i="86"/>
  <c r="R43" i="86" s="1"/>
  <c r="S43" i="86" s="1"/>
  <c r="M44" i="86"/>
  <c r="P44" i="86"/>
  <c r="R44" i="86" s="1"/>
  <c r="S44" i="86" s="1"/>
  <c r="M45" i="86"/>
  <c r="P45" i="86" s="1"/>
  <c r="R45" i="86" s="1"/>
  <c r="S45" i="86" s="1"/>
  <c r="M46" i="86"/>
  <c r="P46" i="86" s="1"/>
  <c r="R46" i="86" s="1"/>
  <c r="S46" i="86" s="1"/>
  <c r="M47" i="86"/>
  <c r="P47" i="86"/>
  <c r="R47" i="86" s="1"/>
  <c r="S47" i="86" s="1"/>
  <c r="M48" i="86"/>
  <c r="O48" i="86"/>
  <c r="P48" i="86" s="1"/>
  <c r="R48" i="86" s="1"/>
  <c r="S48" i="86" s="1"/>
  <c r="M49" i="86"/>
  <c r="P49" i="86" s="1"/>
  <c r="R49" i="86" s="1"/>
  <c r="S49" i="86" s="1"/>
  <c r="O49" i="86"/>
  <c r="M50" i="86"/>
  <c r="O50" i="86"/>
  <c r="P50" i="86" s="1"/>
  <c r="R50" i="86" s="1"/>
  <c r="S50" i="86" s="1"/>
  <c r="M51" i="86"/>
  <c r="O51" i="86"/>
  <c r="M52" i="86"/>
  <c r="P52" i="86" s="1"/>
  <c r="R52" i="86" s="1"/>
  <c r="S52" i="86" s="1"/>
  <c r="M53" i="86"/>
  <c r="O53" i="86"/>
  <c r="M54" i="86"/>
  <c r="O54" i="86"/>
  <c r="M55" i="86"/>
  <c r="O55" i="86"/>
  <c r="M56" i="86"/>
  <c r="O56" i="86"/>
  <c r="M57" i="86"/>
  <c r="O57" i="86"/>
  <c r="M58" i="86"/>
  <c r="P58" i="86" s="1"/>
  <c r="R58" i="86"/>
  <c r="S58" i="86" s="1"/>
  <c r="M59" i="86"/>
  <c r="P59" i="86" s="1"/>
  <c r="R59" i="86" s="1"/>
  <c r="S59" i="86" s="1"/>
  <c r="M60" i="86"/>
  <c r="P60" i="86" s="1"/>
  <c r="R60" i="86" s="1"/>
  <c r="S60" i="86" s="1"/>
  <c r="M61" i="86"/>
  <c r="P61" i="86" s="1"/>
  <c r="R61" i="86" s="1"/>
  <c r="S61" i="86" s="1"/>
  <c r="M62" i="86"/>
  <c r="P62" i="86" s="1"/>
  <c r="R62" i="86" s="1"/>
  <c r="S62" i="86" s="1"/>
  <c r="M63" i="86"/>
  <c r="P63" i="86" s="1"/>
  <c r="R63" i="86" s="1"/>
  <c r="S63" i="86" s="1"/>
  <c r="M64" i="86"/>
  <c r="P64" i="86" s="1"/>
  <c r="R64" i="86"/>
  <c r="S64" i="86" s="1"/>
  <c r="M65" i="86"/>
  <c r="P65" i="86" s="1"/>
  <c r="R65" i="86" s="1"/>
  <c r="S65" i="86" s="1"/>
  <c r="M66" i="86"/>
  <c r="P66" i="86" s="1"/>
  <c r="R66" i="86" s="1"/>
  <c r="S66" i="86" s="1"/>
  <c r="M67" i="86"/>
  <c r="P67" i="86" s="1"/>
  <c r="R67" i="86" s="1"/>
  <c r="S67" i="86" s="1"/>
  <c r="M68" i="86"/>
  <c r="P68" i="86" s="1"/>
  <c r="R68" i="86" s="1"/>
  <c r="S68" i="86" s="1"/>
  <c r="M69" i="86"/>
  <c r="P69" i="86" s="1"/>
  <c r="R69" i="86" s="1"/>
  <c r="S69" i="86" s="1"/>
  <c r="M70" i="86"/>
  <c r="P70" i="86" s="1"/>
  <c r="R70" i="86"/>
  <c r="S70" i="86" s="1"/>
  <c r="M71" i="86"/>
  <c r="P71" i="86" s="1"/>
  <c r="R71" i="86" s="1"/>
  <c r="S71" i="86" s="1"/>
  <c r="M72" i="86"/>
  <c r="P72" i="86" s="1"/>
  <c r="R72" i="86" s="1"/>
  <c r="S72" i="86" s="1"/>
  <c r="M73" i="86"/>
  <c r="P73" i="86" s="1"/>
  <c r="R73" i="86" s="1"/>
  <c r="S73" i="86" s="1"/>
  <c r="M76" i="86"/>
  <c r="P76" i="86" s="1"/>
  <c r="R76" i="86"/>
  <c r="S76" i="86" s="1"/>
  <c r="M79" i="86"/>
  <c r="P79" i="86" s="1"/>
  <c r="R79" i="86" s="1"/>
  <c r="S79" i="86" s="1"/>
  <c r="M80" i="86"/>
  <c r="P80" i="86" s="1"/>
  <c r="R80" i="86" s="1"/>
  <c r="S80" i="86" s="1"/>
  <c r="M81" i="86"/>
  <c r="P81" i="86" s="1"/>
  <c r="R81" i="86" s="1"/>
  <c r="S81" i="86" s="1"/>
  <c r="M82" i="86"/>
  <c r="P82" i="86" s="1"/>
  <c r="R82" i="86" s="1"/>
  <c r="S82" i="86" s="1"/>
  <c r="M83" i="86"/>
  <c r="P83" i="86" s="1"/>
  <c r="R83" i="86" s="1"/>
  <c r="S83" i="86" s="1"/>
  <c r="M84" i="86"/>
  <c r="O84" i="86"/>
  <c r="P84" i="86" s="1"/>
  <c r="R84" i="86" s="1"/>
  <c r="S84" i="86" s="1"/>
  <c r="M85" i="86"/>
  <c r="P85" i="86" s="1"/>
  <c r="R85" i="86" s="1"/>
  <c r="S85" i="86" s="1"/>
  <c r="O85" i="86"/>
  <c r="M86" i="86"/>
  <c r="O86" i="86"/>
  <c r="P86" i="86" s="1"/>
  <c r="R86" i="86" s="1"/>
  <c r="S86" i="86" s="1"/>
  <c r="M87" i="86"/>
  <c r="O87" i="86"/>
  <c r="P87" i="86" s="1"/>
  <c r="R87" i="86" s="1"/>
  <c r="S87" i="86" s="1"/>
  <c r="M88" i="86"/>
  <c r="O88" i="86"/>
  <c r="M89" i="86"/>
  <c r="O89" i="86"/>
  <c r="M92" i="86"/>
  <c r="O92" i="86"/>
  <c r="P92" i="86" s="1"/>
  <c r="R92" i="86" s="1"/>
  <c r="S92" i="86" s="1"/>
  <c r="M93" i="86"/>
  <c r="P93" i="86" s="1"/>
  <c r="R93" i="86" s="1"/>
  <c r="S93" i="86" s="1"/>
  <c r="M94" i="86"/>
  <c r="P94" i="86" s="1"/>
  <c r="R94" i="86" s="1"/>
  <c r="S94" i="86" s="1"/>
  <c r="M95" i="86"/>
  <c r="P95" i="86" s="1"/>
  <c r="R95" i="86"/>
  <c r="S95" i="86" s="1"/>
  <c r="M96" i="86"/>
  <c r="P96" i="86" s="1"/>
  <c r="R96" i="86"/>
  <c r="S96" i="86"/>
  <c r="M97" i="86"/>
  <c r="P97" i="86" s="1"/>
  <c r="R97" i="86" s="1"/>
  <c r="S97" i="86" s="1"/>
  <c r="M98" i="86"/>
  <c r="O98" i="86"/>
  <c r="M101" i="86"/>
  <c r="P101" i="86"/>
  <c r="R101" i="86" s="1"/>
  <c r="S101" i="86" s="1"/>
  <c r="O101" i="86"/>
  <c r="M107" i="86"/>
  <c r="P107" i="86" s="1"/>
  <c r="R107" i="86" s="1"/>
  <c r="S107" i="86" s="1"/>
  <c r="O107" i="86"/>
  <c r="M110" i="86"/>
  <c r="O110" i="86"/>
  <c r="M111" i="86"/>
  <c r="P111" i="86" s="1"/>
  <c r="R111" i="86" s="1"/>
  <c r="S111" i="86" s="1"/>
  <c r="O111" i="86"/>
  <c r="M112" i="86"/>
  <c r="O112" i="86"/>
  <c r="M113" i="86"/>
  <c r="P113" i="86" s="1"/>
  <c r="R113" i="86" s="1"/>
  <c r="S113" i="86" s="1"/>
  <c r="O113" i="86"/>
  <c r="G1" i="138"/>
  <c r="P55" i="86"/>
  <c r="R55" i="86" s="1"/>
  <c r="S55" i="86" s="1"/>
  <c r="P12" i="137"/>
  <c r="R12" i="137" s="1"/>
  <c r="S12" i="137" s="1"/>
  <c r="P76" i="137" l="1"/>
  <c r="R76" i="137" s="1"/>
  <c r="S76" i="137" s="1"/>
  <c r="P88" i="86"/>
  <c r="R88" i="86" s="1"/>
  <c r="S88" i="86" s="1"/>
  <c r="P60" i="137"/>
  <c r="R60" i="137" s="1"/>
  <c r="S60" i="137" s="1"/>
  <c r="P48" i="137"/>
  <c r="R48" i="137" s="1"/>
  <c r="S48" i="137" s="1"/>
  <c r="P46" i="137"/>
  <c r="R46" i="137" s="1"/>
  <c r="S46" i="137" s="1"/>
  <c r="P110" i="86"/>
  <c r="R110" i="86" s="1"/>
  <c r="S110" i="86" s="1"/>
  <c r="P51" i="86"/>
  <c r="R51" i="86" s="1"/>
  <c r="S51" i="86" s="1"/>
  <c r="P74" i="137"/>
  <c r="R74" i="137" s="1"/>
  <c r="S74" i="137" s="1"/>
  <c r="P70" i="137"/>
  <c r="R70" i="137" s="1"/>
  <c r="S70" i="137" s="1"/>
  <c r="P58" i="137"/>
  <c r="R58" i="137" s="1"/>
  <c r="S58" i="137" s="1"/>
  <c r="P53" i="137"/>
  <c r="R53" i="137" s="1"/>
  <c r="S53" i="137" s="1"/>
  <c r="P44" i="137"/>
  <c r="R44" i="137" s="1"/>
  <c r="S44" i="137" s="1"/>
  <c r="P17" i="137"/>
  <c r="R17" i="137" s="1"/>
  <c r="S17" i="137" s="1"/>
  <c r="P15" i="137"/>
  <c r="R15" i="137" s="1"/>
  <c r="S15" i="137" s="1"/>
  <c r="P13" i="137"/>
  <c r="R13" i="137" s="1"/>
  <c r="S13" i="137" s="1"/>
  <c r="P57" i="86"/>
  <c r="R57" i="86" s="1"/>
  <c r="S57" i="86" s="1"/>
  <c r="P30" i="86"/>
  <c r="R30" i="86" s="1"/>
  <c r="S30" i="86" s="1"/>
  <c r="P73" i="137"/>
  <c r="R73" i="137" s="1"/>
  <c r="S73" i="137" s="1"/>
  <c r="P63" i="137"/>
  <c r="R63" i="137" s="1"/>
  <c r="S63" i="137" s="1"/>
  <c r="P61" i="137"/>
  <c r="R61" i="137" s="1"/>
  <c r="S61" i="137" s="1"/>
  <c r="P59" i="137"/>
  <c r="R59" i="137" s="1"/>
  <c r="S59" i="137" s="1"/>
  <c r="P54" i="137"/>
  <c r="R54" i="137" s="1"/>
  <c r="S54" i="137" s="1"/>
  <c r="P49" i="137"/>
  <c r="R49" i="137" s="1"/>
  <c r="S49" i="137" s="1"/>
  <c r="P41" i="137"/>
  <c r="R41" i="137" s="1"/>
  <c r="S41" i="137" s="1"/>
  <c r="P34" i="137"/>
  <c r="R34" i="137" s="1"/>
  <c r="S34" i="137" s="1"/>
  <c r="P21" i="137"/>
  <c r="R21" i="137" s="1"/>
  <c r="S21" i="137" s="1"/>
  <c r="P16" i="137"/>
  <c r="R16" i="137" s="1"/>
  <c r="S16" i="137" s="1"/>
  <c r="P9" i="137"/>
  <c r="R9" i="137" s="1"/>
  <c r="S9" i="137" s="1"/>
  <c r="P108" i="86"/>
  <c r="R108" i="86" s="1"/>
  <c r="S108" i="86" s="1"/>
  <c r="P42" i="137"/>
  <c r="R42" i="137" s="1"/>
  <c r="S42" i="137" s="1"/>
  <c r="P35" i="137"/>
  <c r="R35" i="137" s="1"/>
  <c r="S35" i="137" s="1"/>
  <c r="P29" i="137"/>
  <c r="R29" i="137" s="1"/>
  <c r="S29" i="137" s="1"/>
  <c r="P11" i="137"/>
  <c r="R11" i="137" s="1"/>
  <c r="S11" i="137" s="1"/>
  <c r="P98" i="86"/>
  <c r="R98" i="86" s="1"/>
  <c r="S98" i="86" s="1"/>
  <c r="P89" i="86"/>
  <c r="R89" i="86" s="1"/>
  <c r="S89" i="86" s="1"/>
  <c r="P54" i="86"/>
  <c r="R54" i="86" s="1"/>
  <c r="S54" i="86" s="1"/>
  <c r="P27" i="86"/>
  <c r="R27" i="86" s="1"/>
  <c r="S27" i="86" s="1"/>
  <c r="P50" i="137"/>
  <c r="R50" i="137" s="1"/>
  <c r="S50" i="137" s="1"/>
  <c r="P77" i="137"/>
  <c r="R77" i="137" s="1"/>
  <c r="S77" i="137" s="1"/>
  <c r="P52" i="137"/>
  <c r="R52" i="137" s="1"/>
  <c r="S52" i="137" s="1"/>
  <c r="P40" i="137"/>
  <c r="R40" i="137" s="1"/>
  <c r="S40" i="137" s="1"/>
  <c r="P112" i="86"/>
  <c r="R112" i="86" s="1"/>
  <c r="S112" i="86" s="1"/>
  <c r="P56" i="86"/>
  <c r="R56" i="86" s="1"/>
  <c r="S56" i="86" s="1"/>
  <c r="P27" i="137"/>
  <c r="R27" i="137" s="1"/>
  <c r="S27" i="137" s="1"/>
  <c r="P4" i="137"/>
  <c r="R4" i="137" s="1"/>
  <c r="S4" i="137" s="1"/>
  <c r="P78" i="137"/>
  <c r="R78" i="137" s="1"/>
  <c r="S78" i="137" s="1"/>
  <c r="P69" i="137"/>
  <c r="R69" i="137" s="1"/>
  <c r="S69" i="137" s="1"/>
  <c r="P62" i="137"/>
  <c r="R62" i="137" s="1"/>
  <c r="S62" i="137" s="1"/>
  <c r="P43" i="137"/>
  <c r="R43" i="137" s="1"/>
  <c r="S43" i="137" s="1"/>
  <c r="P39" i="137"/>
  <c r="R39" i="137" s="1"/>
  <c r="S39" i="137" s="1"/>
  <c r="P36" i="137"/>
  <c r="R36" i="137" s="1"/>
  <c r="S36" i="137" s="1"/>
  <c r="P8" i="137"/>
  <c r="R8" i="137" s="1"/>
  <c r="S8" i="137" s="1"/>
  <c r="P72" i="137"/>
  <c r="R72" i="137" s="1"/>
  <c r="S72" i="137" s="1"/>
  <c r="P53" i="86"/>
  <c r="R53" i="86" s="1"/>
  <c r="S53" i="86" s="1"/>
  <c r="P56" i="137"/>
  <c r="R56" i="137" s="1"/>
  <c r="S56" i="137" s="1"/>
  <c r="P31" i="86"/>
  <c r="R31" i="86" s="1"/>
  <c r="S31" i="86" s="1"/>
  <c r="P38" i="137"/>
  <c r="R38" i="137" s="1"/>
  <c r="S38" i="137" s="1"/>
  <c r="P23" i="137"/>
  <c r="R23" i="137" s="1"/>
  <c r="S23" i="137" s="1"/>
  <c r="P19" i="137"/>
  <c r="R19" i="137" s="1"/>
  <c r="S19" i="137" s="1"/>
  <c r="A4" i="141" l="1"/>
  <c r="A4" i="143" l="1"/>
  <c r="B3" i="141"/>
  <c r="F3" i="141" s="1"/>
  <c r="A5" i="143" l="1"/>
  <c r="B4" i="141"/>
  <c r="F4" i="141" s="1"/>
  <c r="C3" i="141"/>
  <c r="D3" i="141" l="1"/>
  <c r="A6" i="143"/>
  <c r="A5" i="141"/>
  <c r="A6" i="141" s="1"/>
  <c r="A7" i="141" s="1"/>
  <c r="B5" i="141"/>
  <c r="F5" i="141" s="1"/>
  <c r="A7" i="143" l="1"/>
  <c r="A8" i="141"/>
  <c r="B6" i="141"/>
  <c r="F6" i="141" s="1"/>
  <c r="A8" i="143" l="1"/>
  <c r="A9" i="141"/>
  <c r="B7" i="141"/>
  <c r="F7" i="141" s="1"/>
  <c r="A9" i="143" l="1"/>
  <c r="A10" i="141"/>
  <c r="B8" i="141"/>
  <c r="F8" i="141" s="1"/>
  <c r="A10" i="143" l="1"/>
  <c r="A11" i="141"/>
  <c r="B9" i="141"/>
  <c r="F9" i="141" s="1"/>
  <c r="A11" i="143" l="1"/>
  <c r="A12" i="141"/>
  <c r="B10" i="141"/>
  <c r="F10" i="141" s="1"/>
  <c r="A12" i="143" l="1"/>
  <c r="A13" i="141"/>
  <c r="B11" i="141"/>
  <c r="F11" i="141" s="1"/>
  <c r="A13" i="143" l="1"/>
  <c r="A14" i="141"/>
  <c r="B12" i="141"/>
  <c r="F12" i="141" s="1"/>
  <c r="A14" i="143" l="1"/>
  <c r="A15" i="141"/>
  <c r="B13" i="141"/>
  <c r="F13" i="141" s="1"/>
  <c r="A15" i="143" l="1"/>
  <c r="A16" i="141"/>
  <c r="B14" i="141"/>
  <c r="F14" i="141" s="1"/>
  <c r="A16" i="143" l="1"/>
  <c r="A17" i="141"/>
  <c r="B15" i="141"/>
  <c r="F15" i="141" s="1"/>
  <c r="A17" i="143" l="1"/>
  <c r="A18" i="141"/>
  <c r="A18" i="143" l="1"/>
  <c r="A19" i="141"/>
  <c r="A19" i="143" l="1"/>
  <c r="A20" i="141"/>
  <c r="A20" i="143" l="1"/>
  <c r="A21" i="141"/>
  <c r="A21" i="143" l="1"/>
  <c r="A22" i="141"/>
  <c r="A22" i="143" l="1"/>
  <c r="A23" i="141"/>
  <c r="A23" i="143" l="1"/>
  <c r="A24" i="141"/>
  <c r="A24" i="143" l="1"/>
  <c r="A25" i="141"/>
  <c r="A25" i="143" l="1"/>
  <c r="A26" i="141"/>
  <c r="A26" i="143" l="1"/>
  <c r="A27" i="141"/>
  <c r="A27" i="143" l="1"/>
  <c r="A28" i="141"/>
  <c r="A28" i="143" l="1"/>
  <c r="A29" i="141"/>
  <c r="A29" i="143" l="1"/>
  <c r="A30" i="141"/>
  <c r="A30" i="143" l="1"/>
  <c r="A31" i="141"/>
  <c r="A31" i="143" l="1"/>
  <c r="A32" i="141"/>
  <c r="H3" i="141" l="1"/>
  <c r="A32" i="143"/>
  <c r="A33" i="141"/>
  <c r="A33" i="143" l="1"/>
  <c r="A34" i="141"/>
  <c r="A34" i="143" l="1"/>
  <c r="A35" i="141"/>
  <c r="I86" i="138"/>
  <c r="F66" i="138"/>
  <c r="I78" i="138"/>
  <c r="I50" i="138"/>
  <c r="I104" i="138"/>
  <c r="E44" i="138"/>
  <c r="E70" i="138"/>
  <c r="E10" i="141"/>
  <c r="E52" i="138"/>
  <c r="G86" i="138"/>
  <c r="I91" i="138"/>
  <c r="G91" i="138"/>
  <c r="E68" i="138"/>
  <c r="F123" i="138"/>
  <c r="F119" i="138"/>
  <c r="F69" i="138"/>
  <c r="E77" i="138"/>
  <c r="I42" i="138"/>
  <c r="G95" i="138"/>
  <c r="E69" i="138"/>
  <c r="G125" i="138"/>
  <c r="E86" i="138"/>
  <c r="I22" i="138"/>
  <c r="F21" i="138"/>
  <c r="B16" i="141"/>
  <c r="F16" i="141" s="1"/>
  <c r="E4" i="141"/>
  <c r="I118" i="138"/>
  <c r="B23" i="141"/>
  <c r="F23" i="141" s="1"/>
  <c r="G99" i="138"/>
  <c r="G4" i="138"/>
  <c r="E119" i="138"/>
  <c r="E46" i="138"/>
  <c r="G94" i="138"/>
  <c r="I45" i="138"/>
  <c r="G53" i="138"/>
  <c r="F48" i="138"/>
  <c r="E80" i="138"/>
  <c r="E81" i="138"/>
  <c r="E121" i="138"/>
  <c r="F101" i="138"/>
  <c r="G5" i="138"/>
  <c r="F109" i="138"/>
  <c r="G114" i="138"/>
  <c r="F5" i="138"/>
  <c r="I54" i="138"/>
  <c r="F93" i="138"/>
  <c r="F97" i="138"/>
  <c r="E65" i="138"/>
  <c r="E76" i="138"/>
  <c r="G22" i="138"/>
  <c r="I111" i="138"/>
  <c r="C10" i="141"/>
  <c r="F26" i="138"/>
  <c r="E120" i="138"/>
  <c r="F86" i="138"/>
  <c r="F41" i="138"/>
  <c r="E78" i="138"/>
  <c r="I103" i="138"/>
  <c r="G101" i="138"/>
  <c r="C15" i="141"/>
  <c r="E103" i="138"/>
  <c r="G72" i="138"/>
  <c r="E118" i="138"/>
  <c r="E8" i="138"/>
  <c r="G82" i="138"/>
  <c r="E27" i="138"/>
  <c r="F18" i="138"/>
  <c r="I32" i="138"/>
  <c r="E82" i="138"/>
  <c r="F116" i="138"/>
  <c r="F49" i="138"/>
  <c r="F61" i="138"/>
  <c r="G59" i="138"/>
  <c r="I56" i="138"/>
  <c r="I26" i="138"/>
  <c r="E14" i="141"/>
  <c r="G61" i="138"/>
  <c r="E123" i="138"/>
  <c r="E3" i="138"/>
  <c r="I121" i="138"/>
  <c r="G6" i="138"/>
  <c r="E26" i="138"/>
  <c r="E102" i="138"/>
  <c r="C12" i="141"/>
  <c r="G76" i="138"/>
  <c r="E11" i="138"/>
  <c r="I69" i="138"/>
  <c r="F16" i="138"/>
  <c r="F25" i="138"/>
  <c r="F57" i="138"/>
  <c r="E128" i="138"/>
  <c r="I35" i="138"/>
  <c r="F59" i="138"/>
  <c r="I74" i="138"/>
  <c r="I128" i="138"/>
  <c r="E29" i="138"/>
  <c r="E101" i="138"/>
  <c r="F40" i="138"/>
  <c r="F38" i="138"/>
  <c r="E36" i="138"/>
  <c r="E15" i="141"/>
  <c r="G71" i="138"/>
  <c r="E53" i="138"/>
  <c r="I65" i="138"/>
  <c r="F60" i="138"/>
  <c r="F39" i="138"/>
  <c r="G18" i="138"/>
  <c r="I43" i="138"/>
  <c r="E87" i="138"/>
  <c r="I90" i="138"/>
  <c r="F35" i="138"/>
  <c r="G8" i="138"/>
  <c r="I53" i="138"/>
  <c r="G100" i="138"/>
  <c r="I55" i="138"/>
  <c r="G66" i="138"/>
  <c r="G121" i="138"/>
  <c r="G83" i="138"/>
  <c r="G24" i="138"/>
  <c r="G65" i="138"/>
  <c r="E79" i="138"/>
  <c r="I21" i="138"/>
  <c r="G28" i="138"/>
  <c r="F126" i="138"/>
  <c r="B20" i="141"/>
  <c r="F20" i="141" s="1"/>
  <c r="F51" i="138"/>
  <c r="F95" i="138"/>
  <c r="E6" i="138"/>
  <c r="G60" i="138"/>
  <c r="G79" i="138"/>
  <c r="I41" i="138"/>
  <c r="E115" i="138"/>
  <c r="E50" i="138"/>
  <c r="E8" i="141"/>
  <c r="F27" i="138"/>
  <c r="G19" i="138"/>
  <c r="G23" i="138"/>
  <c r="F108" i="138"/>
  <c r="G29" i="138"/>
  <c r="E74" i="138"/>
  <c r="E73" i="138"/>
  <c r="F112" i="138"/>
  <c r="I52" i="138"/>
  <c r="G39" i="138"/>
  <c r="F81" i="138"/>
  <c r="E37" i="138"/>
  <c r="I48" i="138"/>
  <c r="G3" i="138"/>
  <c r="B27" i="141"/>
  <c r="F27" i="141" s="1"/>
  <c r="I122" i="138"/>
  <c r="G15" i="138"/>
  <c r="G70" i="138"/>
  <c r="G128" i="138"/>
  <c r="I16" i="138"/>
  <c r="F12" i="138"/>
  <c r="F55" i="138"/>
  <c r="G25" i="138"/>
  <c r="F22" i="138"/>
  <c r="F14" i="138"/>
  <c r="I79" i="138"/>
  <c r="G51" i="138"/>
  <c r="I19" i="138"/>
  <c r="G11" i="138"/>
  <c r="E92" i="138"/>
  <c r="I108" i="138"/>
  <c r="F11" i="138"/>
  <c r="I116" i="138"/>
  <c r="F78" i="138"/>
  <c r="G67" i="138"/>
  <c r="G57" i="138"/>
  <c r="F80" i="138"/>
  <c r="I84" i="138"/>
  <c r="E23" i="138"/>
  <c r="E61" i="138"/>
  <c r="F29" i="138"/>
  <c r="I28" i="138"/>
  <c r="E110" i="138"/>
  <c r="I31" i="138"/>
  <c r="E7" i="141"/>
  <c r="E93" i="138"/>
  <c r="I37" i="138"/>
  <c r="G13" i="138"/>
  <c r="I49" i="138"/>
  <c r="F13" i="138"/>
  <c r="I95" i="138"/>
  <c r="I92" i="138"/>
  <c r="G7" i="138"/>
  <c r="G122" i="138"/>
  <c r="I75" i="138"/>
  <c r="F36" i="138"/>
  <c r="F76" i="138"/>
  <c r="I46" i="138"/>
  <c r="F96" i="138"/>
  <c r="E31" i="138"/>
  <c r="I105" i="138"/>
  <c r="F46" i="138"/>
  <c r="I119" i="138"/>
  <c r="I62" i="138"/>
  <c r="E40" i="138"/>
  <c r="G84" i="138"/>
  <c r="G45" i="138"/>
  <c r="G124" i="138"/>
  <c r="G43" i="138"/>
  <c r="G20" i="138"/>
  <c r="C4" i="141"/>
  <c r="E3" i="141"/>
  <c r="I8" i="138"/>
  <c r="E28" i="138"/>
  <c r="I13" i="138"/>
  <c r="G14" i="138"/>
  <c r="B17" i="141"/>
  <c r="F17" i="141" s="1"/>
  <c r="F85" i="138"/>
  <c r="G16" i="138"/>
  <c r="G47" i="138"/>
  <c r="G50" i="138"/>
  <c r="E60" i="138"/>
  <c r="E126" i="138"/>
  <c r="I12" i="138"/>
  <c r="I4" i="138"/>
  <c r="G12" i="138"/>
  <c r="G81" i="138"/>
  <c r="G127" i="138"/>
  <c r="C13" i="141"/>
  <c r="F67" i="138"/>
  <c r="I58" i="138"/>
  <c r="E57" i="138"/>
  <c r="I81" i="138"/>
  <c r="F68" i="138"/>
  <c r="G44" i="138"/>
  <c r="B31" i="141"/>
  <c r="F31" i="141" s="1"/>
  <c r="E4" i="138"/>
  <c r="G10" i="138"/>
  <c r="F45" i="138"/>
  <c r="I98" i="138"/>
  <c r="C8" i="141"/>
  <c r="I9" i="138"/>
  <c r="I5" i="138"/>
  <c r="F33" i="138"/>
  <c r="I34" i="138"/>
  <c r="E12" i="141"/>
  <c r="C14" i="141"/>
  <c r="E24" i="138"/>
  <c r="E10" i="138"/>
  <c r="I61" i="138"/>
  <c r="E113" i="138"/>
  <c r="G49" i="138"/>
  <c r="F114" i="138"/>
  <c r="F79" i="138"/>
  <c r="I30" i="138"/>
  <c r="E114" i="138"/>
  <c r="G77" i="138"/>
  <c r="F90" i="138"/>
  <c r="G115" i="138"/>
  <c r="G58" i="138"/>
  <c r="B22" i="141"/>
  <c r="F22" i="141" s="1"/>
  <c r="F24" i="138"/>
  <c r="F89" i="138"/>
  <c r="I99" i="138"/>
  <c r="G103" i="138"/>
  <c r="B25" i="141"/>
  <c r="F25" i="141" s="1"/>
  <c r="B26" i="141"/>
  <c r="F26" i="141" s="1"/>
  <c r="E127" i="138"/>
  <c r="E62" i="138"/>
  <c r="E109" i="138"/>
  <c r="E38" i="138"/>
  <c r="G119" i="138"/>
  <c r="E47" i="138"/>
  <c r="I33" i="138"/>
  <c r="I14" i="138"/>
  <c r="I106" i="138"/>
  <c r="E12" i="138"/>
  <c r="E111" i="138"/>
  <c r="I18" i="138"/>
  <c r="I36" i="138"/>
  <c r="F20" i="138"/>
  <c r="E72" i="138"/>
  <c r="F56" i="138"/>
  <c r="E14" i="138"/>
  <c r="F113" i="138"/>
  <c r="I117" i="138"/>
  <c r="F102" i="138"/>
  <c r="G107" i="138"/>
  <c r="G42" i="138"/>
  <c r="F103" i="138"/>
  <c r="G30" i="138"/>
  <c r="F23" i="138"/>
  <c r="E20" i="138"/>
  <c r="I101" i="138"/>
  <c r="C11" i="141"/>
  <c r="G80" i="138"/>
  <c r="E32" i="138"/>
  <c r="E54" i="138"/>
  <c r="G87" i="138"/>
  <c r="I120" i="138"/>
  <c r="E25" i="138"/>
  <c r="I85" i="138"/>
  <c r="I80" i="138"/>
  <c r="E66" i="138"/>
  <c r="G38" i="138"/>
  <c r="F32" i="138"/>
  <c r="I100" i="138"/>
  <c r="F127" i="138"/>
  <c r="G109" i="138"/>
  <c r="G123" i="138"/>
  <c r="E100" i="138"/>
  <c r="F74" i="138"/>
  <c r="I60" i="138"/>
  <c r="I110" i="138"/>
  <c r="G27" i="138"/>
  <c r="E49" i="138"/>
  <c r="E59" i="138"/>
  <c r="G41" i="138"/>
  <c r="E112" i="138"/>
  <c r="G35" i="138"/>
  <c r="G34" i="138"/>
  <c r="I97" i="138"/>
  <c r="G73" i="138"/>
  <c r="G33" i="138"/>
  <c r="G78" i="138"/>
  <c r="I63" i="138"/>
  <c r="F77" i="138"/>
  <c r="B30" i="141"/>
  <c r="F30" i="141" s="1"/>
  <c r="I25" i="138"/>
  <c r="E43" i="138"/>
  <c r="E17" i="138"/>
  <c r="G96" i="138"/>
  <c r="E122" i="138"/>
  <c r="E99" i="138"/>
  <c r="F15" i="138"/>
  <c r="E33" i="138"/>
  <c r="F121" i="138"/>
  <c r="G56" i="138"/>
  <c r="G64" i="138"/>
  <c r="F120" i="138"/>
  <c r="F71" i="138"/>
  <c r="G118" i="138"/>
  <c r="I114" i="138"/>
  <c r="G93" i="138"/>
  <c r="G48" i="138"/>
  <c r="I47" i="138"/>
  <c r="E83" i="138"/>
  <c r="F52" i="138"/>
  <c r="F31" i="138"/>
  <c r="I71" i="138"/>
  <c r="F100" i="138"/>
  <c r="E96" i="138"/>
  <c r="E116" i="138"/>
  <c r="G62" i="138"/>
  <c r="E105" i="138"/>
  <c r="E88" i="138"/>
  <c r="F107" i="138"/>
  <c r="F84" i="138"/>
  <c r="I7" i="138"/>
  <c r="E13" i="141"/>
  <c r="I76" i="138"/>
  <c r="B24" i="141"/>
  <c r="F24" i="141" s="1"/>
  <c r="G105" i="138"/>
  <c r="E58" i="138"/>
  <c r="G63" i="138"/>
  <c r="E107" i="138"/>
  <c r="E21" i="138"/>
  <c r="E15" i="138"/>
  <c r="I57" i="138"/>
  <c r="I39" i="138"/>
  <c r="E18" i="138"/>
  <c r="F50" i="138"/>
  <c r="B21" i="141"/>
  <c r="F21" i="141" s="1"/>
  <c r="F92" i="138"/>
  <c r="G102" i="138"/>
  <c r="I127" i="138"/>
  <c r="I44" i="138"/>
  <c r="E89" i="138"/>
  <c r="F43" i="138"/>
  <c r="F28" i="138"/>
  <c r="F19" i="138"/>
  <c r="E13" i="138"/>
  <c r="I125" i="138"/>
  <c r="C9" i="141"/>
  <c r="E106" i="138"/>
  <c r="F53" i="138"/>
  <c r="I83" i="138"/>
  <c r="E9" i="141"/>
  <c r="I6" i="138"/>
  <c r="F72" i="138"/>
  <c r="G9" i="138"/>
  <c r="I15" i="138"/>
  <c r="F73" i="138"/>
  <c r="F42" i="138"/>
  <c r="E22" i="138"/>
  <c r="G31" i="138"/>
  <c r="G54" i="138"/>
  <c r="I72" i="138"/>
  <c r="G106" i="138"/>
  <c r="I115" i="138"/>
  <c r="I102" i="138"/>
  <c r="E16" i="138"/>
  <c r="F3" i="138"/>
  <c r="E5" i="141"/>
  <c r="G69" i="138"/>
  <c r="F8" i="138"/>
  <c r="E108" i="138"/>
  <c r="E30" i="138"/>
  <c r="B18" i="141"/>
  <c r="F18" i="141" s="1"/>
  <c r="I40" i="138"/>
  <c r="B32" i="141"/>
  <c r="F32" i="141" s="1"/>
  <c r="E42" i="138"/>
  <c r="E39" i="138"/>
  <c r="F34" i="138"/>
  <c r="E90" i="138"/>
  <c r="G97" i="138"/>
  <c r="G68" i="138"/>
  <c r="I112" i="138"/>
  <c r="C5" i="141"/>
  <c r="E85" i="138"/>
  <c r="F106" i="138"/>
  <c r="G113" i="138"/>
  <c r="I68" i="138"/>
  <c r="F44" i="138"/>
  <c r="F87" i="138"/>
  <c r="G21" i="138"/>
  <c r="I73" i="138"/>
  <c r="F117" i="138"/>
  <c r="F4" i="138"/>
  <c r="F91" i="138"/>
  <c r="F7" i="138"/>
  <c r="B19" i="141"/>
  <c r="F19" i="141" s="1"/>
  <c r="G37" i="138"/>
  <c r="E63" i="138"/>
  <c r="I70" i="138"/>
  <c r="G52" i="138"/>
  <c r="F70" i="138"/>
  <c r="G116" i="138"/>
  <c r="F94" i="138"/>
  <c r="B28" i="141"/>
  <c r="F28" i="141" s="1"/>
  <c r="E41" i="138"/>
  <c r="G17" i="138"/>
  <c r="F111" i="138"/>
  <c r="G110" i="138"/>
  <c r="I107" i="138"/>
  <c r="F17" i="138"/>
  <c r="F88" i="138"/>
  <c r="E9" i="138"/>
  <c r="E11" i="141"/>
  <c r="G92" i="138"/>
  <c r="F10" i="138"/>
  <c r="I109" i="138"/>
  <c r="I123" i="138"/>
  <c r="F98" i="138"/>
  <c r="F105" i="138"/>
  <c r="E64" i="138"/>
  <c r="F58" i="138"/>
  <c r="E104" i="138"/>
  <c r="I96" i="138"/>
  <c r="E91" i="138"/>
  <c r="F115" i="138"/>
  <c r="I77" i="138"/>
  <c r="G90" i="138"/>
  <c r="I59" i="138"/>
  <c r="F6" i="138"/>
  <c r="G36" i="138"/>
  <c r="I3" i="138"/>
  <c r="E55" i="138"/>
  <c r="G111" i="138"/>
  <c r="G117" i="138"/>
  <c r="E117" i="138"/>
  <c r="F82" i="138"/>
  <c r="G112" i="138"/>
  <c r="E34" i="138"/>
  <c r="I82" i="138"/>
  <c r="I64" i="138"/>
  <c r="G120" i="138"/>
  <c r="I20" i="138"/>
  <c r="F37" i="138"/>
  <c r="I10" i="138"/>
  <c r="C7" i="141"/>
  <c r="G108" i="138"/>
  <c r="E56" i="138"/>
  <c r="I87" i="138"/>
  <c r="C6" i="141"/>
  <c r="I11" i="138"/>
  <c r="F104" i="138"/>
  <c r="E35" i="138"/>
  <c r="G26" i="138"/>
  <c r="F63" i="138"/>
  <c r="F83" i="138"/>
  <c r="F124" i="138"/>
  <c r="F128" i="138"/>
  <c r="F47" i="138"/>
  <c r="I66" i="138"/>
  <c r="I27" i="138"/>
  <c r="B29" i="141"/>
  <c r="F29" i="141" s="1"/>
  <c r="G32" i="138"/>
  <c r="E45" i="138"/>
  <c r="I113" i="138"/>
  <c r="E67" i="138"/>
  <c r="G74" i="138"/>
  <c r="I24" i="138"/>
  <c r="I94" i="138"/>
  <c r="I51" i="138"/>
  <c r="I29" i="138"/>
  <c r="E6" i="141"/>
  <c r="E125" i="138"/>
  <c r="G46" i="138"/>
  <c r="G40" i="138"/>
  <c r="I23" i="138"/>
  <c r="E95" i="138"/>
  <c r="G75" i="138"/>
  <c r="E5" i="138"/>
  <c r="E48" i="138"/>
  <c r="F64" i="138"/>
  <c r="G104" i="138"/>
  <c r="F9" i="138"/>
  <c r="F65" i="138"/>
  <c r="E7" i="138"/>
  <c r="F75" i="138"/>
  <c r="F62" i="138"/>
  <c r="I93" i="138"/>
  <c r="F30" i="138"/>
  <c r="G126" i="138"/>
  <c r="G88" i="138"/>
  <c r="I124" i="138"/>
  <c r="G98" i="138"/>
  <c r="E19" i="138"/>
  <c r="F122" i="138"/>
  <c r="F118" i="138"/>
  <c r="I126" i="138"/>
  <c r="I89" i="138"/>
  <c r="F125" i="138"/>
  <c r="G55" i="138"/>
  <c r="E94" i="138"/>
  <c r="G89" i="138"/>
  <c r="E124" i="138"/>
  <c r="E75" i="138"/>
  <c r="F99" i="138"/>
  <c r="I17" i="138"/>
  <c r="E97" i="138"/>
  <c r="I88" i="138"/>
  <c r="F110" i="138"/>
  <c r="G85" i="138"/>
  <c r="I38" i="138"/>
  <c r="E98" i="138"/>
  <c r="E71" i="138"/>
  <c r="E84" i="138"/>
  <c r="E51" i="138"/>
  <c r="F54" i="138"/>
  <c r="I67" i="138"/>
  <c r="B33" i="141"/>
  <c r="F33" i="141" s="1"/>
  <c r="D6" i="141" l="1"/>
  <c r="D7" i="141"/>
  <c r="D5" i="141"/>
  <c r="D9" i="141"/>
  <c r="D11" i="141"/>
  <c r="D14" i="141"/>
  <c r="D8" i="141"/>
  <c r="D13" i="141"/>
  <c r="D4" i="141"/>
  <c r="D12" i="141"/>
  <c r="D15" i="141"/>
  <c r="D10" i="141"/>
  <c r="H51" i="138"/>
  <c r="H84" i="138"/>
  <c r="H71" i="138"/>
  <c r="H98" i="138"/>
  <c r="H97" i="138"/>
  <c r="H75" i="138"/>
  <c r="H124" i="138"/>
  <c r="H94" i="138"/>
  <c r="H19" i="138"/>
  <c r="H7" i="138"/>
  <c r="H48" i="138"/>
  <c r="H5" i="138"/>
  <c r="H95" i="138"/>
  <c r="H125" i="138"/>
  <c r="G6" i="141"/>
  <c r="H67" i="138"/>
  <c r="H45" i="138"/>
  <c r="H35" i="138"/>
  <c r="H6" i="141"/>
  <c r="H56" i="138"/>
  <c r="H7" i="141"/>
  <c r="H34" i="138"/>
  <c r="H117" i="138"/>
  <c r="H55" i="138"/>
  <c r="H91" i="138"/>
  <c r="H104" i="138"/>
  <c r="H64" i="138"/>
  <c r="G11" i="141"/>
  <c r="H9" i="138"/>
  <c r="H41" i="138"/>
  <c r="H63" i="138"/>
  <c r="H85" i="138"/>
  <c r="H5" i="141"/>
  <c r="H90" i="138"/>
  <c r="H39" i="138"/>
  <c r="H42" i="138"/>
  <c r="H30" i="138"/>
  <c r="H108" i="138"/>
  <c r="G5" i="141"/>
  <c r="F2" i="138"/>
  <c r="H16" i="138"/>
  <c r="H22" i="138"/>
  <c r="G9" i="141"/>
  <c r="H106" i="138"/>
  <c r="H9" i="141"/>
  <c r="H13" i="138"/>
  <c r="H89" i="138"/>
  <c r="H18" i="138"/>
  <c r="H15" i="138"/>
  <c r="H21" i="138"/>
  <c r="H107" i="138"/>
  <c r="H58" i="138"/>
  <c r="G13" i="141"/>
  <c r="H88" i="138"/>
  <c r="H105" i="138"/>
  <c r="H116" i="138"/>
  <c r="H96" i="138"/>
  <c r="H83" i="138"/>
  <c r="H33" i="138"/>
  <c r="H99" i="138"/>
  <c r="H122" i="138"/>
  <c r="H17" i="138"/>
  <c r="H43" i="138"/>
  <c r="H112" i="138"/>
  <c r="H59" i="138"/>
  <c r="H49" i="138"/>
  <c r="H100" i="138"/>
  <c r="H66" i="138"/>
  <c r="H25" i="138"/>
  <c r="H54" i="138"/>
  <c r="H32" i="138"/>
  <c r="H11" i="141"/>
  <c r="H20" i="138"/>
  <c r="H14" i="138"/>
  <c r="H72" i="138"/>
  <c r="H111" i="138"/>
  <c r="H12" i="138"/>
  <c r="H47" i="138"/>
  <c r="H38" i="138"/>
  <c r="H109" i="138"/>
  <c r="H62" i="138"/>
  <c r="H127" i="138"/>
  <c r="H114" i="138"/>
  <c r="H113" i="138"/>
  <c r="H10" i="138"/>
  <c r="H24" i="138"/>
  <c r="H14" i="141"/>
  <c r="G12" i="141"/>
  <c r="H8" i="141"/>
  <c r="H4" i="138"/>
  <c r="H57" i="138"/>
  <c r="H13" i="141"/>
  <c r="H126" i="138"/>
  <c r="H60" i="138"/>
  <c r="H28" i="138"/>
  <c r="G3" i="141"/>
  <c r="H4" i="141"/>
  <c r="H40" i="138"/>
  <c r="H31" i="138"/>
  <c r="H93" i="138"/>
  <c r="G7" i="141"/>
  <c r="H110" i="138"/>
  <c r="H61" i="138"/>
  <c r="H23" i="138"/>
  <c r="H92" i="138"/>
  <c r="G2" i="138"/>
  <c r="H37" i="138"/>
  <c r="H73" i="138"/>
  <c r="H74" i="138"/>
  <c r="G8" i="141"/>
  <c r="H50" i="138"/>
  <c r="H115" i="138"/>
  <c r="H6" i="138"/>
  <c r="H79" i="138"/>
  <c r="G15" i="141"/>
  <c r="H87" i="138"/>
  <c r="H53" i="138"/>
  <c r="H36" i="138"/>
  <c r="H101" i="138"/>
  <c r="H29" i="138"/>
  <c r="H128" i="138"/>
  <c r="H11" i="138"/>
  <c r="H12" i="141"/>
  <c r="H102" i="138"/>
  <c r="H26" i="138"/>
  <c r="H3" i="138"/>
  <c r="E2" i="138"/>
  <c r="H123" i="138"/>
  <c r="G14" i="141"/>
  <c r="H82" i="138"/>
  <c r="H27" i="138"/>
  <c r="H8" i="138"/>
  <c r="H118" i="138"/>
  <c r="H103" i="138"/>
  <c r="H15" i="141"/>
  <c r="H78" i="138"/>
  <c r="H120" i="138"/>
  <c r="H10" i="141"/>
  <c r="H76" i="138"/>
  <c r="H65" i="138"/>
  <c r="H121" i="138"/>
  <c r="H81" i="138"/>
  <c r="H80" i="138"/>
  <c r="H46" i="138"/>
  <c r="H119" i="138"/>
  <c r="G4" i="141"/>
  <c r="H86" i="138"/>
  <c r="H69" i="138"/>
  <c r="H77" i="138"/>
  <c r="H68" i="138"/>
  <c r="H52" i="138"/>
  <c r="G10" i="141"/>
  <c r="H70" i="138"/>
  <c r="H44" i="138"/>
  <c r="A35" i="143"/>
  <c r="A36" i="141"/>
  <c r="E28" i="141"/>
  <c r="E19" i="141"/>
  <c r="C32" i="141"/>
  <c r="C18" i="141"/>
  <c r="C21" i="141"/>
  <c r="C24" i="141"/>
  <c r="E26" i="141"/>
  <c r="C25" i="141"/>
  <c r="C31" i="141"/>
  <c r="C28" i="141"/>
  <c r="C19" i="141"/>
  <c r="E32" i="141"/>
  <c r="E18" i="141"/>
  <c r="C22" i="141"/>
  <c r="E16" i="141"/>
  <c r="E33" i="141"/>
  <c r="C29" i="141"/>
  <c r="C30" i="141"/>
  <c r="E25" i="141"/>
  <c r="E31" i="141"/>
  <c r="C17" i="141"/>
  <c r="C27" i="141"/>
  <c r="C20" i="141"/>
  <c r="E29" i="141"/>
  <c r="E21" i="141"/>
  <c r="E24" i="141"/>
  <c r="E22" i="141"/>
  <c r="E17" i="141"/>
  <c r="E27" i="141"/>
  <c r="C23" i="141"/>
  <c r="B34" i="141"/>
  <c r="F34" i="141" s="1"/>
  <c r="E20" i="141"/>
  <c r="C16" i="141"/>
  <c r="C33" i="141"/>
  <c r="E30" i="141"/>
  <c r="C26" i="141"/>
  <c r="E23" i="141"/>
  <c r="D26" i="141" l="1"/>
  <c r="D33" i="141"/>
  <c r="D16" i="141"/>
  <c r="D23" i="141"/>
  <c r="D20" i="141"/>
  <c r="D27" i="141"/>
  <c r="D17" i="141"/>
  <c r="D30" i="141"/>
  <c r="D29" i="141"/>
  <c r="D22" i="141"/>
  <c r="D19" i="141"/>
  <c r="D28" i="141"/>
  <c r="D31" i="141"/>
  <c r="D25" i="141"/>
  <c r="D24" i="141"/>
  <c r="D21" i="141"/>
  <c r="D18" i="141"/>
  <c r="D32" i="141"/>
  <c r="G20" i="141"/>
  <c r="G27" i="141"/>
  <c r="H26" i="141"/>
  <c r="G29" i="141"/>
  <c r="H16" i="141"/>
  <c r="G23" i="141"/>
  <c r="G16" i="141"/>
  <c r="H23" i="141"/>
  <c r="G31" i="141"/>
  <c r="G25" i="141"/>
  <c r="G26" i="141"/>
  <c r="G18" i="141"/>
  <c r="G19" i="141"/>
  <c r="G28" i="141"/>
  <c r="H20" i="141"/>
  <c r="H27" i="141"/>
  <c r="H17" i="141"/>
  <c r="G22" i="141"/>
  <c r="H30" i="141"/>
  <c r="G24" i="141"/>
  <c r="G21" i="141"/>
  <c r="G32" i="141"/>
  <c r="H29" i="141"/>
  <c r="H22" i="141"/>
  <c r="H19" i="141"/>
  <c r="H28" i="141"/>
  <c r="G17" i="141"/>
  <c r="H31" i="141"/>
  <c r="H25" i="141"/>
  <c r="G30" i="141"/>
  <c r="H24" i="141"/>
  <c r="H21" i="141"/>
  <c r="H18" i="141"/>
  <c r="H32" i="141"/>
  <c r="H2" i="138"/>
  <c r="M117" i="138"/>
  <c r="H33" i="141"/>
  <c r="G33" i="141"/>
  <c r="A36" i="143"/>
  <c r="A37" i="141"/>
  <c r="C34" i="141"/>
  <c r="B35" i="141"/>
  <c r="F35" i="141" s="1"/>
  <c r="E34" i="141"/>
  <c r="D34" i="141" l="1"/>
  <c r="H34" i="141"/>
  <c r="G34" i="141"/>
  <c r="A37" i="143"/>
  <c r="A38" i="141"/>
  <c r="C35" i="141"/>
  <c r="B36" i="141"/>
  <c r="F36" i="141" s="1"/>
  <c r="E35" i="141"/>
  <c r="D35" i="141" l="1"/>
  <c r="H35" i="141"/>
  <c r="G35" i="141"/>
  <c r="A38" i="143"/>
  <c r="A39" i="141"/>
  <c r="C36" i="141"/>
  <c r="B37" i="141"/>
  <c r="F37" i="141" s="1"/>
  <c r="E36" i="141"/>
  <c r="D36" i="141" l="1"/>
  <c r="H36" i="141"/>
  <c r="G36" i="141"/>
  <c r="A39" i="143"/>
  <c r="A40" i="141"/>
  <c r="B38" i="141"/>
  <c r="F38" i="141" s="1"/>
  <c r="E37" i="141"/>
  <c r="C37" i="141"/>
  <c r="D37" i="141" l="1"/>
  <c r="G37" i="141"/>
  <c r="H37" i="141"/>
  <c r="A40" i="143"/>
  <c r="A41" i="141"/>
  <c r="B39" i="141"/>
  <c r="F39" i="141" s="1"/>
  <c r="E38" i="141"/>
  <c r="C38" i="141"/>
  <c r="D38" i="141" l="1"/>
  <c r="H38" i="141"/>
  <c r="G38" i="141"/>
  <c r="A41" i="143"/>
  <c r="A42" i="141"/>
  <c r="B40" i="141"/>
  <c r="F40" i="141" s="1"/>
  <c r="C39" i="141"/>
  <c r="E39" i="141"/>
  <c r="D39" i="141" l="1"/>
  <c r="H39" i="141"/>
  <c r="G39" i="141"/>
  <c r="A42" i="143"/>
  <c r="A43" i="141"/>
  <c r="C40" i="141"/>
  <c r="E40" i="141"/>
  <c r="B41" i="141"/>
  <c r="F41" i="141" s="1"/>
  <c r="D40" i="141" l="1"/>
  <c r="H40" i="141"/>
  <c r="G40" i="141"/>
  <c r="A43" i="143"/>
  <c r="A44" i="141"/>
  <c r="B42" i="141"/>
  <c r="F42" i="141" s="1"/>
  <c r="C41" i="141"/>
  <c r="E41" i="141"/>
  <c r="D41" i="141" l="1"/>
  <c r="G41" i="141"/>
  <c r="H41" i="141"/>
  <c r="A44" i="143"/>
  <c r="A45" i="141"/>
  <c r="E42" i="141"/>
  <c r="B43" i="141"/>
  <c r="F43" i="141" s="1"/>
  <c r="C42" i="141"/>
  <c r="D42" i="141" l="1"/>
  <c r="H42" i="141"/>
  <c r="G42" i="141"/>
  <c r="A45" i="143"/>
  <c r="A46" i="141"/>
  <c r="E43" i="141"/>
  <c r="C43" i="141"/>
  <c r="B44" i="141"/>
  <c r="F44" i="141" s="1"/>
  <c r="D43" i="141" l="1"/>
  <c r="H43" i="141"/>
  <c r="G43" i="141"/>
  <c r="A46" i="143"/>
  <c r="A47" i="141"/>
  <c r="B45" i="141"/>
  <c r="F45" i="141" s="1"/>
  <c r="C44" i="141"/>
  <c r="E44" i="141"/>
  <c r="D44" i="141" l="1"/>
  <c r="G44" i="141"/>
  <c r="H44" i="141"/>
  <c r="A47" i="143"/>
  <c r="A48" i="141"/>
  <c r="B46" i="141"/>
  <c r="F46" i="141" s="1"/>
  <c r="E45" i="141"/>
  <c r="C45" i="141"/>
  <c r="D45" i="141" l="1"/>
  <c r="H45" i="141"/>
  <c r="G45" i="141"/>
  <c r="A48" i="143"/>
  <c r="A49" i="141"/>
  <c r="E46" i="141"/>
  <c r="B47" i="141"/>
  <c r="F47" i="141" s="1"/>
  <c r="C46" i="141"/>
  <c r="D46" i="141" l="1"/>
  <c r="G46" i="141"/>
  <c r="H46" i="141"/>
  <c r="A49" i="143"/>
  <c r="A50" i="141"/>
  <c r="B48" i="141"/>
  <c r="F48" i="141" s="1"/>
  <c r="E47" i="141"/>
  <c r="C47" i="141"/>
  <c r="D47" i="141" l="1"/>
  <c r="H47" i="141"/>
  <c r="G47" i="141"/>
  <c r="A50" i="143"/>
  <c r="A51" i="141"/>
  <c r="C48" i="141"/>
  <c r="B49" i="141"/>
  <c r="F49" i="141" s="1"/>
  <c r="E48" i="141"/>
  <c r="D48" i="141" l="1"/>
  <c r="H48" i="141"/>
  <c r="G48" i="141"/>
  <c r="A51" i="143"/>
  <c r="A52" i="141"/>
  <c r="B50" i="141"/>
  <c r="F50" i="141" s="1"/>
  <c r="E49" i="141"/>
  <c r="C49" i="141"/>
  <c r="D49" i="141" l="1"/>
  <c r="H49" i="141"/>
  <c r="G49" i="141"/>
  <c r="A52" i="143"/>
  <c r="A53" i="141"/>
  <c r="E50" i="141"/>
  <c r="B51" i="141"/>
  <c r="F51" i="141" s="1"/>
  <c r="C50" i="141"/>
  <c r="D50" i="141" l="1"/>
  <c r="H50" i="141"/>
  <c r="G50" i="141"/>
  <c r="A53" i="143"/>
  <c r="A54" i="141"/>
  <c r="C51" i="141"/>
  <c r="B52" i="141"/>
  <c r="F52" i="141" s="1"/>
  <c r="E51" i="141"/>
  <c r="D51" i="141" l="1"/>
  <c r="H51" i="141"/>
  <c r="G51" i="141"/>
  <c r="A54" i="143"/>
  <c r="A55" i="141"/>
  <c r="B53" i="141"/>
  <c r="F53" i="141" s="1"/>
  <c r="E52" i="141"/>
  <c r="C52" i="141"/>
  <c r="D52" i="141" l="1"/>
  <c r="H52" i="141"/>
  <c r="G52" i="141"/>
  <c r="A55" i="143"/>
  <c r="A56" i="141"/>
  <c r="E53" i="141"/>
  <c r="C53" i="141"/>
  <c r="B54" i="141"/>
  <c r="F54" i="141" s="1"/>
  <c r="D53" i="141" l="1"/>
  <c r="H53" i="141"/>
  <c r="G53" i="141"/>
  <c r="A56" i="143"/>
  <c r="A57" i="141"/>
  <c r="B55" i="141"/>
  <c r="F55" i="141" s="1"/>
  <c r="C54" i="141"/>
  <c r="E54" i="141"/>
  <c r="D54" i="141" l="1"/>
  <c r="H54" i="141"/>
  <c r="G54" i="141"/>
  <c r="A57" i="143"/>
  <c r="A58" i="141"/>
  <c r="B56" i="141"/>
  <c r="F56" i="141" s="1"/>
  <c r="E55" i="141"/>
  <c r="C55" i="141"/>
  <c r="D55" i="141" l="1"/>
  <c r="H55" i="141"/>
  <c r="G55" i="141"/>
  <c r="A58" i="143"/>
  <c r="A59" i="141"/>
  <c r="C56" i="141"/>
  <c r="E56" i="141"/>
  <c r="B57" i="141"/>
  <c r="F57" i="141" s="1"/>
  <c r="D56" i="141" l="1"/>
  <c r="H56" i="141"/>
  <c r="G56" i="141"/>
  <c r="A59" i="143"/>
  <c r="A60" i="141"/>
  <c r="C57" i="141"/>
  <c r="E57" i="141"/>
  <c r="B58" i="141"/>
  <c r="F58" i="141" s="1"/>
  <c r="D57" i="141" l="1"/>
  <c r="G57" i="141"/>
  <c r="H57" i="141"/>
  <c r="A60" i="143"/>
  <c r="A61" i="141"/>
  <c r="C58" i="141"/>
  <c r="E58" i="141"/>
  <c r="B59" i="141"/>
  <c r="F59" i="141" s="1"/>
  <c r="D58" i="141" l="1"/>
  <c r="G58" i="141"/>
  <c r="H58" i="141"/>
  <c r="A61" i="143"/>
  <c r="A62" i="141"/>
  <c r="C59" i="141"/>
  <c r="B60" i="141"/>
  <c r="F60" i="141" s="1"/>
  <c r="E59" i="141"/>
  <c r="D59" i="141" l="1"/>
  <c r="H59" i="141"/>
  <c r="G59" i="141"/>
  <c r="A62" i="143"/>
  <c r="A63" i="141"/>
  <c r="B61" i="141"/>
  <c r="F61" i="141" s="1"/>
  <c r="C60" i="141"/>
  <c r="E60" i="141"/>
  <c r="D60" i="141" l="1"/>
  <c r="H60" i="141"/>
  <c r="G60" i="141"/>
  <c r="A63" i="143"/>
  <c r="A64" i="141"/>
  <c r="B62" i="141"/>
  <c r="F62" i="141" s="1"/>
  <c r="E61" i="141"/>
  <c r="C61" i="141"/>
  <c r="D61" i="141" l="1"/>
  <c r="G61" i="141"/>
  <c r="H61" i="141"/>
  <c r="A64" i="143"/>
  <c r="A65" i="141"/>
  <c r="C62" i="141"/>
  <c r="E62" i="141"/>
  <c r="B63" i="141"/>
  <c r="F63" i="141" s="1"/>
  <c r="D62" i="141" l="1"/>
  <c r="H62" i="141"/>
  <c r="G62" i="141"/>
  <c r="A65" i="143"/>
  <c r="A66" i="141"/>
  <c r="C63" i="141"/>
  <c r="E63" i="141"/>
  <c r="B64" i="141"/>
  <c r="F64" i="141" s="1"/>
  <c r="D63" i="141" l="1"/>
  <c r="H63" i="141"/>
  <c r="G63" i="141"/>
  <c r="A66" i="143"/>
  <c r="A67" i="141"/>
  <c r="B65" i="141"/>
  <c r="F65" i="141" s="1"/>
  <c r="E64" i="141"/>
  <c r="C64" i="141"/>
  <c r="D64" i="141" l="1"/>
  <c r="H64" i="141"/>
  <c r="G64" i="141"/>
  <c r="A67" i="143"/>
  <c r="A68" i="141"/>
  <c r="B66" i="141"/>
  <c r="F66" i="141" s="1"/>
  <c r="E65" i="141"/>
  <c r="C65" i="141"/>
  <c r="D65" i="141" l="1"/>
  <c r="H65" i="141"/>
  <c r="G65" i="141"/>
  <c r="A68" i="143"/>
  <c r="A69" i="141"/>
  <c r="E66" i="141"/>
  <c r="B67" i="141"/>
  <c r="F67" i="141" s="1"/>
  <c r="C66" i="141"/>
  <c r="D66" i="141" l="1"/>
  <c r="H66" i="141"/>
  <c r="G66" i="141"/>
  <c r="A69" i="143"/>
  <c r="A70" i="141"/>
  <c r="B68" i="141"/>
  <c r="F68" i="141" s="1"/>
  <c r="E67" i="141"/>
  <c r="C67" i="141"/>
  <c r="D67" i="141" l="1"/>
  <c r="H67" i="141"/>
  <c r="G67" i="141"/>
  <c r="A70" i="143"/>
  <c r="A71" i="141"/>
  <c r="C68" i="141"/>
  <c r="E68" i="141"/>
  <c r="B69" i="141"/>
  <c r="F69" i="141" s="1"/>
  <c r="D68" i="141" l="1"/>
  <c r="H68" i="141"/>
  <c r="G68" i="141"/>
  <c r="A71" i="143"/>
  <c r="A72" i="141"/>
  <c r="B70" i="141"/>
  <c r="F70" i="141" s="1"/>
  <c r="C69" i="141"/>
  <c r="E69" i="141"/>
  <c r="D69" i="141" l="1"/>
  <c r="G69" i="141"/>
  <c r="H69" i="141"/>
  <c r="A72" i="143"/>
  <c r="A73" i="141"/>
  <c r="E70" i="141"/>
  <c r="C70" i="141"/>
  <c r="B71" i="141"/>
  <c r="F71" i="141" s="1"/>
  <c r="D70" i="141" l="1"/>
  <c r="H70" i="141"/>
  <c r="G70" i="141"/>
  <c r="A73" i="143"/>
  <c r="A74" i="141"/>
  <c r="E71" i="141"/>
  <c r="C71" i="141"/>
  <c r="B72" i="141"/>
  <c r="F72" i="141" s="1"/>
  <c r="D71" i="141" l="1"/>
  <c r="G71" i="141"/>
  <c r="H71" i="141"/>
  <c r="A74" i="143"/>
  <c r="A75" i="141"/>
  <c r="B73" i="141"/>
  <c r="F73" i="141" s="1"/>
  <c r="C72" i="141"/>
  <c r="E72" i="141"/>
  <c r="D72" i="141" l="1"/>
  <c r="G72" i="141"/>
  <c r="H72" i="141"/>
  <c r="A75" i="143"/>
  <c r="A76" i="141"/>
  <c r="E73" i="141"/>
  <c r="C73" i="141"/>
  <c r="B74" i="141"/>
  <c r="F74" i="141" s="1"/>
  <c r="D73" i="141" l="1"/>
  <c r="G73" i="141"/>
  <c r="H73" i="141"/>
  <c r="A76" i="143"/>
  <c r="A77" i="141"/>
  <c r="B75" i="141"/>
  <c r="F75" i="141" s="1"/>
  <c r="E74" i="141"/>
  <c r="C74" i="141"/>
  <c r="D74" i="141" l="1"/>
  <c r="G74" i="141"/>
  <c r="H74" i="141"/>
  <c r="A77" i="143"/>
  <c r="A78" i="141"/>
  <c r="C75" i="141"/>
  <c r="B76" i="141"/>
  <c r="F76" i="141" s="1"/>
  <c r="E75" i="141"/>
  <c r="D75" i="141" l="1"/>
  <c r="H75" i="141"/>
  <c r="G75" i="141"/>
  <c r="A78" i="143"/>
  <c r="A79" i="141"/>
  <c r="E76" i="141"/>
  <c r="C76" i="141"/>
  <c r="B77" i="141"/>
  <c r="F77" i="141" s="1"/>
  <c r="D76" i="141" l="1"/>
  <c r="H76" i="141"/>
  <c r="G76" i="141"/>
  <c r="A79" i="143"/>
  <c r="A80" i="141"/>
  <c r="C77" i="141"/>
  <c r="B78" i="141"/>
  <c r="F78" i="141" s="1"/>
  <c r="E77" i="141"/>
  <c r="D77" i="141" l="1"/>
  <c r="H77" i="141"/>
  <c r="G77" i="141"/>
  <c r="A80" i="143"/>
  <c r="A81" i="141"/>
  <c r="C78" i="141"/>
  <c r="B79" i="141"/>
  <c r="F79" i="141" s="1"/>
  <c r="E78" i="141"/>
  <c r="D78" i="141" l="1"/>
  <c r="G78" i="141"/>
  <c r="H78" i="141"/>
  <c r="A81" i="143"/>
  <c r="A82" i="141"/>
  <c r="C79" i="141"/>
  <c r="B80" i="141"/>
  <c r="F80" i="141" s="1"/>
  <c r="E79" i="141"/>
  <c r="D79" i="141" l="1"/>
  <c r="H79" i="141"/>
  <c r="G79" i="141"/>
  <c r="A82" i="143"/>
  <c r="A83" i="141"/>
  <c r="B81" i="141"/>
  <c r="F81" i="141" s="1"/>
  <c r="E80" i="141"/>
  <c r="C80" i="141"/>
  <c r="D80" i="141" l="1"/>
  <c r="H80" i="141"/>
  <c r="G80" i="141"/>
  <c r="A83" i="143"/>
  <c r="A84" i="141"/>
  <c r="E81" i="141"/>
  <c r="B82" i="141"/>
  <c r="F82" i="141" s="1"/>
  <c r="C81" i="141"/>
  <c r="D81" i="141" l="1"/>
  <c r="H81" i="141"/>
  <c r="G81" i="141"/>
  <c r="A84" i="143"/>
  <c r="A85" i="141"/>
  <c r="B83" i="141"/>
  <c r="F83" i="141" s="1"/>
  <c r="E82" i="141"/>
  <c r="C82" i="141"/>
  <c r="D82" i="141" l="1"/>
  <c r="H82" i="141"/>
  <c r="G82" i="141"/>
  <c r="A85" i="143"/>
  <c r="A86" i="141"/>
  <c r="B84" i="141"/>
  <c r="F84" i="141" s="1"/>
  <c r="E83" i="141"/>
  <c r="C83" i="141"/>
  <c r="D83" i="141" l="1"/>
  <c r="H83" i="141"/>
  <c r="G83" i="141"/>
  <c r="A86" i="143"/>
  <c r="A87" i="141"/>
  <c r="C84" i="141"/>
  <c r="B85" i="141"/>
  <c r="F85" i="141" s="1"/>
  <c r="E84" i="141"/>
  <c r="D84" i="141" l="1"/>
  <c r="H84" i="141"/>
  <c r="G84" i="141"/>
  <c r="A87" i="143"/>
  <c r="A88" i="141"/>
  <c r="E85" i="141"/>
  <c r="C85" i="141"/>
  <c r="B86" i="141"/>
  <c r="F86" i="141" s="1"/>
  <c r="D85" i="141" l="1"/>
  <c r="G85" i="141"/>
  <c r="H85" i="141"/>
  <c r="A88" i="143"/>
  <c r="A89" i="141"/>
  <c r="C86" i="141"/>
  <c r="E86" i="141"/>
  <c r="B87" i="141"/>
  <c r="F87" i="141" s="1"/>
  <c r="D86" i="141" l="1"/>
  <c r="H86" i="141"/>
  <c r="G86" i="141"/>
  <c r="A89" i="143"/>
  <c r="A90" i="141"/>
  <c r="C87" i="141"/>
  <c r="E87" i="141"/>
  <c r="B88" i="141"/>
  <c r="F88" i="141" s="1"/>
  <c r="D87" i="141" l="1"/>
  <c r="H87" i="141"/>
  <c r="G87" i="141"/>
  <c r="A90" i="143"/>
  <c r="A91" i="141"/>
  <c r="C88" i="141"/>
  <c r="E88" i="141"/>
  <c r="B89" i="141"/>
  <c r="F89" i="141" s="1"/>
  <c r="D88" i="141" l="1"/>
  <c r="G88" i="141"/>
  <c r="H88" i="141"/>
  <c r="A91" i="143"/>
  <c r="A92" i="141"/>
  <c r="B90" i="141"/>
  <c r="F90" i="141" s="1"/>
  <c r="C89" i="141"/>
  <c r="E89" i="141"/>
  <c r="D89" i="141" l="1"/>
  <c r="H89" i="141"/>
  <c r="G89" i="141"/>
  <c r="A92" i="143"/>
  <c r="A93" i="141"/>
  <c r="C90" i="141"/>
  <c r="B91" i="141"/>
  <c r="F91" i="141" s="1"/>
  <c r="E90" i="141"/>
  <c r="D90" i="141" l="1"/>
  <c r="H90" i="141"/>
  <c r="G90" i="141"/>
  <c r="A93" i="143"/>
  <c r="A94" i="141"/>
  <c r="B92" i="141"/>
  <c r="F92" i="141" s="1"/>
  <c r="E91" i="141"/>
  <c r="C91" i="141"/>
  <c r="D91" i="141" l="1"/>
  <c r="H91" i="141"/>
  <c r="G91" i="141"/>
  <c r="A94" i="143"/>
  <c r="A95" i="141"/>
  <c r="C92" i="141"/>
  <c r="B93" i="141"/>
  <c r="F93" i="141" s="1"/>
  <c r="E92" i="141"/>
  <c r="D92" i="141" l="1"/>
  <c r="G92" i="141"/>
  <c r="H92" i="141"/>
  <c r="A95" i="143"/>
  <c r="A96" i="141"/>
  <c r="A97" i="141" s="1"/>
  <c r="A98" i="141" s="1"/>
  <c r="A99" i="141" s="1"/>
  <c r="A100" i="141" s="1"/>
  <c r="A101" i="141" s="1"/>
  <c r="A102" i="141" s="1"/>
  <c r="A103" i="141" s="1"/>
  <c r="A104" i="141" s="1"/>
  <c r="A105" i="141" s="1"/>
  <c r="A106" i="141" s="1"/>
  <c r="A107" i="141" s="1"/>
  <c r="A108" i="141" s="1"/>
  <c r="A109" i="141" s="1"/>
  <c r="A110" i="141" s="1"/>
  <c r="A111" i="141" s="1"/>
  <c r="A112" i="141" s="1"/>
  <c r="A113" i="141" s="1"/>
  <c r="A114" i="141" s="1"/>
  <c r="A115" i="141" s="1"/>
  <c r="A116" i="141" s="1"/>
  <c r="A117" i="141" s="1"/>
  <c r="A118" i="141" s="1"/>
  <c r="A119" i="141" s="1"/>
  <c r="A120" i="141" s="1"/>
  <c r="A121" i="141" s="1"/>
  <c r="A122" i="141" s="1"/>
  <c r="A123" i="141" s="1"/>
  <c r="A124" i="141" s="1"/>
  <c r="A125" i="141" s="1"/>
  <c r="A126" i="141" s="1"/>
  <c r="A127" i="141" s="1"/>
  <c r="A128" i="141" s="1"/>
  <c r="A129" i="141" s="1"/>
  <c r="A130" i="141" s="1"/>
  <c r="A131" i="141" s="1"/>
  <c r="A132" i="141" s="1"/>
  <c r="A133" i="141" s="1"/>
  <c r="A134" i="141" s="1"/>
  <c r="A135" i="141" s="1"/>
  <c r="A136" i="141" s="1"/>
  <c r="A137" i="141" s="1"/>
  <c r="A138" i="141" s="1"/>
  <c r="A139" i="141" s="1"/>
  <c r="A140" i="141" s="1"/>
  <c r="A141" i="141" s="1"/>
  <c r="A142" i="141" s="1"/>
  <c r="A143" i="141" s="1"/>
  <c r="A144" i="141" s="1"/>
  <c r="A145" i="141" s="1"/>
  <c r="A146" i="141" s="1"/>
  <c r="A147" i="141" s="1"/>
  <c r="A148" i="141" s="1"/>
  <c r="A149" i="141" s="1"/>
  <c r="A150" i="141" s="1"/>
  <c r="A151" i="141" s="1"/>
  <c r="A152" i="141" s="1"/>
  <c r="A153" i="141" s="1"/>
  <c r="A154" i="141" s="1"/>
  <c r="A155" i="141" s="1"/>
  <c r="A156" i="141" s="1"/>
  <c r="A157" i="141" s="1"/>
  <c r="A158" i="141" s="1"/>
  <c r="A159" i="141" s="1"/>
  <c r="A160" i="141" s="1"/>
  <c r="A161" i="141" s="1"/>
  <c r="A162" i="141" s="1"/>
  <c r="A163" i="141" s="1"/>
  <c r="A164" i="141" s="1"/>
  <c r="A165" i="141" s="1"/>
  <c r="A166" i="141" s="1"/>
  <c r="A167" i="141" s="1"/>
  <c r="A168" i="141" s="1"/>
  <c r="A169" i="141" s="1"/>
  <c r="A170" i="141" s="1"/>
  <c r="A171" i="141" s="1"/>
  <c r="A172" i="141" s="1"/>
  <c r="A173" i="141" s="1"/>
  <c r="A174" i="141" s="1"/>
  <c r="A175" i="141" s="1"/>
  <c r="A176" i="141" s="1"/>
  <c r="A177" i="141" s="1"/>
  <c r="A178" i="141" s="1"/>
  <c r="A179" i="141" s="1"/>
  <c r="E93" i="141"/>
  <c r="B94" i="141"/>
  <c r="F94" i="141" s="1"/>
  <c r="C93" i="141"/>
  <c r="D93" i="141" l="1"/>
  <c r="H93" i="141"/>
  <c r="G93" i="141"/>
  <c r="A96" i="143"/>
  <c r="A180" i="141"/>
  <c r="B95" i="141"/>
  <c r="F95" i="141" s="1"/>
  <c r="C94" i="141"/>
  <c r="E94" i="141"/>
  <c r="D94" i="141" l="1"/>
  <c r="G94" i="141"/>
  <c r="H94" i="141"/>
  <c r="A97" i="143"/>
  <c r="A181" i="141"/>
  <c r="E95" i="141"/>
  <c r="C95" i="141"/>
  <c r="B96" i="141"/>
  <c r="F96" i="141" s="1"/>
  <c r="D95" i="141" l="1"/>
  <c r="G95" i="141"/>
  <c r="H95" i="141"/>
  <c r="A98" i="143"/>
  <c r="A182" i="141"/>
  <c r="E96" i="141"/>
  <c r="B97" i="141"/>
  <c r="F97" i="141" s="1"/>
  <c r="C96" i="141"/>
  <c r="D96" i="141" l="1"/>
  <c r="H96" i="141"/>
  <c r="G96" i="141"/>
  <c r="A99" i="143"/>
  <c r="A183" i="141"/>
  <c r="C97" i="141"/>
  <c r="B98" i="141"/>
  <c r="F98" i="141" s="1"/>
  <c r="E97" i="141"/>
  <c r="D97" i="141" l="1"/>
  <c r="G97" i="141"/>
  <c r="H97" i="141"/>
  <c r="A100" i="143"/>
  <c r="A184" i="141"/>
  <c r="B99" i="141"/>
  <c r="F99" i="141" s="1"/>
  <c r="C98" i="141"/>
  <c r="E98" i="141"/>
  <c r="D98" i="141" l="1"/>
  <c r="H98" i="141"/>
  <c r="G98" i="141"/>
  <c r="A101" i="143"/>
  <c r="A185" i="141"/>
  <c r="C99" i="141"/>
  <c r="E99" i="141"/>
  <c r="B100" i="141"/>
  <c r="F100" i="141" s="1"/>
  <c r="D99" i="141" l="1"/>
  <c r="G99" i="141"/>
  <c r="H99" i="141"/>
  <c r="A102" i="143"/>
  <c r="A186" i="141"/>
  <c r="B101" i="141"/>
  <c r="F101" i="141" s="1"/>
  <c r="E100" i="141"/>
  <c r="C100" i="141"/>
  <c r="D100" i="141" l="1"/>
  <c r="G100" i="141"/>
  <c r="H100" i="141"/>
  <c r="A103" i="143"/>
  <c r="A187" i="141"/>
  <c r="B102" i="141"/>
  <c r="F102" i="141" s="1"/>
  <c r="E101" i="141"/>
  <c r="C101" i="141"/>
  <c r="D101" i="141" l="1"/>
  <c r="G101" i="141"/>
  <c r="H101" i="141"/>
  <c r="A104" i="143"/>
  <c r="A188" i="141"/>
  <c r="E102" i="141"/>
  <c r="C102" i="141"/>
  <c r="B103" i="141"/>
  <c r="F103" i="141" s="1"/>
  <c r="D102" i="141" l="1"/>
  <c r="H102" i="141"/>
  <c r="G102" i="141"/>
  <c r="A105" i="143"/>
  <c r="A189" i="141"/>
  <c r="C103" i="141"/>
  <c r="B104" i="141"/>
  <c r="F104" i="141" s="1"/>
  <c r="E103" i="141"/>
  <c r="D103" i="141" l="1"/>
  <c r="H103" i="141"/>
  <c r="G103" i="141"/>
  <c r="A106" i="143"/>
  <c r="A190" i="141"/>
  <c r="E104" i="141"/>
  <c r="B105" i="141"/>
  <c r="F105" i="141" s="1"/>
  <c r="C104" i="141"/>
  <c r="D104" i="141" l="1"/>
  <c r="G104" i="141"/>
  <c r="H104" i="141"/>
  <c r="A107" i="143"/>
  <c r="A191" i="141"/>
  <c r="B106" i="141"/>
  <c r="F106" i="141" s="1"/>
  <c r="E105" i="141"/>
  <c r="C105" i="141"/>
  <c r="D105" i="141" l="1"/>
  <c r="G105" i="141"/>
  <c r="H105" i="141"/>
  <c r="A108" i="143"/>
  <c r="A192" i="141"/>
  <c r="C106" i="141"/>
  <c r="B107" i="141"/>
  <c r="F107" i="141" s="1"/>
  <c r="E106" i="141"/>
  <c r="D106" i="141" l="1"/>
  <c r="G106" i="141"/>
  <c r="H106" i="141"/>
  <c r="A109" i="143"/>
  <c r="A193" i="141"/>
  <c r="E107" i="141"/>
  <c r="B108" i="141"/>
  <c r="F108" i="141" s="1"/>
  <c r="C107" i="141"/>
  <c r="D107" i="141" l="1"/>
  <c r="G107" i="141"/>
  <c r="H107" i="141"/>
  <c r="A110" i="143"/>
  <c r="A194" i="141"/>
  <c r="E108" i="141"/>
  <c r="B109" i="141"/>
  <c r="F109" i="141" s="1"/>
  <c r="C108" i="141"/>
  <c r="D108" i="141" l="1"/>
  <c r="G108" i="141"/>
  <c r="H108" i="141"/>
  <c r="A111" i="143"/>
  <c r="A195" i="141"/>
  <c r="C109" i="141"/>
  <c r="E109" i="141"/>
  <c r="B110" i="141"/>
  <c r="F110" i="141" s="1"/>
  <c r="D109" i="141" l="1"/>
  <c r="G109" i="141"/>
  <c r="H109" i="141"/>
  <c r="A112" i="143"/>
  <c r="A196" i="141"/>
  <c r="B111" i="141"/>
  <c r="F111" i="141" s="1"/>
  <c r="C110" i="141"/>
  <c r="E110" i="141"/>
  <c r="D110" i="141" l="1"/>
  <c r="H110" i="141"/>
  <c r="G110" i="141"/>
  <c r="A113" i="143"/>
  <c r="A197" i="141"/>
  <c r="B112" i="141"/>
  <c r="F112" i="141" s="1"/>
  <c r="C111" i="141"/>
  <c r="E111" i="141"/>
  <c r="D111" i="141" l="1"/>
  <c r="H111" i="141"/>
  <c r="G111" i="141"/>
  <c r="A114" i="143"/>
  <c r="A198" i="141"/>
  <c r="B113" i="141"/>
  <c r="F113" i="141" s="1"/>
  <c r="E112" i="141"/>
  <c r="C112" i="141"/>
  <c r="D112" i="141" l="1"/>
  <c r="G112" i="141"/>
  <c r="H112" i="141"/>
  <c r="A115" i="143"/>
  <c r="A199" i="141"/>
  <c r="E113" i="141"/>
  <c r="B114" i="141"/>
  <c r="F114" i="141" s="1"/>
  <c r="C113" i="141"/>
  <c r="D113" i="141" l="1"/>
  <c r="G113" i="141"/>
  <c r="H113" i="141"/>
  <c r="A116" i="143"/>
  <c r="A200" i="141"/>
  <c r="C114" i="141"/>
  <c r="B115" i="141"/>
  <c r="F115" i="141" s="1"/>
  <c r="E114" i="141"/>
  <c r="D114" i="141" l="1"/>
  <c r="G114" i="141"/>
  <c r="H114" i="141"/>
  <c r="A117" i="143"/>
  <c r="A201" i="141"/>
  <c r="B116" i="141"/>
  <c r="F116" i="141" s="1"/>
  <c r="C115" i="141"/>
  <c r="E115" i="141"/>
  <c r="D115" i="141" l="1"/>
  <c r="H115" i="141"/>
  <c r="G115" i="141"/>
  <c r="A118" i="143"/>
  <c r="A202" i="141"/>
  <c r="B117" i="141"/>
  <c r="F117" i="141" s="1"/>
  <c r="C116" i="141"/>
  <c r="E116" i="141"/>
  <c r="D116" i="141" l="1"/>
  <c r="G116" i="141"/>
  <c r="H116" i="141"/>
  <c r="A119" i="143"/>
  <c r="A203" i="141"/>
  <c r="E117" i="141"/>
  <c r="C117" i="141"/>
  <c r="B118" i="141"/>
  <c r="F118" i="141" s="1"/>
  <c r="D117" i="141" l="1"/>
  <c r="G117" i="141"/>
  <c r="H117" i="141"/>
  <c r="A120" i="143"/>
  <c r="A204" i="141"/>
  <c r="B119" i="141"/>
  <c r="F119" i="141" s="1"/>
  <c r="C118" i="141"/>
  <c r="E118" i="141"/>
  <c r="D118" i="141" l="1"/>
  <c r="G118" i="141"/>
  <c r="H118" i="141"/>
  <c r="A121" i="143"/>
  <c r="A205" i="141"/>
  <c r="E119" i="141"/>
  <c r="C119" i="141"/>
  <c r="B120" i="141"/>
  <c r="F120" i="141" s="1"/>
  <c r="D119" i="141" l="1"/>
  <c r="G119" i="141"/>
  <c r="H119" i="141"/>
  <c r="A122" i="143"/>
  <c r="A206" i="141"/>
  <c r="E120" i="141"/>
  <c r="B121" i="141"/>
  <c r="F121" i="141" s="1"/>
  <c r="C120" i="141"/>
  <c r="D120" i="141" l="1"/>
  <c r="H120" i="141"/>
  <c r="G120" i="141"/>
  <c r="A123" i="143"/>
  <c r="A207" i="141"/>
  <c r="B122" i="141"/>
  <c r="F122" i="141" s="1"/>
  <c r="E121" i="141"/>
  <c r="C121" i="141"/>
  <c r="D121" i="141" l="1"/>
  <c r="G121" i="141"/>
  <c r="H121" i="141"/>
  <c r="A124" i="143"/>
  <c r="A208" i="141"/>
  <c r="C122" i="141"/>
  <c r="E122" i="141"/>
  <c r="B123" i="141"/>
  <c r="F123" i="141" s="1"/>
  <c r="D122" i="141" l="1"/>
  <c r="G122" i="141"/>
  <c r="H122" i="141"/>
  <c r="A125" i="143"/>
  <c r="A209" i="141"/>
  <c r="C123" i="141"/>
  <c r="E123" i="141"/>
  <c r="B124" i="141"/>
  <c r="F124" i="141" s="1"/>
  <c r="D123" i="141" l="1"/>
  <c r="H123" i="141"/>
  <c r="G123" i="141"/>
  <c r="A126" i="143"/>
  <c r="A210" i="141"/>
  <c r="B125" i="141"/>
  <c r="F125" i="141" s="1"/>
  <c r="E124" i="141"/>
  <c r="C124" i="141"/>
  <c r="D124" i="141" l="1"/>
  <c r="G124" i="141"/>
  <c r="H124" i="141"/>
  <c r="A127" i="143"/>
  <c r="A211" i="141"/>
  <c r="C125" i="141"/>
  <c r="E125" i="141"/>
  <c r="B126" i="141"/>
  <c r="F126" i="141" s="1"/>
  <c r="D125" i="141" l="1"/>
  <c r="G125" i="141"/>
  <c r="H125" i="141"/>
  <c r="A128" i="143"/>
  <c r="A212" i="141"/>
  <c r="E126" i="141"/>
  <c r="B127" i="141"/>
  <c r="F127" i="141" s="1"/>
  <c r="C126" i="141"/>
  <c r="D126" i="141" l="1"/>
  <c r="H126" i="141"/>
  <c r="G126" i="141"/>
  <c r="A129" i="143"/>
  <c r="A213" i="141"/>
  <c r="C127" i="141"/>
  <c r="B128" i="141"/>
  <c r="F128" i="141" s="1"/>
  <c r="E127" i="141"/>
  <c r="D127" i="141" l="1"/>
  <c r="G127" i="141"/>
  <c r="H127" i="141"/>
  <c r="A130" i="143"/>
  <c r="A214" i="141"/>
  <c r="B129" i="141"/>
  <c r="F129" i="141" s="1"/>
  <c r="C128" i="141"/>
  <c r="E128" i="141"/>
  <c r="D128" i="141" l="1"/>
  <c r="G128" i="141"/>
  <c r="H128" i="141"/>
  <c r="A131" i="143"/>
  <c r="A215" i="141"/>
  <c r="B130" i="141"/>
  <c r="F130" i="141" s="1"/>
  <c r="E129" i="141"/>
  <c r="C129" i="141"/>
  <c r="D129" i="141" l="1"/>
  <c r="G129" i="141"/>
  <c r="H129" i="141"/>
  <c r="A132" i="143"/>
  <c r="A216" i="141"/>
  <c r="E130" i="141"/>
  <c r="C130" i="141"/>
  <c r="B131" i="141"/>
  <c r="F131" i="141" s="1"/>
  <c r="D130" i="141" l="1"/>
  <c r="H130" i="141"/>
  <c r="G130" i="141"/>
  <c r="A133" i="143"/>
  <c r="A217" i="141"/>
  <c r="E131" i="141"/>
  <c r="C131" i="141"/>
  <c r="B132" i="141"/>
  <c r="F132" i="141" s="1"/>
  <c r="D131" i="141" l="1"/>
  <c r="G131" i="141"/>
  <c r="H131" i="141"/>
  <c r="A134" i="143"/>
  <c r="A218" i="141"/>
  <c r="C132" i="141"/>
  <c r="B133" i="141"/>
  <c r="F133" i="141" s="1"/>
  <c r="E132" i="141"/>
  <c r="D132" i="141" l="1"/>
  <c r="G132" i="141"/>
  <c r="H132" i="141"/>
  <c r="A135" i="143"/>
  <c r="A219" i="141"/>
  <c r="B134" i="141"/>
  <c r="F134" i="141" s="1"/>
  <c r="C133" i="141"/>
  <c r="E133" i="141"/>
  <c r="D133" i="141" l="1"/>
  <c r="G133" i="141"/>
  <c r="H133" i="141"/>
  <c r="A136" i="143"/>
  <c r="A220" i="141"/>
  <c r="C134" i="141"/>
  <c r="B135" i="141"/>
  <c r="F135" i="141" s="1"/>
  <c r="E134" i="141"/>
  <c r="D134" i="141" l="1"/>
  <c r="G134" i="141"/>
  <c r="H134" i="141"/>
  <c r="A137" i="143"/>
  <c r="A221" i="141"/>
  <c r="B136" i="141"/>
  <c r="F136" i="141" s="1"/>
  <c r="C135" i="141"/>
  <c r="E135" i="141"/>
  <c r="D135" i="141" l="1"/>
  <c r="G135" i="141"/>
  <c r="H135" i="141"/>
  <c r="A138" i="143"/>
  <c r="A222" i="141"/>
  <c r="C136" i="141"/>
  <c r="B137" i="141"/>
  <c r="F137" i="141" s="1"/>
  <c r="E136" i="141"/>
  <c r="D136" i="141" l="1"/>
  <c r="H136" i="141"/>
  <c r="G136" i="141"/>
  <c r="A139" i="143"/>
  <c r="A223" i="141"/>
  <c r="B138" i="141"/>
  <c r="F138" i="141" s="1"/>
  <c r="E137" i="141"/>
  <c r="C137" i="141"/>
  <c r="D137" i="141" l="1"/>
  <c r="H137" i="141"/>
  <c r="G137" i="141"/>
  <c r="A140" i="143"/>
  <c r="A224" i="141"/>
  <c r="B139" i="141"/>
  <c r="F139" i="141" s="1"/>
  <c r="C138" i="141"/>
  <c r="E138" i="141"/>
  <c r="D138" i="141" l="1"/>
  <c r="G138" i="141"/>
  <c r="H138" i="141"/>
  <c r="A141" i="143"/>
  <c r="A225" i="141"/>
  <c r="B140" i="141"/>
  <c r="F140" i="141" s="1"/>
  <c r="C139" i="141"/>
  <c r="E139" i="141"/>
  <c r="D139" i="141" l="1"/>
  <c r="G139" i="141"/>
  <c r="H139" i="141"/>
  <c r="A142" i="143"/>
  <c r="A226" i="141"/>
  <c r="C140" i="141"/>
  <c r="E140" i="141"/>
  <c r="B141" i="141"/>
  <c r="F141" i="141" s="1"/>
  <c r="D140" i="141" l="1"/>
  <c r="G140" i="141"/>
  <c r="H140" i="141"/>
  <c r="A143" i="143"/>
  <c r="A227" i="141"/>
  <c r="E141" i="141"/>
  <c r="C141" i="141"/>
  <c r="B142" i="141"/>
  <c r="F142" i="141" s="1"/>
  <c r="D141" i="141" l="1"/>
  <c r="G141" i="141"/>
  <c r="H141" i="141"/>
  <c r="A144" i="143"/>
  <c r="A228" i="141"/>
  <c r="B143" i="141"/>
  <c r="F143" i="141" s="1"/>
  <c r="C142" i="141"/>
  <c r="E142" i="141"/>
  <c r="D142" i="141" l="1"/>
  <c r="H142" i="141"/>
  <c r="G142" i="141"/>
  <c r="A145" i="143"/>
  <c r="A229" i="141"/>
  <c r="C143" i="141"/>
  <c r="B144" i="141"/>
  <c r="F144" i="141" s="1"/>
  <c r="E143" i="141"/>
  <c r="D143" i="141" l="1"/>
  <c r="H143" i="141"/>
  <c r="G143" i="141"/>
  <c r="A146" i="143"/>
  <c r="A230" i="141"/>
  <c r="E144" i="141"/>
  <c r="B145" i="141"/>
  <c r="F145" i="141" s="1"/>
  <c r="C144" i="141"/>
  <c r="D144" i="141" l="1"/>
  <c r="G144" i="141"/>
  <c r="H144" i="141"/>
  <c r="A147" i="143"/>
  <c r="A231" i="141"/>
  <c r="B146" i="141"/>
  <c r="F146" i="141" s="1"/>
  <c r="C145" i="141"/>
  <c r="E145" i="141"/>
  <c r="D145" i="141" l="1"/>
  <c r="H145" i="141"/>
  <c r="G145" i="141"/>
  <c r="A148" i="143"/>
  <c r="A232" i="141"/>
  <c r="B147" i="141"/>
  <c r="F147" i="141" s="1"/>
  <c r="C146" i="141"/>
  <c r="E146" i="141"/>
  <c r="D146" i="141" l="1"/>
  <c r="H146" i="141"/>
  <c r="G146" i="141"/>
  <c r="A149" i="143"/>
  <c r="A233" i="141"/>
  <c r="B148" i="141"/>
  <c r="F148" i="141" s="1"/>
  <c r="C147" i="141"/>
  <c r="E147" i="141"/>
  <c r="D147" i="141" l="1"/>
  <c r="G147" i="141"/>
  <c r="H147" i="141"/>
  <c r="A150" i="143"/>
  <c r="A234" i="141"/>
  <c r="B149" i="141"/>
  <c r="F149" i="141" s="1"/>
  <c r="C148" i="141"/>
  <c r="E148" i="141"/>
  <c r="D148" i="141" l="1"/>
  <c r="H148" i="141"/>
  <c r="G148" i="141"/>
  <c r="A151" i="143"/>
  <c r="A235" i="141"/>
  <c r="C149" i="141"/>
  <c r="E149" i="141"/>
  <c r="B150" i="141"/>
  <c r="F150" i="141" s="1"/>
  <c r="D149" i="141" l="1"/>
  <c r="G149" i="141"/>
  <c r="H149" i="141"/>
  <c r="A152" i="143"/>
  <c r="A236" i="141"/>
  <c r="C150" i="141"/>
  <c r="E150" i="141"/>
  <c r="B151" i="141"/>
  <c r="F151" i="141" s="1"/>
  <c r="D150" i="141" l="1"/>
  <c r="G150" i="141"/>
  <c r="H150" i="141"/>
  <c r="A153" i="143"/>
  <c r="A237" i="141"/>
  <c r="B152" i="141"/>
  <c r="F152" i="141" s="1"/>
  <c r="E151" i="141"/>
  <c r="C151" i="141"/>
  <c r="D151" i="141" l="1"/>
  <c r="H151" i="141"/>
  <c r="G151" i="141"/>
  <c r="A154" i="143"/>
  <c r="A238" i="141"/>
  <c r="C152" i="141"/>
  <c r="E152" i="141"/>
  <c r="B153" i="141"/>
  <c r="F153" i="141" s="1"/>
  <c r="D152" i="141" l="1"/>
  <c r="G152" i="141"/>
  <c r="H152" i="141"/>
  <c r="A155" i="143"/>
  <c r="A239" i="141"/>
  <c r="C153" i="141"/>
  <c r="B154" i="141"/>
  <c r="F154" i="141" s="1"/>
  <c r="E153" i="141"/>
  <c r="D153" i="141" l="1"/>
  <c r="G153" i="141"/>
  <c r="H153" i="141"/>
  <c r="A156" i="143"/>
  <c r="A240" i="141"/>
  <c r="C154" i="141"/>
  <c r="B155" i="141"/>
  <c r="F155" i="141" s="1"/>
  <c r="E154" i="141"/>
  <c r="D154" i="141" l="1"/>
  <c r="H154" i="141"/>
  <c r="G154" i="141"/>
  <c r="A157" i="143"/>
  <c r="A241" i="141"/>
  <c r="B156" i="141"/>
  <c r="F156" i="141" s="1"/>
  <c r="E155" i="141"/>
  <c r="C155" i="141"/>
  <c r="D155" i="141" l="1"/>
  <c r="G155" i="141"/>
  <c r="H155" i="141"/>
  <c r="A158" i="143"/>
  <c r="A242" i="141"/>
  <c r="B157" i="141"/>
  <c r="F157" i="141" s="1"/>
  <c r="E156" i="141"/>
  <c r="C156" i="141"/>
  <c r="D156" i="141" l="1"/>
  <c r="G156" i="141"/>
  <c r="H156" i="141"/>
  <c r="A159" i="143"/>
  <c r="A243" i="141"/>
  <c r="C157" i="141"/>
  <c r="E157" i="141"/>
  <c r="B158" i="141"/>
  <c r="F158" i="141" s="1"/>
  <c r="D157" i="141" l="1"/>
  <c r="G157" i="141"/>
  <c r="H157" i="141"/>
  <c r="A160" i="143"/>
  <c r="A244" i="141"/>
  <c r="B159" i="141"/>
  <c r="F159" i="141" s="1"/>
  <c r="E158" i="141"/>
  <c r="C158" i="141"/>
  <c r="D158" i="141" l="1"/>
  <c r="H158" i="141"/>
  <c r="G158" i="141"/>
  <c r="A161" i="143"/>
  <c r="A245" i="141"/>
  <c r="E159" i="141"/>
  <c r="B160" i="141"/>
  <c r="F160" i="141" s="1"/>
  <c r="C159" i="141"/>
  <c r="D159" i="141" l="1"/>
  <c r="G159" i="141"/>
  <c r="H159" i="141"/>
  <c r="A162" i="143"/>
  <c r="A246" i="141"/>
  <c r="E160" i="141"/>
  <c r="C160" i="141"/>
  <c r="B161" i="141"/>
  <c r="F161" i="141" s="1"/>
  <c r="D160" i="141" l="1"/>
  <c r="G160" i="141"/>
  <c r="H160" i="141"/>
  <c r="A163" i="143"/>
  <c r="A247" i="141"/>
  <c r="B162" i="141"/>
  <c r="F162" i="141" s="1"/>
  <c r="C161" i="141"/>
  <c r="E161" i="141"/>
  <c r="D161" i="141" l="1"/>
  <c r="G161" i="141"/>
  <c r="H161" i="141"/>
  <c r="A164" i="143"/>
  <c r="A248" i="141"/>
  <c r="E162" i="141"/>
  <c r="B163" i="141"/>
  <c r="F163" i="141" s="1"/>
  <c r="C162" i="141"/>
  <c r="D162" i="141" l="1"/>
  <c r="H162" i="141"/>
  <c r="G162" i="141"/>
  <c r="A165" i="143"/>
  <c r="A249" i="141"/>
  <c r="E163" i="141"/>
  <c r="B164" i="141"/>
  <c r="F164" i="141" s="1"/>
  <c r="C163" i="141"/>
  <c r="D163" i="141" l="1"/>
  <c r="G163" i="141"/>
  <c r="H163" i="141"/>
  <c r="A166" i="143"/>
  <c r="A250" i="141"/>
  <c r="E164" i="141"/>
  <c r="C164" i="141"/>
  <c r="B165" i="141"/>
  <c r="F165" i="141" s="1"/>
  <c r="D164" i="141" l="1"/>
  <c r="G164" i="141"/>
  <c r="H164" i="141"/>
  <c r="A167" i="143"/>
  <c r="A251" i="141"/>
  <c r="B166" i="141"/>
  <c r="F166" i="141" s="1"/>
  <c r="E165" i="141"/>
  <c r="C165" i="141"/>
  <c r="D165" i="141" l="1"/>
  <c r="G165" i="141"/>
  <c r="H165" i="141"/>
  <c r="A168" i="143"/>
  <c r="A252" i="141"/>
  <c r="B167" i="141"/>
  <c r="F167" i="141" s="1"/>
  <c r="E166" i="141"/>
  <c r="C166" i="141"/>
  <c r="D166" i="141" l="1"/>
  <c r="H166" i="141"/>
  <c r="G166" i="141"/>
  <c r="A169" i="143"/>
  <c r="A253" i="141"/>
  <c r="E167" i="141"/>
  <c r="C167" i="141"/>
  <c r="B168" i="141"/>
  <c r="F168" i="141" s="1"/>
  <c r="D167" i="141" l="1"/>
  <c r="G167" i="141"/>
  <c r="H167" i="141"/>
  <c r="A170" i="143"/>
  <c r="A254" i="141"/>
  <c r="C168" i="141"/>
  <c r="B169" i="141"/>
  <c r="F169" i="141" s="1"/>
  <c r="E168" i="141"/>
  <c r="D168" i="141" l="1"/>
  <c r="G168" i="141"/>
  <c r="H168" i="141"/>
  <c r="A171" i="143"/>
  <c r="A255" i="141"/>
  <c r="E169" i="141"/>
  <c r="C169" i="141"/>
  <c r="B170" i="141"/>
  <c r="F170" i="141" s="1"/>
  <c r="D169" i="141" l="1"/>
  <c r="G169" i="141"/>
  <c r="H169" i="141"/>
  <c r="A172" i="143"/>
  <c r="A256" i="141"/>
  <c r="C170" i="141"/>
  <c r="E170" i="141"/>
  <c r="B171" i="141"/>
  <c r="F171" i="141" s="1"/>
  <c r="D170" i="141" l="1"/>
  <c r="G170" i="141"/>
  <c r="H170" i="141"/>
  <c r="A173" i="143"/>
  <c r="A257" i="141"/>
  <c r="B172" i="141"/>
  <c r="F172" i="141" s="1"/>
  <c r="C171" i="141"/>
  <c r="E171" i="141"/>
  <c r="D171" i="141" l="1"/>
  <c r="H171" i="141"/>
  <c r="G171" i="141"/>
  <c r="A174" i="143"/>
  <c r="A258" i="141"/>
  <c r="E172" i="141"/>
  <c r="C172" i="141"/>
  <c r="B173" i="141"/>
  <c r="F173" i="141" s="1"/>
  <c r="D172" i="141" l="1"/>
  <c r="H172" i="141"/>
  <c r="G172" i="141"/>
  <c r="A175" i="143"/>
  <c r="A259" i="141"/>
  <c r="E173" i="141"/>
  <c r="C173" i="141"/>
  <c r="B174" i="141"/>
  <c r="F174" i="141" s="1"/>
  <c r="D173" i="141" l="1"/>
  <c r="H173" i="141"/>
  <c r="G173" i="141"/>
  <c r="A176" i="143"/>
  <c r="A260" i="141"/>
  <c r="E174" i="141"/>
  <c r="B175" i="141"/>
  <c r="F175" i="141" s="1"/>
  <c r="C174" i="141"/>
  <c r="D174" i="141" l="1"/>
  <c r="H174" i="141"/>
  <c r="G174" i="141"/>
  <c r="A177" i="143"/>
  <c r="A261" i="141"/>
  <c r="C175" i="141"/>
  <c r="E175" i="141"/>
  <c r="B176" i="141"/>
  <c r="F176" i="141" s="1"/>
  <c r="D175" i="141" l="1"/>
  <c r="H175" i="141"/>
  <c r="G175" i="141"/>
  <c r="A178" i="143"/>
  <c r="A262" i="141"/>
  <c r="C176" i="141"/>
  <c r="B177" i="141"/>
  <c r="F177" i="141" s="1"/>
  <c r="E176" i="141"/>
  <c r="D176" i="141" l="1"/>
  <c r="G176" i="141"/>
  <c r="H176" i="141"/>
  <c r="A179" i="143"/>
  <c r="A263" i="141"/>
  <c r="E177" i="141"/>
  <c r="C177" i="141"/>
  <c r="B178" i="141"/>
  <c r="F178" i="141" s="1"/>
  <c r="D177" i="141" l="1"/>
  <c r="G177" i="141"/>
  <c r="H177" i="141"/>
  <c r="A180" i="143"/>
  <c r="A264" i="141"/>
  <c r="C178" i="141"/>
  <c r="E178" i="141"/>
  <c r="B179" i="141"/>
  <c r="F179" i="141" s="1"/>
  <c r="D178" i="141" l="1"/>
  <c r="G178" i="141"/>
  <c r="H178" i="141"/>
  <c r="A181" i="143"/>
  <c r="A265" i="141"/>
  <c r="B180" i="141"/>
  <c r="F180" i="141" s="1"/>
  <c r="E179" i="141"/>
  <c r="C179" i="141"/>
  <c r="D179" i="141" l="1"/>
  <c r="H179" i="141"/>
  <c r="G179" i="141"/>
  <c r="A182" i="143"/>
  <c r="A266" i="141"/>
  <c r="B181" i="141"/>
  <c r="F181" i="141" s="1"/>
  <c r="C180" i="141"/>
  <c r="E180" i="141"/>
  <c r="D180" i="141" l="1"/>
  <c r="G180" i="141"/>
  <c r="H180" i="141"/>
  <c r="A183" i="143"/>
  <c r="A267" i="141"/>
  <c r="B182" i="141"/>
  <c r="F182" i="141" s="1"/>
  <c r="E181" i="141"/>
  <c r="C181" i="141"/>
  <c r="D181" i="141" l="1"/>
  <c r="G181" i="141"/>
  <c r="H181" i="141"/>
  <c r="A184" i="143"/>
  <c r="A268" i="141"/>
  <c r="B183" i="141"/>
  <c r="F183" i="141" s="1"/>
  <c r="E182" i="141"/>
  <c r="C182" i="141"/>
  <c r="D182" i="141" l="1"/>
  <c r="H182" i="141"/>
  <c r="G182" i="141"/>
  <c r="A185" i="143"/>
  <c r="A269" i="141"/>
  <c r="B184" i="141"/>
  <c r="F184" i="141" s="1"/>
  <c r="C183" i="141"/>
  <c r="E183" i="141"/>
  <c r="D183" i="141" l="1"/>
  <c r="G183" i="141"/>
  <c r="H183" i="141"/>
  <c r="A186" i="143"/>
  <c r="A270" i="141"/>
  <c r="B185" i="141"/>
  <c r="F185" i="141" s="1"/>
  <c r="C184" i="141"/>
  <c r="E184" i="141"/>
  <c r="D184" i="141" l="1"/>
  <c r="G184" i="141"/>
  <c r="H184" i="141"/>
  <c r="A187" i="143"/>
  <c r="A271" i="141"/>
  <c r="B186" i="141"/>
  <c r="F186" i="141" s="1"/>
  <c r="E185" i="141"/>
  <c r="C185" i="141"/>
  <c r="D185" i="141" l="1"/>
  <c r="H185" i="141"/>
  <c r="G185" i="141"/>
  <c r="A188" i="143"/>
  <c r="A272" i="141"/>
  <c r="B187" i="141"/>
  <c r="F187" i="141" s="1"/>
  <c r="E186" i="141"/>
  <c r="C186" i="141"/>
  <c r="D186" i="141" l="1"/>
  <c r="G186" i="141"/>
  <c r="H186" i="141"/>
  <c r="A189" i="143"/>
  <c r="A273" i="141"/>
  <c r="B188" i="141"/>
  <c r="F188" i="141" s="1"/>
  <c r="E187" i="141"/>
  <c r="C187" i="141"/>
  <c r="D187" i="141" l="1"/>
  <c r="G187" i="141"/>
  <c r="H187" i="141"/>
  <c r="A190" i="143"/>
  <c r="A274" i="141"/>
  <c r="E188" i="141"/>
  <c r="C188" i="141"/>
  <c r="B189" i="141"/>
  <c r="F189" i="141" s="1"/>
  <c r="D188" i="141" l="1"/>
  <c r="H188" i="141"/>
  <c r="G188" i="141"/>
  <c r="A191" i="143"/>
  <c r="A275" i="141"/>
  <c r="B190" i="141"/>
  <c r="F190" i="141" s="1"/>
  <c r="C189" i="141"/>
  <c r="E189" i="141"/>
  <c r="D189" i="141" l="1"/>
  <c r="G189" i="141"/>
  <c r="H189" i="141"/>
  <c r="A192" i="143"/>
  <c r="A276" i="141"/>
  <c r="E190" i="141"/>
  <c r="C190" i="141"/>
  <c r="B191" i="141"/>
  <c r="F191" i="141" s="1"/>
  <c r="D190" i="141" l="1"/>
  <c r="G190" i="141"/>
  <c r="H190" i="141"/>
  <c r="A193" i="143"/>
  <c r="A277" i="141"/>
  <c r="C191" i="141"/>
  <c r="E191" i="141"/>
  <c r="B192" i="141"/>
  <c r="F192" i="141" s="1"/>
  <c r="D191" i="141" l="1"/>
  <c r="G191" i="141"/>
  <c r="H191" i="141"/>
  <c r="A194" i="143"/>
  <c r="A278" i="141"/>
  <c r="B193" i="141"/>
  <c r="F193" i="141" s="1"/>
  <c r="E192" i="141"/>
  <c r="C192" i="141"/>
  <c r="D192" i="141" l="1"/>
  <c r="H192" i="141"/>
  <c r="G192" i="141"/>
  <c r="A195" i="143"/>
  <c r="A279" i="141"/>
  <c r="B194" i="141"/>
  <c r="F194" i="141" s="1"/>
  <c r="E193" i="141"/>
  <c r="C193" i="141"/>
  <c r="D193" i="141" l="1"/>
  <c r="G193" i="141"/>
  <c r="H193" i="141"/>
  <c r="A196" i="143"/>
  <c r="A280" i="141"/>
  <c r="B195" i="141"/>
  <c r="F195" i="141" s="1"/>
  <c r="E194" i="141"/>
  <c r="C194" i="141"/>
  <c r="D194" i="141" l="1"/>
  <c r="H194" i="141"/>
  <c r="G194" i="141"/>
  <c r="A197" i="143"/>
  <c r="A281" i="141"/>
  <c r="C195" i="141"/>
  <c r="B196" i="141"/>
  <c r="F196" i="141" s="1"/>
  <c r="E195" i="141"/>
  <c r="D195" i="141" l="1"/>
  <c r="G195" i="141"/>
  <c r="H195" i="141"/>
  <c r="A198" i="143"/>
  <c r="A282" i="141"/>
  <c r="C196" i="141"/>
  <c r="E196" i="141"/>
  <c r="B197" i="141"/>
  <c r="F197" i="141" s="1"/>
  <c r="D196" i="141" l="1"/>
  <c r="G196" i="141"/>
  <c r="H196" i="141"/>
  <c r="A199" i="143"/>
  <c r="A283" i="141"/>
  <c r="E197" i="141"/>
  <c r="B198" i="141"/>
  <c r="F198" i="141" s="1"/>
  <c r="C197" i="141"/>
  <c r="D197" i="141" l="1"/>
  <c r="H197" i="141"/>
  <c r="G197" i="141"/>
  <c r="A200" i="143"/>
  <c r="A284" i="141"/>
  <c r="B199" i="141"/>
  <c r="F199" i="141" s="1"/>
  <c r="E198" i="141"/>
  <c r="C198" i="141"/>
  <c r="D198" i="141" l="1"/>
  <c r="G198" i="141"/>
  <c r="H198" i="141"/>
  <c r="A201" i="143"/>
  <c r="A285" i="141"/>
  <c r="E199" i="141"/>
  <c r="C199" i="141"/>
  <c r="B200" i="141"/>
  <c r="F200" i="141" s="1"/>
  <c r="D199" i="141" l="1"/>
  <c r="G199" i="141"/>
  <c r="H199" i="141"/>
  <c r="A202" i="143"/>
  <c r="A286" i="141"/>
  <c r="B201" i="141"/>
  <c r="F201" i="141" s="1"/>
  <c r="E200" i="141"/>
  <c r="C200" i="141"/>
  <c r="D200" i="141" l="1"/>
  <c r="H200" i="141"/>
  <c r="G200" i="141"/>
  <c r="A203" i="143"/>
  <c r="A287" i="141"/>
  <c r="B202" i="141"/>
  <c r="F202" i="141" s="1"/>
  <c r="C201" i="141"/>
  <c r="E201" i="141"/>
  <c r="D201" i="141" l="1"/>
  <c r="G201" i="141"/>
  <c r="H201" i="141"/>
  <c r="A204" i="143"/>
  <c r="A288" i="141"/>
  <c r="B203" i="141"/>
  <c r="F203" i="141" s="1"/>
  <c r="C202" i="141"/>
  <c r="E202" i="141"/>
  <c r="D202" i="141" l="1"/>
  <c r="G202" i="141"/>
  <c r="H202" i="141"/>
  <c r="A205" i="143"/>
  <c r="A289" i="141"/>
  <c r="C203" i="141"/>
  <c r="E203" i="141"/>
  <c r="B204" i="141"/>
  <c r="F204" i="141" s="1"/>
  <c r="D203" i="141" l="1"/>
  <c r="G203" i="141"/>
  <c r="H203" i="141"/>
  <c r="A206" i="143"/>
  <c r="A290" i="141"/>
  <c r="B205" i="141"/>
  <c r="F205" i="141" s="1"/>
  <c r="E204" i="141"/>
  <c r="C204" i="141"/>
  <c r="D204" i="141" l="1"/>
  <c r="H204" i="141"/>
  <c r="G204" i="141"/>
  <c r="A207" i="143"/>
  <c r="A291" i="141"/>
  <c r="C205" i="141"/>
  <c r="B206" i="141"/>
  <c r="F206" i="141" s="1"/>
  <c r="E205" i="141"/>
  <c r="D205" i="141" l="1"/>
  <c r="G205" i="141"/>
  <c r="H205" i="141"/>
  <c r="A208" i="143"/>
  <c r="A292" i="141"/>
  <c r="C206" i="141"/>
  <c r="B207" i="141"/>
  <c r="F207" i="141" s="1"/>
  <c r="E206" i="141"/>
  <c r="D206" i="141" l="1"/>
  <c r="G206" i="141"/>
  <c r="H206" i="141"/>
  <c r="A209" i="143"/>
  <c r="A293" i="141"/>
  <c r="E207" i="141"/>
  <c r="B208" i="141"/>
  <c r="F208" i="141" s="1"/>
  <c r="C207" i="141"/>
  <c r="D207" i="141" l="1"/>
  <c r="G207" i="141"/>
  <c r="H207" i="141"/>
  <c r="A210" i="143"/>
  <c r="A294" i="141"/>
  <c r="E208" i="141"/>
  <c r="C208" i="141"/>
  <c r="B209" i="141"/>
  <c r="F209" i="141" s="1"/>
  <c r="D208" i="141" l="1"/>
  <c r="I84" i="141"/>
  <c r="G208" i="141"/>
  <c r="H208" i="141"/>
  <c r="A211" i="143"/>
  <c r="A295" i="141"/>
  <c r="C209" i="141"/>
  <c r="B210" i="141"/>
  <c r="F210" i="141" s="1"/>
  <c r="E209" i="141"/>
  <c r="D209" i="141" l="1"/>
  <c r="I194" i="141"/>
  <c r="I120" i="141"/>
  <c r="I204" i="141"/>
  <c r="I206" i="141"/>
  <c r="I169" i="141"/>
  <c r="I186" i="141"/>
  <c r="I182" i="141"/>
  <c r="I197" i="141"/>
  <c r="I177" i="141"/>
  <c r="I190" i="141"/>
  <c r="I141" i="141"/>
  <c r="I154" i="141"/>
  <c r="I122" i="141"/>
  <c r="I83" i="141"/>
  <c r="I68" i="141"/>
  <c r="I202" i="141"/>
  <c r="I191" i="141"/>
  <c r="I181" i="141"/>
  <c r="I175" i="141"/>
  <c r="I165" i="141"/>
  <c r="I150" i="141"/>
  <c r="I132" i="141"/>
  <c r="I48" i="141"/>
  <c r="I57" i="141"/>
  <c r="I85" i="141"/>
  <c r="I198" i="141"/>
  <c r="I187" i="141"/>
  <c r="I183" i="141"/>
  <c r="I174" i="141"/>
  <c r="I162" i="141"/>
  <c r="I145" i="141"/>
  <c r="I128" i="141"/>
  <c r="I88" i="141"/>
  <c r="I103" i="141"/>
  <c r="I89" i="141"/>
  <c r="I170" i="141"/>
  <c r="I158" i="141"/>
  <c r="I147" i="141"/>
  <c r="I77" i="141"/>
  <c r="I117" i="141"/>
  <c r="I33" i="141"/>
  <c r="I21" i="141"/>
  <c r="I59" i="141"/>
  <c r="I56" i="141"/>
  <c r="I76" i="141"/>
  <c r="I19" i="141"/>
  <c r="I196" i="141"/>
  <c r="I193" i="141"/>
  <c r="I189" i="141"/>
  <c r="I185" i="141"/>
  <c r="I180" i="141"/>
  <c r="I178" i="141"/>
  <c r="I173" i="141"/>
  <c r="I171" i="141"/>
  <c r="I166" i="141"/>
  <c r="I161" i="141"/>
  <c r="I155" i="141"/>
  <c r="I152" i="141"/>
  <c r="I149" i="141"/>
  <c r="I148" i="141"/>
  <c r="I140" i="141"/>
  <c r="I137" i="141"/>
  <c r="I131" i="141"/>
  <c r="I15" i="141"/>
  <c r="I97" i="141"/>
  <c r="I75" i="141"/>
  <c r="I43" i="141"/>
  <c r="I47" i="141"/>
  <c r="I4" i="141"/>
  <c r="I81" i="141"/>
  <c r="I38" i="141"/>
  <c r="I31" i="141"/>
  <c r="I62" i="141"/>
  <c r="I3" i="141"/>
  <c r="I20" i="141"/>
  <c r="I7" i="141"/>
  <c r="I46" i="141"/>
  <c r="I107" i="141"/>
  <c r="I28" i="141"/>
  <c r="I9" i="141"/>
  <c r="I91" i="141"/>
  <c r="I41" i="141"/>
  <c r="I200" i="141"/>
  <c r="I195" i="141"/>
  <c r="I192" i="141"/>
  <c r="I188" i="141"/>
  <c r="I184" i="141"/>
  <c r="I179" i="141"/>
  <c r="I176" i="141"/>
  <c r="I172" i="141"/>
  <c r="I167" i="141"/>
  <c r="I163" i="141"/>
  <c r="I159" i="141"/>
  <c r="I156" i="141"/>
  <c r="I153" i="141"/>
  <c r="I146" i="141"/>
  <c r="I143" i="141"/>
  <c r="I138" i="141"/>
  <c r="I136" i="141"/>
  <c r="I133" i="141"/>
  <c r="I17" i="141"/>
  <c r="I27" i="141"/>
  <c r="I93" i="141"/>
  <c r="I72" i="141"/>
  <c r="I95" i="141"/>
  <c r="I104" i="141"/>
  <c r="I42" i="141"/>
  <c r="I115" i="141"/>
  <c r="I30" i="141"/>
  <c r="I110" i="141"/>
  <c r="I86" i="141"/>
  <c r="I66" i="141"/>
  <c r="I96" i="141"/>
  <c r="I90" i="141"/>
  <c r="I23" i="141"/>
  <c r="I10" i="141"/>
  <c r="I63" i="141"/>
  <c r="I44" i="141"/>
  <c r="I13" i="141"/>
  <c r="I205" i="141"/>
  <c r="I168" i="141"/>
  <c r="I164" i="141"/>
  <c r="I157" i="141"/>
  <c r="I160" i="141"/>
  <c r="I151" i="141"/>
  <c r="I144" i="141"/>
  <c r="I142" i="141"/>
  <c r="I139" i="141"/>
  <c r="I134" i="141"/>
  <c r="I130" i="141"/>
  <c r="I26" i="141"/>
  <c r="I79" i="141"/>
  <c r="I53" i="141"/>
  <c r="I61" i="141"/>
  <c r="I102" i="141"/>
  <c r="I58" i="141"/>
  <c r="I52" i="141"/>
  <c r="I37" i="141"/>
  <c r="I8" i="141"/>
  <c r="I24" i="141"/>
  <c r="I29" i="141"/>
  <c r="I111" i="141"/>
  <c r="I50" i="141"/>
  <c r="I39" i="141"/>
  <c r="I100" i="141"/>
  <c r="I105" i="141"/>
  <c r="I65" i="141"/>
  <c r="I124" i="141"/>
  <c r="I12" i="141"/>
  <c r="I99" i="141"/>
  <c r="I36" i="141"/>
  <c r="I126" i="141"/>
  <c r="I51" i="141"/>
  <c r="I78" i="141"/>
  <c r="I119" i="141"/>
  <c r="I67" i="141"/>
  <c r="I40" i="141"/>
  <c r="I11" i="141"/>
  <c r="I34" i="141"/>
  <c r="I60" i="141"/>
  <c r="I82" i="141"/>
  <c r="I92" i="141"/>
  <c r="I94" i="141"/>
  <c r="I113" i="141"/>
  <c r="I49" i="141"/>
  <c r="I106" i="141"/>
  <c r="I18" i="141"/>
  <c r="I16" i="141"/>
  <c r="I118" i="141"/>
  <c r="I74" i="141"/>
  <c r="I5" i="141"/>
  <c r="I35" i="141"/>
  <c r="I129" i="141"/>
  <c r="I69" i="141"/>
  <c r="I87" i="141"/>
  <c r="I6" i="141"/>
  <c r="I116" i="141"/>
  <c r="I121" i="141"/>
  <c r="I73" i="141"/>
  <c r="I55" i="141"/>
  <c r="I14" i="141"/>
  <c r="I112" i="141"/>
  <c r="I25" i="141"/>
  <c r="I114" i="141"/>
  <c r="I32" i="141"/>
  <c r="I64" i="141"/>
  <c r="I70" i="141"/>
  <c r="I22" i="141"/>
  <c r="I123" i="141"/>
  <c r="I209" i="141"/>
  <c r="I108" i="141"/>
  <c r="I109" i="141"/>
  <c r="I98" i="141"/>
  <c r="I71" i="141"/>
  <c r="I45" i="141"/>
  <c r="I101" i="141"/>
  <c r="I54" i="141"/>
  <c r="I135" i="141"/>
  <c r="I203" i="141"/>
  <c r="I127" i="141"/>
  <c r="I80" i="141"/>
  <c r="I125" i="141"/>
  <c r="I208" i="141"/>
  <c r="I201" i="141"/>
  <c r="I199" i="141"/>
  <c r="I207" i="141"/>
  <c r="G209" i="141"/>
  <c r="H209" i="141"/>
  <c r="A212" i="143"/>
  <c r="A296" i="141"/>
  <c r="C210" i="141"/>
  <c r="E210" i="141"/>
  <c r="B211" i="141"/>
  <c r="F211" i="141" s="1"/>
  <c r="D210" i="141" l="1"/>
  <c r="I210" i="141" s="1"/>
  <c r="H210" i="141"/>
  <c r="G210" i="141"/>
  <c r="A213" i="143"/>
  <c r="A297" i="141"/>
  <c r="B212" i="141"/>
  <c r="F212" i="141" s="1"/>
  <c r="E211" i="141"/>
  <c r="C211" i="141"/>
  <c r="D211" i="141" l="1"/>
  <c r="I211" i="141" s="1"/>
  <c r="H211" i="141"/>
  <c r="G211" i="141"/>
  <c r="A214" i="143"/>
  <c r="A298" i="141"/>
  <c r="C212" i="141"/>
  <c r="B213" i="141"/>
  <c r="F213" i="141" s="1"/>
  <c r="E212" i="141"/>
  <c r="D212" i="141" l="1"/>
  <c r="I212" i="141" s="1"/>
  <c r="G212" i="141"/>
  <c r="H212" i="141"/>
  <c r="A215" i="143"/>
  <c r="A299" i="141"/>
  <c r="B214" i="141"/>
  <c r="F214" i="141" s="1"/>
  <c r="C213" i="141"/>
  <c r="E213" i="141"/>
  <c r="D213" i="141" l="1"/>
  <c r="I213" i="141" s="1"/>
  <c r="G213" i="141"/>
  <c r="H213" i="141"/>
  <c r="A216" i="143"/>
  <c r="A300" i="141"/>
  <c r="B215" i="141"/>
  <c r="F215" i="141" s="1"/>
  <c r="E214" i="141"/>
  <c r="C214" i="141"/>
  <c r="D214" i="141" l="1"/>
  <c r="I214" i="141" s="1"/>
  <c r="H214" i="141"/>
  <c r="G214" i="141"/>
  <c r="A217" i="143"/>
  <c r="A301" i="141"/>
  <c r="E215" i="141"/>
  <c r="C215" i="141"/>
  <c r="B216" i="141"/>
  <c r="F216" i="141" s="1"/>
  <c r="D215" i="141" l="1"/>
  <c r="I215" i="141" s="1"/>
  <c r="H215" i="141"/>
  <c r="G215" i="141"/>
  <c r="A218" i="143"/>
  <c r="A302" i="141"/>
  <c r="B217" i="141"/>
  <c r="F217" i="141" s="1"/>
  <c r="C216" i="141"/>
  <c r="E216" i="141"/>
  <c r="D216" i="141" l="1"/>
  <c r="I216" i="141" s="1"/>
  <c r="G216" i="141"/>
  <c r="H216" i="141"/>
  <c r="A219" i="143"/>
  <c r="A303" i="141"/>
  <c r="B218" i="141"/>
  <c r="F218" i="141" s="1"/>
  <c r="C217" i="141"/>
  <c r="E217" i="141"/>
  <c r="D217" i="141" l="1"/>
  <c r="I217" i="141" s="1"/>
  <c r="G217" i="141"/>
  <c r="H217" i="141"/>
  <c r="A220" i="143"/>
  <c r="A304" i="141"/>
  <c r="B219" i="141"/>
  <c r="F219" i="141" s="1"/>
  <c r="C218" i="141"/>
  <c r="E218" i="141"/>
  <c r="D218" i="141" l="1"/>
  <c r="I218" i="141" s="1"/>
  <c r="G218" i="141"/>
  <c r="H218" i="141"/>
  <c r="A221" i="143"/>
  <c r="A305" i="141"/>
  <c r="E219" i="141"/>
  <c r="C219" i="141"/>
  <c r="B220" i="141"/>
  <c r="F220" i="141" s="1"/>
  <c r="D219" i="141" l="1"/>
  <c r="I219" i="141" s="1"/>
  <c r="G219" i="141"/>
  <c r="H219" i="141"/>
  <c r="A222" i="143"/>
  <c r="A306" i="141"/>
  <c r="E220" i="141"/>
  <c r="B221" i="141"/>
  <c r="F221" i="141" s="1"/>
  <c r="C220" i="141"/>
  <c r="D220" i="141" l="1"/>
  <c r="I220" i="141" s="1"/>
  <c r="H220" i="141"/>
  <c r="G220" i="141"/>
  <c r="A223" i="143"/>
  <c r="A307" i="141"/>
  <c r="C221" i="141"/>
  <c r="E221" i="141"/>
  <c r="B222" i="141"/>
  <c r="F222" i="141" s="1"/>
  <c r="D221" i="141" l="1"/>
  <c r="I221" i="141" s="1"/>
  <c r="G221" i="141"/>
  <c r="H221" i="141"/>
  <c r="A224" i="143"/>
  <c r="A308" i="141"/>
  <c r="B223" i="141"/>
  <c r="F223" i="141" s="1"/>
  <c r="E222" i="141"/>
  <c r="C222" i="141"/>
  <c r="D222" i="141" l="1"/>
  <c r="I222" i="141" s="1"/>
  <c r="G222" i="141"/>
  <c r="H222" i="141"/>
  <c r="A225" i="143"/>
  <c r="A309" i="141"/>
  <c r="B224" i="141"/>
  <c r="F224" i="141" s="1"/>
  <c r="C223" i="141"/>
  <c r="E223" i="141"/>
  <c r="D223" i="141" l="1"/>
  <c r="I223" i="141" s="1"/>
  <c r="H223" i="141"/>
  <c r="G223" i="141"/>
  <c r="A226" i="143"/>
  <c r="A310" i="141"/>
  <c r="E224" i="141"/>
  <c r="B225" i="141"/>
  <c r="F225" i="141" s="1"/>
  <c r="C224" i="141"/>
  <c r="D224" i="141" l="1"/>
  <c r="I224" i="141" s="1"/>
  <c r="G224" i="141"/>
  <c r="H224" i="141"/>
  <c r="A227" i="143"/>
  <c r="A311" i="141"/>
  <c r="E225" i="141"/>
  <c r="C225" i="141"/>
  <c r="B226" i="141"/>
  <c r="F226" i="141" s="1"/>
  <c r="D225" i="141" l="1"/>
  <c r="I225" i="141" s="1"/>
  <c r="H225" i="141"/>
  <c r="G225" i="141"/>
  <c r="A228" i="143"/>
  <c r="A312" i="141"/>
  <c r="C226" i="141"/>
  <c r="B227" i="141"/>
  <c r="F227" i="141" s="1"/>
  <c r="E226" i="141"/>
  <c r="D226" i="141" l="1"/>
  <c r="I226" i="141" s="1"/>
  <c r="G226" i="141"/>
  <c r="H226" i="141"/>
  <c r="A313" i="141"/>
  <c r="C227" i="141"/>
  <c r="E227" i="141"/>
  <c r="D227" i="141" l="1"/>
  <c r="I227" i="141" s="1"/>
  <c r="H227" i="141"/>
  <c r="G227" i="141"/>
  <c r="A314" i="141"/>
  <c r="A315" i="141" l="1"/>
  <c r="A316" i="141" l="1"/>
  <c r="A317" i="141" l="1"/>
  <c r="A318" i="141" l="1"/>
  <c r="A319" i="141" l="1"/>
  <c r="A320" i="141" l="1"/>
  <c r="A321" i="141" l="1"/>
  <c r="A322" i="141" l="1"/>
  <c r="A323" i="141" l="1"/>
  <c r="A324" i="141" l="1"/>
  <c r="A325" i="141" l="1"/>
  <c r="A326" i="141" l="1"/>
  <c r="A327" i="141" l="1"/>
  <c r="A328" i="141" l="1"/>
  <c r="A329" i="141" l="1"/>
  <c r="A330" i="141" l="1"/>
  <c r="A331" i="141" l="1"/>
  <c r="A332" i="141" l="1"/>
  <c r="A333" i="141" l="1"/>
  <c r="A334" i="141" l="1"/>
  <c r="A335" i="141" l="1"/>
  <c r="A336" i="141" l="1"/>
  <c r="A337" i="141" l="1"/>
  <c r="A338" i="141" l="1"/>
  <c r="A339" i="141" l="1"/>
  <c r="A340" i="141" l="1"/>
  <c r="A341" i="141" l="1"/>
  <c r="A342" i="141" l="1"/>
  <c r="A343" i="141" l="1"/>
  <c r="A344" i="141" l="1"/>
  <c r="A345" i="141" l="1"/>
  <c r="A346" i="141" l="1"/>
  <c r="A347" i="141" l="1"/>
  <c r="A348" i="141" l="1"/>
  <c r="A349" i="141" l="1"/>
  <c r="A350" i="141" l="1"/>
  <c r="A351" i="141" l="1"/>
  <c r="A352" i="141" l="1"/>
  <c r="A353" i="141" l="1"/>
  <c r="A354" i="141" l="1"/>
  <c r="A355" i="141" l="1"/>
  <c r="A356" i="141" l="1"/>
  <c r="A229" i="143" l="1"/>
  <c r="A230" i="143" l="1"/>
  <c r="A231" i="143" l="1"/>
  <c r="A232" i="143" l="1"/>
  <c r="A233" i="143" l="1"/>
  <c r="A234" i="143" l="1"/>
  <c r="A235" i="143" l="1"/>
  <c r="A236" i="143" l="1"/>
  <c r="A237" i="143" l="1"/>
  <c r="A238" i="143" l="1"/>
  <c r="A239" i="143" l="1"/>
  <c r="A240" i="143" l="1"/>
  <c r="A241" i="143" l="1"/>
  <c r="A242" i="143" l="1"/>
  <c r="A243" i="143" l="1"/>
  <c r="A244" i="143" l="1"/>
  <c r="A245" i="143" l="1"/>
  <c r="A246" i="143" l="1"/>
  <c r="A247" i="143" l="1"/>
  <c r="A248" i="143" l="1"/>
  <c r="A249" i="143" l="1"/>
  <c r="A250" i="143" l="1"/>
  <c r="A251" i="143" l="1"/>
  <c r="A252" i="143" l="1"/>
  <c r="A253" i="143" l="1"/>
  <c r="A254" i="143" l="1"/>
  <c r="A255" i="143" l="1"/>
  <c r="A256" i="143" l="1"/>
  <c r="A257" i="143" l="1"/>
  <c r="A258" i="143" l="1"/>
  <c r="A259" i="143" l="1"/>
  <c r="A260" i="143" l="1"/>
  <c r="A261" i="143" l="1"/>
  <c r="A262" i="143" l="1"/>
  <c r="A263" i="143" l="1"/>
  <c r="A264" i="143" l="1"/>
  <c r="A265" i="143" l="1"/>
  <c r="A266" i="143" l="1"/>
  <c r="A267" i="143" l="1"/>
  <c r="A268" i="143" l="1"/>
  <c r="A269" i="143" l="1"/>
  <c r="A270" i="143" l="1"/>
  <c r="A271" i="143" l="1"/>
  <c r="A272" i="143" l="1"/>
  <c r="A273" i="143" l="1"/>
  <c r="A274" i="143" l="1"/>
  <c r="A275" i="143" l="1"/>
  <c r="A276" i="143" l="1"/>
  <c r="A277" i="143" l="1"/>
  <c r="A278" i="143" l="1"/>
  <c r="A279" i="143" l="1"/>
  <c r="A280" i="143" l="1"/>
  <c r="A281" i="143" l="1"/>
  <c r="A282" i="143" l="1"/>
  <c r="A283" i="143" l="1"/>
  <c r="A284" i="143" l="1"/>
  <c r="A285" i="143" l="1"/>
  <c r="A286" i="143" l="1"/>
  <c r="A287" i="143" l="1"/>
  <c r="A288" i="143" l="1"/>
  <c r="A289" i="143" l="1"/>
  <c r="A290" i="143" l="1"/>
  <c r="A291" i="143" l="1"/>
  <c r="A292" i="143" l="1"/>
  <c r="A293" i="143" l="1"/>
  <c r="A294" i="143" l="1"/>
  <c r="A295" i="143" l="1"/>
  <c r="A296" i="143" l="1"/>
  <c r="A297" i="143" l="1"/>
  <c r="A298" i="143" l="1"/>
  <c r="A299" i="143" l="1"/>
  <c r="A300" i="143" l="1"/>
  <c r="A301" i="143" l="1"/>
  <c r="A302" i="143" l="1"/>
  <c r="B290" i="141"/>
  <c r="B304" i="141"/>
  <c r="B293" i="141"/>
  <c r="B262" i="141"/>
  <c r="B301" i="141"/>
  <c r="B328" i="141"/>
  <c r="B270" i="141"/>
  <c r="B296" i="141"/>
  <c r="B260" i="141"/>
  <c r="B251" i="141"/>
  <c r="B253" i="141"/>
  <c r="B261" i="141"/>
  <c r="B234" i="141"/>
  <c r="B335" i="141"/>
  <c r="B246" i="141"/>
  <c r="B320" i="141"/>
  <c r="B352" i="141"/>
  <c r="B286" i="141"/>
  <c r="B236" i="141"/>
  <c r="B299" i="141"/>
  <c r="B269" i="141"/>
  <c r="B235" i="141"/>
  <c r="B264" i="141"/>
  <c r="B321" i="141"/>
  <c r="B341" i="141"/>
  <c r="B309" i="141"/>
  <c r="B256" i="141"/>
  <c r="B239" i="141"/>
  <c r="B311" i="141"/>
  <c r="B313" i="141"/>
  <c r="B317" i="141"/>
  <c r="B344" i="141"/>
  <c r="B274" i="141"/>
  <c r="B347" i="141"/>
  <c r="B252" i="141"/>
  <c r="B331" i="141"/>
  <c r="B284" i="141"/>
  <c r="B267" i="141"/>
  <c r="B323" i="141"/>
  <c r="B291" i="141"/>
  <c r="B333" i="141"/>
  <c r="B326" i="141"/>
  <c r="B257" i="141"/>
  <c r="B312" i="141"/>
  <c r="B285" i="141"/>
  <c r="B339" i="141"/>
  <c r="B273" i="141"/>
  <c r="B327" i="141"/>
  <c r="B272" i="141"/>
  <c r="B297" i="141"/>
  <c r="B345" i="141"/>
  <c r="B354" i="141"/>
  <c r="B237" i="141"/>
  <c r="B255" i="141"/>
  <c r="B265" i="141"/>
  <c r="B298" i="141"/>
  <c r="B230" i="141"/>
  <c r="B325" i="141"/>
  <c r="B292" i="141"/>
  <c r="B228" i="141"/>
  <c r="B353" i="141"/>
  <c r="B330" i="141"/>
  <c r="B231" i="141"/>
  <c r="B340" i="141"/>
  <c r="B337" i="141"/>
  <c r="B242" i="141"/>
  <c r="B229" i="141"/>
  <c r="B324" i="141"/>
  <c r="B318" i="141"/>
  <c r="B310" i="141"/>
  <c r="B336" i="141"/>
  <c r="B316" i="141"/>
  <c r="B258" i="141"/>
  <c r="B232" i="141"/>
  <c r="B348" i="141"/>
  <c r="B319" i="141"/>
  <c r="B278" i="141"/>
  <c r="B249" i="141"/>
  <c r="B282" i="141"/>
  <c r="B254" i="141"/>
  <c r="B288" i="141"/>
  <c r="B329" i="141"/>
  <c r="B334" i="141"/>
  <c r="B338" i="141"/>
  <c r="B279" i="141"/>
  <c r="B244" i="141"/>
  <c r="B271" i="141"/>
  <c r="B259" i="141"/>
  <c r="B241" i="141"/>
  <c r="B275" i="141"/>
  <c r="B351" i="141"/>
  <c r="B247" i="141"/>
  <c r="B238" i="141"/>
  <c r="B350" i="141"/>
  <c r="B349" i="141"/>
  <c r="B303" i="141"/>
  <c r="B287" i="141"/>
  <c r="B277" i="141"/>
  <c r="B355" i="141"/>
  <c r="B276" i="141"/>
  <c r="B343" i="141"/>
  <c r="B346" i="141"/>
  <c r="B268" i="141"/>
  <c r="B300" i="141"/>
  <c r="B308" i="141"/>
  <c r="B315" i="141"/>
  <c r="B280" i="141"/>
  <c r="B307" i="141"/>
  <c r="B289" i="141"/>
  <c r="B248" i="141"/>
  <c r="B305" i="141"/>
  <c r="B263" i="141"/>
  <c r="B245" i="141"/>
  <c r="B295" i="141"/>
  <c r="B250" i="141"/>
  <c r="B332" i="141"/>
  <c r="B314" i="141"/>
  <c r="B283" i="141"/>
  <c r="B281" i="141"/>
  <c r="B322" i="141"/>
  <c r="B356" i="141"/>
  <c r="B342" i="141"/>
  <c r="B233" i="141"/>
  <c r="B294" i="141"/>
  <c r="B240" i="141"/>
  <c r="B302" i="141"/>
  <c r="B306" i="141"/>
  <c r="B243" i="141"/>
  <c r="B266" i="141"/>
  <c r="C274" i="141" l="1"/>
  <c r="F274" i="141"/>
  <c r="E274" i="141"/>
  <c r="F262" i="141"/>
  <c r="E262" i="141"/>
  <c r="C262" i="141"/>
  <c r="D262" i="141" s="1"/>
  <c r="C254" i="141"/>
  <c r="F254" i="141"/>
  <c r="E254" i="141"/>
  <c r="E246" i="141"/>
  <c r="C246" i="141"/>
  <c r="F246" i="141"/>
  <c r="C230" i="141"/>
  <c r="E230" i="141"/>
  <c r="F230" i="141"/>
  <c r="C281" i="141"/>
  <c r="D281" i="141" s="1"/>
  <c r="E281" i="141"/>
  <c r="F281" i="141"/>
  <c r="C277" i="141"/>
  <c r="D277" i="141" s="1"/>
  <c r="F277" i="141"/>
  <c r="E277" i="141"/>
  <c r="E273" i="141"/>
  <c r="F273" i="141"/>
  <c r="C273" i="141"/>
  <c r="D273" i="141" s="1"/>
  <c r="E269" i="141"/>
  <c r="C269" i="141"/>
  <c r="D269" i="141" s="1"/>
  <c r="F269" i="141"/>
  <c r="C265" i="141"/>
  <c r="D265" i="141" s="1"/>
  <c r="F265" i="141"/>
  <c r="E265" i="141"/>
  <c r="F261" i="141"/>
  <c r="E261" i="141"/>
  <c r="C261" i="141"/>
  <c r="F257" i="141"/>
  <c r="C257" i="141"/>
  <c r="D257" i="141" s="1"/>
  <c r="E257" i="141"/>
  <c r="E253" i="141"/>
  <c r="F253" i="141"/>
  <c r="C253" i="141"/>
  <c r="D253" i="141" s="1"/>
  <c r="C249" i="141"/>
  <c r="D249" i="141" s="1"/>
  <c r="E249" i="141"/>
  <c r="F249" i="141"/>
  <c r="F245" i="141"/>
  <c r="C245" i="141"/>
  <c r="D245" i="141" s="1"/>
  <c r="E245" i="141"/>
  <c r="F241" i="141"/>
  <c r="C241" i="141"/>
  <c r="D241" i="141" s="1"/>
  <c r="E241" i="141"/>
  <c r="E237" i="141"/>
  <c r="C237" i="141"/>
  <c r="F237" i="141"/>
  <c r="C233" i="141"/>
  <c r="D233" i="141" s="1"/>
  <c r="E233" i="141"/>
  <c r="F233" i="141"/>
  <c r="C229" i="141"/>
  <c r="F229" i="141"/>
  <c r="E229" i="141"/>
  <c r="E278" i="141"/>
  <c r="F278" i="141"/>
  <c r="C278" i="141"/>
  <c r="D278" i="141" s="1"/>
  <c r="F266" i="141"/>
  <c r="C266" i="141"/>
  <c r="E266" i="141"/>
  <c r="C238" i="141"/>
  <c r="D238" i="141" s="1"/>
  <c r="E238" i="141"/>
  <c r="F238" i="141"/>
  <c r="F280" i="141"/>
  <c r="E280" i="141"/>
  <c r="C280" i="141"/>
  <c r="E276" i="141"/>
  <c r="C276" i="141"/>
  <c r="D276" i="141" s="1"/>
  <c r="F276" i="141"/>
  <c r="F272" i="141"/>
  <c r="C272" i="141"/>
  <c r="D272" i="141" s="1"/>
  <c r="E272" i="141"/>
  <c r="E268" i="141"/>
  <c r="F268" i="141"/>
  <c r="C268" i="141"/>
  <c r="D268" i="141" s="1"/>
  <c r="E264" i="141"/>
  <c r="C264" i="141"/>
  <c r="D264" i="141" s="1"/>
  <c r="F264" i="141"/>
  <c r="C260" i="141"/>
  <c r="D260" i="141" s="1"/>
  <c r="F260" i="141"/>
  <c r="E260" i="141"/>
  <c r="C256" i="141"/>
  <c r="F256" i="141"/>
  <c r="E256" i="141"/>
  <c r="F252" i="141"/>
  <c r="C252" i="141"/>
  <c r="E252" i="141"/>
  <c r="C248" i="141"/>
  <c r="E248" i="141"/>
  <c r="F248" i="141"/>
  <c r="F244" i="141"/>
  <c r="C244" i="141"/>
  <c r="E244" i="141"/>
  <c r="F240" i="141"/>
  <c r="C240" i="141"/>
  <c r="E240" i="141"/>
  <c r="C236" i="141"/>
  <c r="D236" i="141" s="1"/>
  <c r="F236" i="141"/>
  <c r="E236" i="141"/>
  <c r="E232" i="141"/>
  <c r="C232" i="141"/>
  <c r="D232" i="141" s="1"/>
  <c r="F232" i="141"/>
  <c r="C228" i="141"/>
  <c r="F228" i="141"/>
  <c r="E228" i="141"/>
  <c r="E270" i="141"/>
  <c r="C270" i="141"/>
  <c r="D270" i="141" s="1"/>
  <c r="F270" i="141"/>
  <c r="F258" i="141"/>
  <c r="C258" i="141"/>
  <c r="E258" i="141"/>
  <c r="E250" i="141"/>
  <c r="F250" i="141"/>
  <c r="C250" i="141"/>
  <c r="E242" i="141"/>
  <c r="F242" i="141"/>
  <c r="C242" i="141"/>
  <c r="D242" i="141" s="1"/>
  <c r="E234" i="141"/>
  <c r="F234" i="141"/>
  <c r="C234" i="141"/>
  <c r="D234" i="141" s="1"/>
  <c r="C279" i="141"/>
  <c r="D279" i="141" s="1"/>
  <c r="F279" i="141"/>
  <c r="E279" i="141"/>
  <c r="F275" i="141"/>
  <c r="E275" i="141"/>
  <c r="C275" i="141"/>
  <c r="D275" i="141" s="1"/>
  <c r="C271" i="141"/>
  <c r="D271" i="141" s="1"/>
  <c r="E271" i="141"/>
  <c r="F271" i="141"/>
  <c r="F267" i="141"/>
  <c r="C267" i="141"/>
  <c r="D267" i="141" s="1"/>
  <c r="E267" i="141"/>
  <c r="E263" i="141"/>
  <c r="C263" i="141"/>
  <c r="F263" i="141"/>
  <c r="C259" i="141"/>
  <c r="D259" i="141" s="1"/>
  <c r="F259" i="141"/>
  <c r="E259" i="141"/>
  <c r="E255" i="141"/>
  <c r="C255" i="141"/>
  <c r="D255" i="141" s="1"/>
  <c r="F255" i="141"/>
  <c r="F251" i="141"/>
  <c r="E251" i="141"/>
  <c r="C251" i="141"/>
  <c r="D251" i="141" s="1"/>
  <c r="C247" i="141"/>
  <c r="D247" i="141" s="1"/>
  <c r="E247" i="141"/>
  <c r="F247" i="141"/>
  <c r="F243" i="141"/>
  <c r="C243" i="141"/>
  <c r="D243" i="141" s="1"/>
  <c r="E243" i="141"/>
  <c r="E239" i="141"/>
  <c r="F239" i="141"/>
  <c r="C239" i="141"/>
  <c r="D239" i="141" s="1"/>
  <c r="E235" i="141"/>
  <c r="F235" i="141"/>
  <c r="C235" i="141"/>
  <c r="D235" i="141" s="1"/>
  <c r="F231" i="141"/>
  <c r="E231" i="141"/>
  <c r="C231" i="141"/>
  <c r="D231" i="141" s="1"/>
  <c r="H277" i="141"/>
  <c r="I269" i="141"/>
  <c r="I262" i="141"/>
  <c r="H262" i="141"/>
  <c r="H254" i="141"/>
  <c r="F336" i="141"/>
  <c r="C336" i="141"/>
  <c r="D336" i="141" s="1"/>
  <c r="E336" i="141"/>
  <c r="C325" i="141"/>
  <c r="D325" i="141" s="1"/>
  <c r="F325" i="141"/>
  <c r="E325" i="141"/>
  <c r="C343" i="141"/>
  <c r="D343" i="141" s="1"/>
  <c r="F343" i="141"/>
  <c r="E343" i="141"/>
  <c r="F330" i="141"/>
  <c r="C330" i="141"/>
  <c r="D330" i="141" s="1"/>
  <c r="E330" i="141"/>
  <c r="F355" i="141"/>
  <c r="C355" i="141"/>
  <c r="D355" i="141" s="1"/>
  <c r="E355" i="141"/>
  <c r="C317" i="141"/>
  <c r="D317" i="141" s="1"/>
  <c r="F317" i="141"/>
  <c r="E317" i="141"/>
  <c r="F322" i="141"/>
  <c r="C322" i="141"/>
  <c r="D322" i="141" s="1"/>
  <c r="E322" i="141"/>
  <c r="F332" i="141"/>
  <c r="C332" i="141"/>
  <c r="D332" i="141" s="1"/>
  <c r="E332" i="141"/>
  <c r="F307" i="141"/>
  <c r="C307" i="141"/>
  <c r="D307" i="141" s="1"/>
  <c r="E307" i="141"/>
  <c r="C311" i="141"/>
  <c r="D311" i="141" s="1"/>
  <c r="F311" i="141"/>
  <c r="E311" i="141"/>
  <c r="C324" i="141"/>
  <c r="D324" i="141" s="1"/>
  <c r="F324" i="141"/>
  <c r="E324" i="141"/>
  <c r="F313" i="141"/>
  <c r="C313" i="141"/>
  <c r="D313" i="141" s="1"/>
  <c r="E313" i="141"/>
  <c r="F323" i="141"/>
  <c r="C323" i="141"/>
  <c r="D323" i="141" s="1"/>
  <c r="E323" i="141"/>
  <c r="C318" i="141"/>
  <c r="D318" i="141" s="1"/>
  <c r="F318" i="141"/>
  <c r="E318" i="141"/>
  <c r="F327" i="141"/>
  <c r="C327" i="141"/>
  <c r="D327" i="141" s="1"/>
  <c r="E327" i="141"/>
  <c r="F285" i="141"/>
  <c r="C285" i="141"/>
  <c r="D285" i="141" s="1"/>
  <c r="E285" i="141"/>
  <c r="C352" i="141"/>
  <c r="D352" i="141" s="1"/>
  <c r="F352" i="141"/>
  <c r="E352" i="141"/>
  <c r="F284" i="141"/>
  <c r="C284" i="141"/>
  <c r="D284" i="141" s="1"/>
  <c r="E284" i="141"/>
  <c r="C353" i="141"/>
  <c r="D353" i="141" s="1"/>
  <c r="F353" i="141"/>
  <c r="E353" i="141"/>
  <c r="F288" i="141"/>
  <c r="C288" i="141"/>
  <c r="D288" i="141" s="1"/>
  <c r="E288" i="141"/>
  <c r="C341" i="141"/>
  <c r="D341" i="141" s="1"/>
  <c r="F341" i="141"/>
  <c r="E341" i="141"/>
  <c r="C282" i="141"/>
  <c r="D282" i="141" s="1"/>
  <c r="F282" i="141"/>
  <c r="E282" i="141"/>
  <c r="F346" i="141"/>
  <c r="C346" i="141"/>
  <c r="D346" i="141" s="1"/>
  <c r="E346" i="141"/>
  <c r="F296" i="141"/>
  <c r="C296" i="141"/>
  <c r="D296" i="141" s="1"/>
  <c r="E296" i="141"/>
  <c r="F349" i="141"/>
  <c r="C349" i="141"/>
  <c r="D349" i="141" s="1"/>
  <c r="E349" i="141"/>
  <c r="F354" i="141"/>
  <c r="C354" i="141"/>
  <c r="D354" i="141" s="1"/>
  <c r="E354" i="141"/>
  <c r="C348" i="141"/>
  <c r="D348" i="141" s="1"/>
  <c r="F348" i="141"/>
  <c r="E348" i="141"/>
  <c r="C294" i="141"/>
  <c r="D294" i="141" s="1"/>
  <c r="F294" i="141"/>
  <c r="E294" i="141"/>
  <c r="F340" i="141"/>
  <c r="C340" i="141"/>
  <c r="D340" i="141" s="1"/>
  <c r="E340" i="141"/>
  <c r="C329" i="141"/>
  <c r="D329" i="141" s="1"/>
  <c r="F329" i="141"/>
  <c r="E329" i="141"/>
  <c r="C351" i="141"/>
  <c r="D351" i="141" s="1"/>
  <c r="F351" i="141"/>
  <c r="E351" i="141"/>
  <c r="F334" i="141"/>
  <c r="C334" i="141"/>
  <c r="D334" i="141" s="1"/>
  <c r="E334" i="141"/>
  <c r="C356" i="141"/>
  <c r="D356" i="141" s="1"/>
  <c r="F356" i="141"/>
  <c r="E356" i="141"/>
  <c r="C301" i="141"/>
  <c r="D301" i="141" s="1"/>
  <c r="F301" i="141"/>
  <c r="E301" i="141"/>
  <c r="F306" i="141"/>
  <c r="C306" i="141"/>
  <c r="D306" i="141" s="1"/>
  <c r="E306" i="141"/>
  <c r="C316" i="141"/>
  <c r="D316" i="141" s="1"/>
  <c r="F316" i="141"/>
  <c r="E316" i="141"/>
  <c r="F339" i="141"/>
  <c r="C339" i="141"/>
  <c r="D339" i="141" s="1"/>
  <c r="E339" i="141"/>
  <c r="C347" i="141"/>
  <c r="D347" i="141" s="1"/>
  <c r="F347" i="141"/>
  <c r="E347" i="141"/>
  <c r="F293" i="141"/>
  <c r="C293" i="141"/>
  <c r="D293" i="141" s="1"/>
  <c r="E293" i="141"/>
  <c r="F298" i="141"/>
  <c r="C298" i="141"/>
  <c r="D298" i="141" s="1"/>
  <c r="E298" i="141"/>
  <c r="C312" i="141"/>
  <c r="D312" i="141" s="1"/>
  <c r="F312" i="141"/>
  <c r="E312" i="141"/>
  <c r="F335" i="141"/>
  <c r="C335" i="141"/>
  <c r="D335" i="141" s="1"/>
  <c r="E335" i="141"/>
  <c r="F310" i="141"/>
  <c r="C310" i="141"/>
  <c r="D310" i="141" s="1"/>
  <c r="E310" i="141"/>
  <c r="C286" i="141"/>
  <c r="D286" i="141" s="1"/>
  <c r="F286" i="141"/>
  <c r="E286" i="141"/>
  <c r="C338" i="141"/>
  <c r="D338" i="141" s="1"/>
  <c r="F338" i="141"/>
  <c r="E338" i="141"/>
  <c r="F305" i="141"/>
  <c r="C305" i="141"/>
  <c r="D305" i="141" s="1"/>
  <c r="E305" i="141"/>
  <c r="F289" i="141"/>
  <c r="C289" i="141"/>
  <c r="D289" i="141" s="1"/>
  <c r="E289" i="141"/>
  <c r="F320" i="141"/>
  <c r="C320" i="141"/>
  <c r="D320" i="141" s="1"/>
  <c r="E320" i="141"/>
  <c r="C315" i="141"/>
  <c r="D315" i="141" s="1"/>
  <c r="F315" i="141"/>
  <c r="E315" i="141"/>
  <c r="C319" i="141"/>
  <c r="D319" i="141" s="1"/>
  <c r="F319" i="141"/>
  <c r="E319" i="141"/>
  <c r="F290" i="141"/>
  <c r="C290" i="141"/>
  <c r="D290" i="141" s="1"/>
  <c r="E290" i="141"/>
  <c r="C337" i="141"/>
  <c r="D337" i="141" s="1"/>
  <c r="F337" i="141"/>
  <c r="E337" i="141"/>
  <c r="F308" i="141"/>
  <c r="C308" i="141"/>
  <c r="D308" i="141" s="1"/>
  <c r="E308" i="141"/>
  <c r="F295" i="141"/>
  <c r="C295" i="141"/>
  <c r="D295" i="141" s="1"/>
  <c r="E295" i="141"/>
  <c r="C299" i="141"/>
  <c r="D299" i="141" s="1"/>
  <c r="F299" i="141"/>
  <c r="E299" i="141"/>
  <c r="F321" i="141"/>
  <c r="C321" i="141"/>
  <c r="D321" i="141" s="1"/>
  <c r="E321" i="141"/>
  <c r="C309" i="141"/>
  <c r="D309" i="141" s="1"/>
  <c r="F309" i="141"/>
  <c r="E309" i="141"/>
  <c r="C314" i="141"/>
  <c r="D314" i="141" s="1"/>
  <c r="F314" i="141"/>
  <c r="E314" i="141"/>
  <c r="C344" i="141"/>
  <c r="D344" i="141" s="1"/>
  <c r="F344" i="141"/>
  <c r="E344" i="141"/>
  <c r="C300" i="141"/>
  <c r="D300" i="141" s="1"/>
  <c r="F300" i="141"/>
  <c r="E300" i="141"/>
  <c r="F342" i="141"/>
  <c r="C342" i="141"/>
  <c r="D342" i="141" s="1"/>
  <c r="E342" i="141"/>
  <c r="F297" i="141"/>
  <c r="C297" i="141"/>
  <c r="D297" i="141" s="1"/>
  <c r="E297" i="141"/>
  <c r="F302" i="141"/>
  <c r="C302" i="141"/>
  <c r="D302" i="141" s="1"/>
  <c r="E302" i="141"/>
  <c r="C328" i="141"/>
  <c r="D328" i="141" s="1"/>
  <c r="F328" i="141"/>
  <c r="E328" i="141"/>
  <c r="F303" i="141"/>
  <c r="C303" i="141"/>
  <c r="D303" i="141" s="1"/>
  <c r="E303" i="141"/>
  <c r="C326" i="141"/>
  <c r="D326" i="141" s="1"/>
  <c r="F326" i="141"/>
  <c r="E326" i="141"/>
  <c r="C304" i="141"/>
  <c r="D304" i="141" s="1"/>
  <c r="F304" i="141"/>
  <c r="E304" i="141"/>
  <c r="C283" i="141"/>
  <c r="D283" i="141" s="1"/>
  <c r="F283" i="141"/>
  <c r="E283" i="141"/>
  <c r="F291" i="141"/>
  <c r="C291" i="141"/>
  <c r="D291" i="141" s="1"/>
  <c r="E291" i="141"/>
  <c r="C331" i="141"/>
  <c r="D331" i="141" s="1"/>
  <c r="F331" i="141"/>
  <c r="E331" i="141"/>
  <c r="C292" i="141"/>
  <c r="D292" i="141" s="1"/>
  <c r="F292" i="141"/>
  <c r="E292" i="141"/>
  <c r="C345" i="141"/>
  <c r="D345" i="141" s="1"/>
  <c r="F345" i="141"/>
  <c r="E345" i="141"/>
  <c r="C350" i="141"/>
  <c r="D350" i="141" s="1"/>
  <c r="F350" i="141"/>
  <c r="E350" i="141"/>
  <c r="F333" i="141"/>
  <c r="C333" i="141"/>
  <c r="D333" i="141" s="1"/>
  <c r="E333" i="141"/>
  <c r="F287" i="141"/>
  <c r="C287" i="141"/>
  <c r="D287" i="141" s="1"/>
  <c r="E287" i="141"/>
  <c r="D244" i="141" l="1"/>
  <c r="I244" i="141" s="1"/>
  <c r="D248" i="141"/>
  <c r="I248" i="141" s="1"/>
  <c r="D229" i="141"/>
  <c r="I229" i="141" s="1"/>
  <c r="D246" i="141"/>
  <c r="I246" i="141" s="1"/>
  <c r="D254" i="141"/>
  <c r="I254" i="141" s="1"/>
  <c r="H228" i="141"/>
  <c r="D228" i="141"/>
  <c r="H240" i="141"/>
  <c r="D240" i="141"/>
  <c r="H266" i="141"/>
  <c r="D266" i="141"/>
  <c r="D237" i="141"/>
  <c r="I237" i="141" s="1"/>
  <c r="I263" i="141"/>
  <c r="D263" i="141"/>
  <c r="D250" i="141"/>
  <c r="I250" i="141" s="1"/>
  <c r="D258" i="141"/>
  <c r="I258" i="141" s="1"/>
  <c r="D252" i="141"/>
  <c r="I252" i="141" s="1"/>
  <c r="D256" i="141"/>
  <c r="I256" i="141" s="1"/>
  <c r="D280" i="141"/>
  <c r="I280" i="141" s="1"/>
  <c r="D261" i="141"/>
  <c r="I261" i="141" s="1"/>
  <c r="D230" i="141"/>
  <c r="I230" i="141" s="1"/>
  <c r="D274" i="141"/>
  <c r="I274" i="141" s="1"/>
  <c r="H229" i="141"/>
  <c r="H244" i="141"/>
  <c r="H248" i="141"/>
  <c r="H234" i="141"/>
  <c r="H246" i="141"/>
  <c r="H253" i="141"/>
  <c r="H269" i="141"/>
  <c r="H258" i="141"/>
  <c r="H230" i="141"/>
  <c r="H252" i="141"/>
  <c r="H274" i="141"/>
  <c r="H280" i="141"/>
  <c r="H256" i="141"/>
  <c r="H261" i="141"/>
  <c r="H250" i="141"/>
  <c r="H275" i="141"/>
  <c r="H263" i="141"/>
  <c r="H237" i="141"/>
  <c r="I231" i="141"/>
  <c r="I267" i="141"/>
  <c r="I271" i="141"/>
  <c r="I270" i="141"/>
  <c r="I228" i="141"/>
  <c r="I240" i="141"/>
  <c r="I260" i="141"/>
  <c r="I268" i="141"/>
  <c r="I272" i="141"/>
  <c r="I266" i="141"/>
  <c r="H231" i="141"/>
  <c r="H260" i="141"/>
  <c r="H268" i="141"/>
  <c r="H272" i="141"/>
  <c r="H267" i="141"/>
  <c r="H271" i="141"/>
  <c r="H270" i="141"/>
  <c r="I239" i="141"/>
  <c r="I243" i="141"/>
  <c r="I247" i="141"/>
  <c r="I279" i="141"/>
  <c r="H242" i="141"/>
  <c r="I232" i="141"/>
  <c r="I236" i="141"/>
  <c r="I264" i="141"/>
  <c r="I238" i="141"/>
  <c r="I278" i="141"/>
  <c r="I233" i="141"/>
  <c r="H245" i="141"/>
  <c r="I249" i="141"/>
  <c r="H265" i="141"/>
  <c r="I273" i="141"/>
  <c r="I281" i="141"/>
  <c r="I235" i="141"/>
  <c r="H251" i="141"/>
  <c r="I255" i="141"/>
  <c r="H259" i="141"/>
  <c r="I259" i="141"/>
  <c r="I234" i="141"/>
  <c r="H276" i="141"/>
  <c r="H241" i="141"/>
  <c r="I241" i="141"/>
  <c r="I253" i="141"/>
  <c r="H257" i="141"/>
  <c r="I257" i="141"/>
  <c r="I277" i="141"/>
  <c r="I275" i="141"/>
  <c r="I251" i="141"/>
  <c r="H235" i="141"/>
  <c r="H255" i="141"/>
  <c r="H233" i="141"/>
  <c r="I276" i="141"/>
  <c r="I245" i="141"/>
  <c r="H281" i="141"/>
  <c r="H249" i="141"/>
  <c r="H273" i="141"/>
  <c r="I265" i="141"/>
  <c r="H243" i="141"/>
  <c r="H247" i="141"/>
  <c r="H279" i="141"/>
  <c r="H239" i="141"/>
  <c r="H232" i="141"/>
  <c r="H236" i="141"/>
  <c r="H238" i="141"/>
  <c r="I242" i="141"/>
  <c r="H264" i="141"/>
  <c r="H278" i="141"/>
  <c r="G2" i="141"/>
  <c r="I331" i="141"/>
  <c r="I326" i="141"/>
  <c r="I302" i="141"/>
  <c r="I314" i="141"/>
  <c r="I290" i="141"/>
  <c r="I319" i="141"/>
  <c r="I289" i="141"/>
  <c r="I310" i="141"/>
  <c r="I293" i="141"/>
  <c r="I347" i="141"/>
  <c r="I306" i="141"/>
  <c r="I301" i="141"/>
  <c r="I329" i="141"/>
  <c r="I346" i="141"/>
  <c r="I282" i="141"/>
  <c r="I327" i="141"/>
  <c r="I318" i="141"/>
  <c r="I311" i="141"/>
  <c r="I322" i="141"/>
  <c r="I317" i="141"/>
  <c r="I325" i="141"/>
  <c r="I287" i="141"/>
  <c r="I292" i="141"/>
  <c r="I304" i="141"/>
  <c r="I344" i="141"/>
  <c r="I321" i="141"/>
  <c r="I299" i="141"/>
  <c r="I320" i="141"/>
  <c r="I298" i="141"/>
  <c r="I334" i="141"/>
  <c r="I351" i="141"/>
  <c r="I348" i="141"/>
  <c r="I296" i="141"/>
  <c r="I288" i="141"/>
  <c r="I353" i="141"/>
  <c r="I285" i="141"/>
  <c r="I313" i="141"/>
  <c r="I324" i="141"/>
  <c r="I332" i="141"/>
  <c r="I330" i="141"/>
  <c r="I343" i="141"/>
  <c r="I345" i="141"/>
  <c r="I291" i="141"/>
  <c r="I283" i="141"/>
  <c r="I303" i="141"/>
  <c r="I328" i="141"/>
  <c r="I342" i="141"/>
  <c r="I300" i="141"/>
  <c r="I308" i="141"/>
  <c r="I337" i="141"/>
  <c r="I286" i="141"/>
  <c r="I339" i="141"/>
  <c r="I316" i="141"/>
  <c r="I340" i="141"/>
  <c r="I294" i="141"/>
  <c r="I349" i="141"/>
  <c r="I323" i="141"/>
  <c r="I307" i="141"/>
  <c r="I355" i="141"/>
  <c r="I336" i="141"/>
  <c r="I333" i="141"/>
  <c r="I350" i="141"/>
  <c r="I297" i="141"/>
  <c r="I309" i="141"/>
  <c r="I295" i="141"/>
  <c r="I315" i="141"/>
  <c r="I305" i="141"/>
  <c r="I338" i="141"/>
  <c r="I335" i="141"/>
  <c r="I312" i="141"/>
  <c r="I356" i="141"/>
  <c r="I354" i="141"/>
  <c r="I341" i="141"/>
  <c r="I284" i="141"/>
  <c r="I352" i="141"/>
  <c r="E2" i="141"/>
</calcChain>
</file>

<file path=xl/sharedStrings.xml><?xml version="1.0" encoding="utf-8"?>
<sst xmlns="http://schemas.openxmlformats.org/spreadsheetml/2006/main" count="2813" uniqueCount="1200">
  <si>
    <t>Khách hàng</t>
  </si>
  <si>
    <t>Nguyên liệu</t>
  </si>
  <si>
    <t>6H0191011</t>
  </si>
  <si>
    <t>6G9810011</t>
  </si>
  <si>
    <t>6H3544011</t>
  </si>
  <si>
    <t>6H0499010</t>
  </si>
  <si>
    <t>6G1768020</t>
  </si>
  <si>
    <t>6H3554010</t>
  </si>
  <si>
    <t>6G5101010</t>
  </si>
  <si>
    <t>6B6854010</t>
  </si>
  <si>
    <t>6H5762011</t>
  </si>
  <si>
    <t>6B6825010</t>
  </si>
  <si>
    <t>6G3686010</t>
  </si>
  <si>
    <t>6G8678010</t>
  </si>
  <si>
    <t>6H3582010</t>
  </si>
  <si>
    <t>6F3936010</t>
  </si>
  <si>
    <t>6G1973011</t>
  </si>
  <si>
    <t>6G7965010</t>
  </si>
  <si>
    <t>6Q0438010</t>
  </si>
  <si>
    <t>6Q0480010</t>
  </si>
  <si>
    <t>6Q0648010</t>
  </si>
  <si>
    <t>6Q0698010</t>
  </si>
  <si>
    <t>6L0093010</t>
  </si>
  <si>
    <t>6H0512010</t>
  </si>
  <si>
    <t>6F4516011</t>
  </si>
  <si>
    <t>6H3885010</t>
  </si>
  <si>
    <t>6G83910210</t>
  </si>
  <si>
    <t>6E3533010</t>
  </si>
  <si>
    <t>6H1724010</t>
  </si>
  <si>
    <t>6H4974010</t>
  </si>
  <si>
    <t>6H4975010</t>
  </si>
  <si>
    <t>6G7245050</t>
  </si>
  <si>
    <t>6G6988050</t>
  </si>
  <si>
    <t>6G8833040</t>
  </si>
  <si>
    <t>6G8833050</t>
  </si>
  <si>
    <t>6H3559011</t>
  </si>
  <si>
    <t>6H3955011</t>
  </si>
  <si>
    <t>6H0219010</t>
  </si>
  <si>
    <t>6F1332011</t>
  </si>
  <si>
    <t>6G0999011</t>
  </si>
  <si>
    <t>6E1217040</t>
  </si>
  <si>
    <t>6G9713021</t>
  </si>
  <si>
    <t>6G1233011</t>
  </si>
  <si>
    <t>6F3361020</t>
  </si>
  <si>
    <t>6G4218010</t>
  </si>
  <si>
    <t>6H4959010</t>
  </si>
  <si>
    <t>6H0500010</t>
  </si>
  <si>
    <t>6Q0487010</t>
  </si>
  <si>
    <t>6H0382010</t>
  </si>
  <si>
    <t>6F6329012</t>
  </si>
  <si>
    <t>6G9401010</t>
  </si>
  <si>
    <t>6H4938011</t>
  </si>
  <si>
    <t>6G3930011</t>
  </si>
  <si>
    <t>6H4942010</t>
  </si>
  <si>
    <t>6H5088011</t>
  </si>
  <si>
    <t>6H4637010</t>
  </si>
  <si>
    <t>6H3549011</t>
  </si>
  <si>
    <t>6H3549021</t>
  </si>
  <si>
    <t>TF4852010</t>
  </si>
  <si>
    <t>TF4852020</t>
  </si>
  <si>
    <t>TF4852030</t>
  </si>
  <si>
    <t>6F4852010</t>
  </si>
  <si>
    <t>6F5034010</t>
  </si>
  <si>
    <t>6H4652020</t>
  </si>
  <si>
    <t>6H0271011</t>
  </si>
  <si>
    <t>6H4319011</t>
  </si>
  <si>
    <t>6G3929021</t>
  </si>
  <si>
    <t>6H5224010</t>
  </si>
  <si>
    <t>6Q0208050</t>
  </si>
  <si>
    <t>6Q0208040</t>
  </si>
  <si>
    <t>6Q0208010</t>
  </si>
  <si>
    <t>6Q0208020</t>
  </si>
  <si>
    <t>6Q0208030</t>
  </si>
  <si>
    <t>6H7263010</t>
  </si>
  <si>
    <t>6H7264010</t>
  </si>
  <si>
    <t>6H7265010</t>
  </si>
  <si>
    <t>6H1978020</t>
  </si>
  <si>
    <t>6H1982020</t>
  </si>
  <si>
    <t>6H1079021</t>
  </si>
  <si>
    <t>6H3577011</t>
  </si>
  <si>
    <t xml:space="preserve">R2100 </t>
  </si>
  <si>
    <t xml:space="preserve">R3100 </t>
  </si>
  <si>
    <t xml:space="preserve">R3100A </t>
  </si>
  <si>
    <t xml:space="preserve">R3600B </t>
  </si>
  <si>
    <t xml:space="preserve">R3610 </t>
  </si>
  <si>
    <t xml:space="preserve">R3700A </t>
  </si>
  <si>
    <t xml:space="preserve">R3701 </t>
  </si>
  <si>
    <t xml:space="preserve">R3800A </t>
  </si>
  <si>
    <t xml:space="preserve">R3801 </t>
  </si>
  <si>
    <t xml:space="preserve">R3810 </t>
  </si>
  <si>
    <t xml:space="preserve">R3811 </t>
  </si>
  <si>
    <t xml:space="preserve">R3820 </t>
  </si>
  <si>
    <t xml:space="preserve">R3821 </t>
  </si>
  <si>
    <t xml:space="preserve">R3900A </t>
  </si>
  <si>
    <t xml:space="preserve">R4800A </t>
  </si>
  <si>
    <t xml:space="preserve">R4900A </t>
  </si>
  <si>
    <t xml:space="preserve">R4910 </t>
  </si>
  <si>
    <t xml:space="preserve">R4920 </t>
  </si>
  <si>
    <t xml:space="preserve">R5600 </t>
  </si>
  <si>
    <t xml:space="preserve">R5700 </t>
  </si>
  <si>
    <t xml:space="preserve">R6300 </t>
  </si>
  <si>
    <t xml:space="preserve">R6301 </t>
  </si>
  <si>
    <t xml:space="preserve">R6400 </t>
  </si>
  <si>
    <t xml:space="preserve">R6500 </t>
  </si>
  <si>
    <t xml:space="preserve">R6800 </t>
  </si>
  <si>
    <t xml:space="preserve">R7000 </t>
  </si>
  <si>
    <t>R7010</t>
  </si>
  <si>
    <t xml:space="preserve">R7020 </t>
  </si>
  <si>
    <t xml:space="preserve">R7400A </t>
  </si>
  <si>
    <t xml:space="preserve">R7410A </t>
  </si>
  <si>
    <t xml:space="preserve">R7600 </t>
  </si>
  <si>
    <t xml:space="preserve">R7830 </t>
  </si>
  <si>
    <t xml:space="preserve">R8100 </t>
  </si>
  <si>
    <t xml:space="preserve">R8600 </t>
  </si>
  <si>
    <t xml:space="preserve">R9020 </t>
  </si>
  <si>
    <t xml:space="preserve">R9030 </t>
  </si>
  <si>
    <t xml:space="preserve">R9200 </t>
  </si>
  <si>
    <t xml:space="preserve">R9201 </t>
  </si>
  <si>
    <t xml:space="preserve">R9310 </t>
  </si>
  <si>
    <t xml:space="preserve">R9400 </t>
  </si>
  <si>
    <t>3V0000100</t>
  </si>
  <si>
    <t xml:space="preserve">3VR0100 </t>
  </si>
  <si>
    <t>3V0020100</t>
  </si>
  <si>
    <t xml:space="preserve">3VR0100A </t>
  </si>
  <si>
    <t>3V0010200</t>
  </si>
  <si>
    <t xml:space="preserve">3VR0200 </t>
  </si>
  <si>
    <t>3V0010210</t>
  </si>
  <si>
    <t xml:space="preserve">3VR0210 </t>
  </si>
  <si>
    <t>3V0010220</t>
  </si>
  <si>
    <t xml:space="preserve">3VR0220 </t>
  </si>
  <si>
    <t>3V0010230</t>
  </si>
  <si>
    <t xml:space="preserve">3VR0230 </t>
  </si>
  <si>
    <t>3V0010300</t>
  </si>
  <si>
    <t xml:space="preserve">3VR0300 </t>
  </si>
  <si>
    <t>3V0010310</t>
  </si>
  <si>
    <t xml:space="preserve">3VR0310 </t>
  </si>
  <si>
    <t>3V0000400</t>
  </si>
  <si>
    <t xml:space="preserve">3VR0400 </t>
  </si>
  <si>
    <t>3V0000410</t>
  </si>
  <si>
    <t xml:space="preserve">3VR0410 </t>
  </si>
  <si>
    <t>3V0000500</t>
  </si>
  <si>
    <t xml:space="preserve">3VR0500 </t>
  </si>
  <si>
    <t>3V0001201</t>
  </si>
  <si>
    <t xml:space="preserve">3VR1201 </t>
  </si>
  <si>
    <t>3V0001401</t>
  </si>
  <si>
    <t xml:space="preserve">3VR1401 </t>
  </si>
  <si>
    <t>3V0002400</t>
  </si>
  <si>
    <t xml:space="preserve">3VR2400 </t>
  </si>
  <si>
    <t>3V0002410</t>
  </si>
  <si>
    <t xml:space="preserve">3VR2410 </t>
  </si>
  <si>
    <t>3V0002420</t>
  </si>
  <si>
    <t xml:space="preserve">3VR2420 </t>
  </si>
  <si>
    <t>3V0002700</t>
  </si>
  <si>
    <t xml:space="preserve">3VR2700 </t>
  </si>
  <si>
    <t>3V0002710</t>
  </si>
  <si>
    <t xml:space="preserve">3VR2710 </t>
  </si>
  <si>
    <t>3V0002720</t>
  </si>
  <si>
    <t xml:space="preserve">3VR2720 </t>
  </si>
  <si>
    <t>3V0002800</t>
  </si>
  <si>
    <t xml:space="preserve">3VR2800 </t>
  </si>
  <si>
    <t>3V0002810</t>
  </si>
  <si>
    <t xml:space="preserve">3VR2810 </t>
  </si>
  <si>
    <t>3V0002820</t>
  </si>
  <si>
    <t xml:space="preserve">3VR2820 </t>
  </si>
  <si>
    <t>3V0013600</t>
  </si>
  <si>
    <t xml:space="preserve">3VR3600A </t>
  </si>
  <si>
    <t>3V0013700</t>
  </si>
  <si>
    <t xml:space="preserve">3VR3700 </t>
  </si>
  <si>
    <t>3V0013800</t>
  </si>
  <si>
    <t xml:space="preserve">3VR3800 </t>
  </si>
  <si>
    <t>3V0013900</t>
  </si>
  <si>
    <t xml:space="preserve">3VR3900 </t>
  </si>
  <si>
    <t>3V0024500</t>
  </si>
  <si>
    <t xml:space="preserve">3VR4500 </t>
  </si>
  <si>
    <t>3V0004800</t>
  </si>
  <si>
    <t xml:space="preserve">3VR4800 </t>
  </si>
  <si>
    <t>3V0004810</t>
  </si>
  <si>
    <t xml:space="preserve">3VR4810 </t>
  </si>
  <si>
    <t>3V0004820</t>
  </si>
  <si>
    <t xml:space="preserve">3VR4820 </t>
  </si>
  <si>
    <t>3V0004830</t>
  </si>
  <si>
    <t xml:space="preserve">3VR4830 </t>
  </si>
  <si>
    <t>3V0004900</t>
  </si>
  <si>
    <t xml:space="preserve">3VR4900 </t>
  </si>
  <si>
    <t>3V0005000</t>
  </si>
  <si>
    <t xml:space="preserve">3VR5000 </t>
  </si>
  <si>
    <t>3V0005400</t>
  </si>
  <si>
    <r>
      <t xml:space="preserve">3VR5400 </t>
    </r>
    <r>
      <rPr>
        <sz val="8"/>
        <rFont val="Calibri"/>
        <family val="2"/>
      </rPr>
      <t/>
    </r>
  </si>
  <si>
    <t>3V0025600</t>
  </si>
  <si>
    <r>
      <t xml:space="preserve">3VR5600A </t>
    </r>
    <r>
      <rPr>
        <sz val="8"/>
        <rFont val="Calibri"/>
        <family val="2"/>
      </rPr>
      <t/>
    </r>
  </si>
  <si>
    <t>3V0025700</t>
  </si>
  <si>
    <r>
      <t xml:space="preserve">3VR5700A </t>
    </r>
    <r>
      <rPr>
        <sz val="8"/>
        <rFont val="Calibri"/>
        <family val="2"/>
      </rPr>
      <t/>
    </r>
  </si>
  <si>
    <t>3V0025710</t>
  </si>
  <si>
    <r>
      <t xml:space="preserve">3VR5710 </t>
    </r>
    <r>
      <rPr>
        <sz val="8"/>
        <rFont val="Calibri"/>
        <family val="2"/>
      </rPr>
      <t/>
    </r>
  </si>
  <si>
    <t xml:space="preserve">3VR5720 </t>
  </si>
  <si>
    <t>3V0025720</t>
  </si>
  <si>
    <t>3V0007300</t>
  </si>
  <si>
    <r>
      <t xml:space="preserve">3VR7300 </t>
    </r>
    <r>
      <rPr>
        <sz val="8"/>
        <rFont val="Calibri"/>
        <family val="2"/>
      </rPr>
      <t/>
    </r>
  </si>
  <si>
    <t>3V0007400</t>
  </si>
  <si>
    <t xml:space="preserve">3VR7400 </t>
  </si>
  <si>
    <t>3V0007410</t>
  </si>
  <si>
    <t xml:space="preserve">3VR7410 </t>
  </si>
  <si>
    <t>3V0007600</t>
  </si>
  <si>
    <r>
      <t xml:space="preserve">3VR7600A </t>
    </r>
    <r>
      <rPr>
        <sz val="8"/>
        <rFont val="Calibri"/>
        <family val="2"/>
      </rPr>
      <t/>
    </r>
  </si>
  <si>
    <t>3V0017701</t>
  </si>
  <si>
    <r>
      <t xml:space="preserve">3VR7701 </t>
    </r>
    <r>
      <rPr>
        <sz val="8"/>
        <rFont val="Calibri"/>
        <family val="2"/>
      </rPr>
      <t/>
    </r>
  </si>
  <si>
    <t>3V0018900</t>
  </si>
  <si>
    <t xml:space="preserve">3VR8900 </t>
  </si>
  <si>
    <t>3V0029200</t>
  </si>
  <si>
    <r>
      <t xml:space="preserve">3VR9200A </t>
    </r>
    <r>
      <rPr>
        <sz val="8"/>
        <rFont val="Calibri"/>
        <family val="2"/>
      </rPr>
      <t/>
    </r>
  </si>
  <si>
    <t>3V0029220</t>
  </si>
  <si>
    <r>
      <t xml:space="preserve">3VR9220 </t>
    </r>
    <r>
      <rPr>
        <sz val="8"/>
        <rFont val="Calibri"/>
        <family val="2"/>
      </rPr>
      <t/>
    </r>
  </si>
  <si>
    <t>3V0029230</t>
  </si>
  <si>
    <r>
      <t xml:space="preserve">3VR9230 </t>
    </r>
    <r>
      <rPr>
        <sz val="8"/>
        <rFont val="Calibri"/>
        <family val="2"/>
      </rPr>
      <t/>
    </r>
  </si>
  <si>
    <t>3V0029400</t>
  </si>
  <si>
    <r>
      <t xml:space="preserve">3VR9400A </t>
    </r>
    <r>
      <rPr>
        <sz val="8"/>
        <rFont val="Calibri"/>
        <family val="2"/>
      </rPr>
      <t/>
    </r>
  </si>
  <si>
    <t>3V0029420</t>
  </si>
  <si>
    <r>
      <t xml:space="preserve">3VR9420 </t>
    </r>
    <r>
      <rPr>
        <sz val="8"/>
        <rFont val="Calibri"/>
        <family val="2"/>
      </rPr>
      <t/>
    </r>
  </si>
  <si>
    <t>3V0029500</t>
  </si>
  <si>
    <r>
      <t xml:space="preserve">3VR9500 </t>
    </r>
    <r>
      <rPr>
        <sz val="8"/>
        <rFont val="Calibri"/>
        <family val="2"/>
      </rPr>
      <t/>
    </r>
  </si>
  <si>
    <t>3V0019700</t>
  </si>
  <si>
    <r>
      <t xml:space="preserve">3VR9700 </t>
    </r>
    <r>
      <rPr>
        <sz val="8"/>
        <rFont val="Calibri"/>
        <family val="2"/>
      </rPr>
      <t/>
    </r>
  </si>
  <si>
    <t>6H5087010</t>
  </si>
  <si>
    <t>6G8358011</t>
  </si>
  <si>
    <t>Mã VF mới</t>
  </si>
  <si>
    <t>Aisi 12L14</t>
  </si>
  <si>
    <t>A6061</t>
  </si>
  <si>
    <t>C3604BD</t>
  </si>
  <si>
    <t>SUS304</t>
  </si>
  <si>
    <t>SUS303</t>
  </si>
  <si>
    <t>SUS 420J2</t>
  </si>
  <si>
    <t>SUS303 Cu</t>
  </si>
  <si>
    <t>A6061-T6</t>
  </si>
  <si>
    <t>Đường kính</t>
  </si>
  <si>
    <t>ø 8</t>
  </si>
  <si>
    <t>ø 6</t>
  </si>
  <si>
    <t>ø 9</t>
  </si>
  <si>
    <t>ø 3</t>
  </si>
  <si>
    <t>ø 4</t>
  </si>
  <si>
    <t>ø 7</t>
  </si>
  <si>
    <t>ø 2.5</t>
  </si>
  <si>
    <t>ø 5</t>
  </si>
  <si>
    <t>ø 5.4</t>
  </si>
  <si>
    <t>ø 7.2</t>
  </si>
  <si>
    <t>ø 12</t>
  </si>
  <si>
    <t>ø 21.8</t>
  </si>
  <si>
    <t>ø 7.5</t>
  </si>
  <si>
    <t>ø 15.7</t>
  </si>
  <si>
    <t>ø 10.2</t>
  </si>
  <si>
    <t>ø 3.44</t>
  </si>
  <si>
    <t>Hex 7</t>
  </si>
  <si>
    <t>Hex 13</t>
  </si>
  <si>
    <t>Hex 12</t>
  </si>
  <si>
    <t>Hex 14</t>
  </si>
  <si>
    <t>ø 2</t>
  </si>
  <si>
    <t>ø 2.6</t>
  </si>
  <si>
    <t>ø 3.2</t>
  </si>
  <si>
    <t>ø 3.8</t>
  </si>
  <si>
    <t>Hex 4.5</t>
  </si>
  <si>
    <t>Hex 5</t>
  </si>
  <si>
    <t>Hex 6</t>
  </si>
  <si>
    <t>ø 6.1</t>
  </si>
  <si>
    <t>ø 14.4</t>
  </si>
  <si>
    <t>ø 15.6</t>
  </si>
  <si>
    <t>ø 16.6</t>
  </si>
  <si>
    <t>ø 18</t>
  </si>
  <si>
    <t>ø 19</t>
  </si>
  <si>
    <t>ø 25.4</t>
  </si>
  <si>
    <t>ø 14.5+</t>
  </si>
  <si>
    <t>Chiều dài</t>
  </si>
  <si>
    <t xml:space="preserve">ø 12.4 (ø 10) </t>
  </si>
  <si>
    <t xml:space="preserve">ø 12.4 (ø 9) </t>
  </si>
  <si>
    <t>ø 12.4 (ø 9.5)</t>
  </si>
  <si>
    <t>ø 23.7 (ø 21.8)</t>
  </si>
  <si>
    <t>ø 23.8 (ø 18)</t>
  </si>
  <si>
    <t>ø 8 (ø 6.05)</t>
  </si>
  <si>
    <t>ø 11 (ø 6.05)</t>
  </si>
  <si>
    <t>ø 11 (ø 7.05)</t>
  </si>
  <si>
    <t>ø 11 (ø 7.55)</t>
  </si>
  <si>
    <t>ø 20.5+ (ø17)</t>
  </si>
  <si>
    <t>ø 24.4+ (ø 21.1)</t>
  </si>
  <si>
    <t>ø 24.8+ (ø 23.4)</t>
  </si>
  <si>
    <t>ø 9 (ø 7.05)</t>
  </si>
  <si>
    <t>ø 9.5 (ø 7.55)</t>
  </si>
  <si>
    <t>ø 22 (ø19.7)</t>
  </si>
  <si>
    <t>ø 9 (ø 6.05)</t>
  </si>
  <si>
    <t>ø 13.5 (ø 9.05)</t>
  </si>
  <si>
    <t>ø 16.5 (ø 12.55)</t>
  </si>
  <si>
    <t>ø 14 (ø 10.05)</t>
  </si>
  <si>
    <t>ø 14 (ø 10.55)</t>
  </si>
  <si>
    <t>ø 17 (ø 12.05)</t>
  </si>
  <si>
    <t>ø 23.8 (ø 18.1)</t>
  </si>
  <si>
    <t>ø 15 (ø11.05)</t>
  </si>
  <si>
    <t>ø 15 (ø 10.15)</t>
  </si>
  <si>
    <t>ø 15 (ø7.65)</t>
  </si>
  <si>
    <t>ø 25.3 (ø 20)</t>
  </si>
  <si>
    <t>ø 13 (ø 11)</t>
  </si>
  <si>
    <t>ø 16 (ø 14)</t>
  </si>
  <si>
    <t>ø 20.5+ (ø 14.2)</t>
  </si>
  <si>
    <t>ø 23.5 (ø 21.1)</t>
  </si>
  <si>
    <t>ø 23 (ø 10.2)</t>
  </si>
  <si>
    <t>ø 23 (ø 10.8)</t>
  </si>
  <si>
    <t>ø 23 (ø 11.1)</t>
  </si>
  <si>
    <t>ø 23 (ø 12.35)</t>
  </si>
  <si>
    <t>ø 25.5 (ø 13.35)</t>
  </si>
  <si>
    <t>ø 25.5 (ø 14.75)</t>
  </si>
  <si>
    <t>ø 25+ (ø 14.2)</t>
  </si>
  <si>
    <t>ø 25+ (ø 17.2)</t>
  </si>
  <si>
    <t>ø 27.5+ (ø 19.7)</t>
  </si>
  <si>
    <t>ø 18 (ø 12.95)</t>
  </si>
  <si>
    <t>ø 25 (ø 18)</t>
  </si>
  <si>
    <t>ø 23 (ø 17.3)</t>
  </si>
  <si>
    <t>ø 23 (ø 18.3)</t>
  </si>
  <si>
    <t>ø 23 (ø 19.9)</t>
  </si>
  <si>
    <t>ø 19 (ø 17.4)</t>
  </si>
  <si>
    <t>ø 23 (ø 18.45)</t>
  </si>
  <si>
    <t>ø 23 (ø 19.95)</t>
  </si>
  <si>
    <t>ø 25 (ø 19.7)</t>
  </si>
  <si>
    <t>ø 25 (ø 20.7)</t>
  </si>
  <si>
    <t>ø 25 (ø 21.7)</t>
  </si>
  <si>
    <t>ø 15.3+ (ø 14.7)</t>
  </si>
  <si>
    <t>ø 14.4 (ø 10.65)</t>
  </si>
  <si>
    <t>ø 25.5 (ø 20.5)</t>
  </si>
  <si>
    <t>ø 25.5 (ø 24)</t>
  </si>
  <si>
    <t>ø 17 (ø 12.2)</t>
  </si>
  <si>
    <t>ø 27 (ø 22.1)</t>
  </si>
  <si>
    <t>ø 15.8 (ø 10.25)</t>
  </si>
  <si>
    <t>ø 15.8 (ø 12.05)</t>
  </si>
  <si>
    <t>ø 15.8 (ø 12.55)</t>
  </si>
  <si>
    <t>ø 15.8 (ø 13.15)</t>
  </si>
  <si>
    <t>ø 22 (ø 20)</t>
  </si>
  <si>
    <t>ø 27.2 (ø 25.5)</t>
  </si>
  <si>
    <t>ø 28 (ø 18.1)</t>
  </si>
  <si>
    <t>ø 15 (ø 11.85)</t>
  </si>
  <si>
    <t>Chiều dài tổng</t>
  </si>
  <si>
    <t>Đường kính sử dụng</t>
  </si>
  <si>
    <t>ø 19.8 (ø 17.9)</t>
  </si>
  <si>
    <t>ø 15 (ø 13)</t>
  </si>
  <si>
    <t>ø 22 (ø 18.5)</t>
  </si>
  <si>
    <t>ø 25.4 (ø 23.2)</t>
  </si>
  <si>
    <t>Hệ số tương ứng với đường kính</t>
  </si>
  <si>
    <t>Trọng lượng sản phẩm đầu vào (gam )</t>
  </si>
  <si>
    <t xml:space="preserve">Giá nguyên liệu </t>
  </si>
  <si>
    <t xml:space="preserve">Giá nguyên liệu của sản phẩm </t>
  </si>
  <si>
    <t xml:space="preserve">Tỉ lệ nguyên liệu so với giá bán </t>
  </si>
  <si>
    <t>Giá sản phẩm</t>
  </si>
  <si>
    <t>Giá nguyên liệu sản phẩm</t>
  </si>
  <si>
    <t>VND</t>
  </si>
  <si>
    <t>USD</t>
  </si>
  <si>
    <t xml:space="preserve">Giá gia công </t>
  </si>
  <si>
    <t xml:space="preserve">Giá xi mạ </t>
  </si>
  <si>
    <t>Gia công 1</t>
  </si>
  <si>
    <t xml:space="preserve">năng suất </t>
  </si>
  <si>
    <t xml:space="preserve">Thành tiền </t>
  </si>
  <si>
    <t>Gia công 2</t>
  </si>
  <si>
    <t xml:space="preserve">Tổng giá gia công </t>
  </si>
  <si>
    <t xml:space="preserve">Y/c xi mạ </t>
  </si>
  <si>
    <t>giá xi mạ ( VNd/kg)</t>
  </si>
  <si>
    <t xml:space="preserve">Giá xi mạ từng sản phẩm </t>
  </si>
  <si>
    <t>Tình trạng đặt hàng</t>
  </si>
  <si>
    <t>D2 - DAI WA ĐÀ NẴNG</t>
  </si>
  <si>
    <t>STT (SP)</t>
  </si>
  <si>
    <t xml:space="preserve">Mã Khách hàng </t>
  </si>
  <si>
    <t>Mã sản phẩm</t>
  </si>
  <si>
    <t>6Q1303010</t>
  </si>
  <si>
    <t>6Q1191010</t>
  </si>
  <si>
    <t>6Q1263010</t>
  </si>
  <si>
    <t xml:space="preserve">R4200 </t>
  </si>
  <si>
    <t>R9300A</t>
  </si>
  <si>
    <t>3VR3600</t>
  </si>
  <si>
    <t>Tên sản phẩm</t>
  </si>
  <si>
    <t>6G1525020</t>
  </si>
  <si>
    <t>6F6245012</t>
  </si>
  <si>
    <t>6Q1191020</t>
  </si>
  <si>
    <t>6Q1191030</t>
  </si>
  <si>
    <t>6Q1263020</t>
  </si>
  <si>
    <t>6Q1263030</t>
  </si>
  <si>
    <t>6G3913011</t>
  </si>
  <si>
    <t>D2B</t>
  </si>
  <si>
    <t>D2A</t>
  </si>
  <si>
    <t>PO No</t>
  </si>
  <si>
    <t>KH Code</t>
  </si>
  <si>
    <t>VF Code</t>
  </si>
  <si>
    <t>Đơn giá</t>
  </si>
  <si>
    <t>Order Price</t>
  </si>
  <si>
    <t>File</t>
  </si>
  <si>
    <t>Sheet</t>
  </si>
  <si>
    <t xml:space="preserve">po </t>
  </si>
  <si>
    <t>File name</t>
  </si>
  <si>
    <t>File type</t>
  </si>
  <si>
    <t>xls</t>
  </si>
  <si>
    <t>Column Part No</t>
  </si>
  <si>
    <t>Column Order</t>
  </si>
  <si>
    <t>E</t>
  </si>
  <si>
    <t>G</t>
  </si>
  <si>
    <t>Column Price</t>
  </si>
  <si>
    <t>Start column</t>
  </si>
  <si>
    <t>H</t>
  </si>
  <si>
    <t>Start Month</t>
  </si>
  <si>
    <t>End Month</t>
  </si>
  <si>
    <t>DELIVERY DATE</t>
  </si>
  <si>
    <t>J</t>
  </si>
  <si>
    <t>Month 1</t>
  </si>
  <si>
    <t>Month 2</t>
  </si>
  <si>
    <t>Month 3</t>
  </si>
  <si>
    <t>PO</t>
  </si>
  <si>
    <t>3V0003600</t>
  </si>
  <si>
    <t>6G3920031</t>
  </si>
  <si>
    <t>6H7083011</t>
  </si>
  <si>
    <t>6H4652030</t>
  </si>
  <si>
    <t>6H3595011</t>
  </si>
  <si>
    <t>D</t>
  </si>
  <si>
    <t>F</t>
  </si>
  <si>
    <t>I</t>
  </si>
  <si>
    <t>31.PO 141201-MOF04</t>
  </si>
  <si>
    <t>DVN-GP3330-141201</t>
  </si>
  <si>
    <t>mẫu PO REEL</t>
  </si>
  <si>
    <t>MẪU PO RING</t>
  </si>
  <si>
    <t>6H5106032</t>
  </si>
  <si>
    <t>6Q1632010</t>
  </si>
  <si>
    <t>6H0889022</t>
  </si>
  <si>
    <t>6H2786090</t>
  </si>
  <si>
    <t xml:space="preserve">part </t>
  </si>
  <si>
    <t>6H7265051</t>
  </si>
  <si>
    <t>K</t>
  </si>
  <si>
    <t>6H7265021</t>
  </si>
  <si>
    <t>6H2786080</t>
  </si>
  <si>
    <t>MẪU PO REEL 2</t>
  </si>
  <si>
    <t>DVN-FP3330-150705</t>
  </si>
  <si>
    <t>DVN-FP3330-150705(SPP &amp; MOF 11)</t>
  </si>
  <si>
    <t>6H7265041</t>
  </si>
  <si>
    <t>MẪU PO REEL</t>
  </si>
  <si>
    <t>6H1746011</t>
  </si>
  <si>
    <t>6H7265060</t>
  </si>
  <si>
    <t>6H4320020</t>
  </si>
  <si>
    <t>6H4387021</t>
  </si>
  <si>
    <t>6Q2951010</t>
  </si>
  <si>
    <t>6H7265061</t>
  </si>
  <si>
    <t>6H2786100</t>
  </si>
  <si>
    <t>6H0889092</t>
  </si>
  <si>
    <t>6Q0438020</t>
  </si>
  <si>
    <t>6H1746021</t>
  </si>
  <si>
    <t>6Q1303020</t>
  </si>
  <si>
    <t>6H7265071</t>
  </si>
  <si>
    <t>TOTAL</t>
  </si>
  <si>
    <t>6H7263030</t>
  </si>
  <si>
    <t>6H7263070</t>
  </si>
  <si>
    <t>6H7264050</t>
  </si>
  <si>
    <t>6H7264060</t>
  </si>
  <si>
    <t>6H7264030</t>
  </si>
  <si>
    <t>6H4952053</t>
  </si>
  <si>
    <t>6Q3081021</t>
  </si>
  <si>
    <t>6Q3333010</t>
  </si>
  <si>
    <t>6Q3081011</t>
  </si>
  <si>
    <t>6Q1303030</t>
  </si>
  <si>
    <t>6Q0698011</t>
  </si>
  <si>
    <t>6Q3333021</t>
  </si>
  <si>
    <t>part</t>
  </si>
  <si>
    <t>DVN-FP-3330-180404(MOF08+SP08-2018)</t>
  </si>
  <si>
    <t>DVN-FP3330-180404</t>
  </si>
  <si>
    <t>PO NO</t>
  </si>
  <si>
    <t>LOT NO</t>
  </si>
  <si>
    <t>MODEL NO</t>
  </si>
  <si>
    <t>PART NO</t>
  </si>
  <si>
    <t xml:space="preserve">Q'TY </t>
  </si>
  <si>
    <r>
      <t>PRICE (</t>
    </r>
    <r>
      <rPr>
        <b/>
        <sz val="11"/>
        <color indexed="10"/>
        <rFont val="Times New Roman"/>
        <family val="1"/>
      </rPr>
      <t>usd</t>
    </r>
    <r>
      <rPr>
        <b/>
        <sz val="11"/>
        <rFont val="Times New Roman"/>
        <family val="1"/>
      </rPr>
      <t>)</t>
    </r>
  </si>
  <si>
    <t>AMOUNT</t>
  </si>
  <si>
    <t>DELIVERY</t>
  </si>
  <si>
    <t>Lot No</t>
  </si>
  <si>
    <t>#</t>
  </si>
  <si>
    <t>data</t>
  </si>
  <si>
    <t>`</t>
  </si>
  <si>
    <t>3V0047020</t>
  </si>
  <si>
    <t>3V0047030</t>
  </si>
  <si>
    <t>3V0047040</t>
  </si>
  <si>
    <t>3V0047050</t>
  </si>
  <si>
    <t>3V0047060</t>
  </si>
  <si>
    <t>3V0047070</t>
  </si>
  <si>
    <t>3V00470E0</t>
  </si>
  <si>
    <t>3V00470F0</t>
  </si>
  <si>
    <t>3V00470G0</t>
  </si>
  <si>
    <t>3V00470H0</t>
  </si>
  <si>
    <t>3V00470K0</t>
  </si>
  <si>
    <t>3V0117910</t>
  </si>
  <si>
    <t>3V0117980</t>
  </si>
  <si>
    <t>3V0117990</t>
  </si>
  <si>
    <t>3V01179A0</t>
  </si>
  <si>
    <t>3V01179B0</t>
  </si>
  <si>
    <t>3V01179E0</t>
  </si>
  <si>
    <t>3V01179F0</t>
  </si>
  <si>
    <t>3V01179K0</t>
  </si>
  <si>
    <t>3V01179L0</t>
  </si>
  <si>
    <t>3V01179Q0</t>
  </si>
  <si>
    <t>3V01179T0</t>
  </si>
  <si>
    <t>3V0157710</t>
  </si>
  <si>
    <t>3V0168610</t>
  </si>
  <si>
    <t>3V0179600</t>
  </si>
  <si>
    <t>3V0185610</t>
  </si>
  <si>
    <t>3V0185630</t>
  </si>
  <si>
    <t>3V0185640</t>
  </si>
  <si>
    <t>3V0185660</t>
  </si>
  <si>
    <t>3V0185800</t>
  </si>
  <si>
    <t>3V0189810</t>
  </si>
  <si>
    <t>3V0189840</t>
  </si>
  <si>
    <t>3V0190510</t>
  </si>
  <si>
    <t>3V0190520</t>
  </si>
  <si>
    <t>3V0191100</t>
  </si>
  <si>
    <t>3V0193110</t>
  </si>
  <si>
    <t>3V0201200</t>
  </si>
  <si>
    <t>3V0201210</t>
  </si>
  <si>
    <t>3V0201220</t>
  </si>
  <si>
    <t>3V0201230</t>
  </si>
  <si>
    <t>3V0201240</t>
  </si>
  <si>
    <t>3V0201250</t>
  </si>
  <si>
    <t>3V0201260</t>
  </si>
  <si>
    <t>3V0201270</t>
  </si>
  <si>
    <t>3V0201280</t>
  </si>
  <si>
    <t>3V0207400</t>
  </si>
  <si>
    <t>3V0207410</t>
  </si>
  <si>
    <t>3V0207420</t>
  </si>
  <si>
    <t>3V0207500</t>
  </si>
  <si>
    <t>3V0207510</t>
  </si>
  <si>
    <t>3V0207520</t>
  </si>
  <si>
    <t>3V0221000</t>
  </si>
  <si>
    <t>3X1894600</t>
  </si>
  <si>
    <t>3X1894610</t>
  </si>
  <si>
    <t>3X18B0100</t>
  </si>
  <si>
    <t>3X18B0200</t>
  </si>
  <si>
    <t>3X18B1400</t>
  </si>
  <si>
    <t>3X18B1500</t>
  </si>
  <si>
    <t>3X18B1800</t>
  </si>
  <si>
    <t>3X18B1900</t>
  </si>
  <si>
    <t>3X18B2400</t>
  </si>
  <si>
    <t>3X18B2500</t>
  </si>
  <si>
    <t>3X18B3200</t>
  </si>
  <si>
    <t>3X18B3500</t>
  </si>
  <si>
    <t>3X18B3800</t>
  </si>
  <si>
    <t>3V0185650</t>
  </si>
  <si>
    <t>3V0225200</t>
  </si>
  <si>
    <t>3V01179H0</t>
  </si>
  <si>
    <t>3V01179J0</t>
  </si>
  <si>
    <t>3V0201780</t>
  </si>
  <si>
    <t>3V0229300</t>
  </si>
  <si>
    <t>3V0229400</t>
  </si>
  <si>
    <t>3V0201770</t>
  </si>
  <si>
    <t>3V0201790</t>
  </si>
  <si>
    <t>3V0192420</t>
  </si>
  <si>
    <t>3V0201750</t>
  </si>
  <si>
    <t>3V0201760</t>
  </si>
  <si>
    <t>3V0207430</t>
  </si>
  <si>
    <t>3V0230000</t>
  </si>
  <si>
    <t>3V0230300</t>
  </si>
  <si>
    <t>RING</t>
  </si>
  <si>
    <t>7525-23-19.7</t>
  </si>
  <si>
    <t>3V00-15.5-8.05</t>
  </si>
  <si>
    <t>3V00-15.5-8.55</t>
  </si>
  <si>
    <t>3V00-15.5-9.55</t>
  </si>
  <si>
    <t>3V00-15.5-10.55</t>
  </si>
  <si>
    <t>3V00-15.5-7.65</t>
  </si>
  <si>
    <t>3V00-15.5-8.15</t>
  </si>
  <si>
    <t>3V00-15.5-8.35</t>
  </si>
  <si>
    <t>3V00-15.5-9.65</t>
  </si>
  <si>
    <t>3V00-15.5-10.9</t>
  </si>
  <si>
    <t>3V00-15.5-11.65</t>
  </si>
  <si>
    <t>3V00-15.5-12.65</t>
  </si>
  <si>
    <t>3V01-16.5-10.05-1</t>
  </si>
  <si>
    <t>3V01-16.5-9.05</t>
  </si>
  <si>
    <t>3V01-16.5-9.55</t>
  </si>
  <si>
    <t>3V01-16.5-10.05-A</t>
  </si>
  <si>
    <t>3V01-16.5-10.55</t>
  </si>
  <si>
    <t>3V01-16.5-8.55</t>
  </si>
  <si>
    <t>3V01-16.5-14.05</t>
  </si>
  <si>
    <t>3V01-16.5-12.05-K</t>
  </si>
  <si>
    <t>3V01-16.5-10.05-L</t>
  </si>
  <si>
    <t>3V01-16.5-11.05</t>
  </si>
  <si>
    <t>3V01-16.5-10.05-T</t>
  </si>
  <si>
    <t>3V01-32-24.05</t>
  </si>
  <si>
    <t>3V01-26.5-22.8</t>
  </si>
  <si>
    <t>3V02-27.6-24</t>
  </si>
  <si>
    <t>3V01-19-11.5</t>
  </si>
  <si>
    <t>3V01-19-10.55</t>
  </si>
  <si>
    <t>3V01-19-12</t>
  </si>
  <si>
    <t>3V01-19-13</t>
  </si>
  <si>
    <t>3V01-19-17.6</t>
  </si>
  <si>
    <t>3V01-23-14.55</t>
  </si>
  <si>
    <t>3V01-23-17.55</t>
  </si>
  <si>
    <t>3V019-23-14.55</t>
  </si>
  <si>
    <t>3V01-23-12.55</t>
  </si>
  <si>
    <t>3V01-23-20.05</t>
  </si>
  <si>
    <t>3V01-23.5-20.6</t>
  </si>
  <si>
    <t>3V02-18-11.05</t>
  </si>
  <si>
    <t>3V02-18-12.05</t>
  </si>
  <si>
    <t>3V02-18-12.55</t>
  </si>
  <si>
    <t>3V02-18-13.05</t>
  </si>
  <si>
    <t>3V02-18-13.55</t>
  </si>
  <si>
    <t>3V02-18-11.55</t>
  </si>
  <si>
    <t>3V02-18-14.05</t>
  </si>
  <si>
    <t>3V02-18-15.05</t>
  </si>
  <si>
    <t>3V02-18-10.55</t>
  </si>
  <si>
    <t>3V02-30.8-22.65</t>
  </si>
  <si>
    <t>3V02-30.8-23.6</t>
  </si>
  <si>
    <t>3V02-30.8-24</t>
  </si>
  <si>
    <t>3V02-25.4-22.65</t>
  </si>
  <si>
    <t>3V02-25.4-23.6</t>
  </si>
  <si>
    <t>3V02-25.4-24</t>
  </si>
  <si>
    <t>3V02-25.5-22</t>
  </si>
  <si>
    <t>3X18-25.4-23.6</t>
  </si>
  <si>
    <t>3X18-25.4-24</t>
  </si>
  <si>
    <t>3X18-25-13</t>
  </si>
  <si>
    <t>3X18-29.4-3</t>
  </si>
  <si>
    <t>3X18-27.8-22</t>
  </si>
  <si>
    <t>3X18-24-22</t>
  </si>
  <si>
    <t>3X18-23.5-14</t>
  </si>
  <si>
    <t>3X18-23.5-17.4</t>
  </si>
  <si>
    <t>3X18-26-23.15</t>
  </si>
  <si>
    <t>3X18-24-21.15</t>
  </si>
  <si>
    <t>3X18-25-21.2</t>
  </si>
  <si>
    <t>3X18-23.5-13</t>
  </si>
  <si>
    <t>3X18-25.4-16.2</t>
  </si>
  <si>
    <t>3V01-19-12.5</t>
  </si>
  <si>
    <t>7418-23.5-20.5</t>
  </si>
  <si>
    <t>3V02-23.5-20.6</t>
  </si>
  <si>
    <t>3V01-16.5-11.05-H</t>
  </si>
  <si>
    <t>3V01-16.5-8.05</t>
  </si>
  <si>
    <t>3V02-16.5-9.55</t>
  </si>
  <si>
    <t>3V02-26-23.15</t>
  </si>
  <si>
    <t>3V02-24-21.2</t>
  </si>
  <si>
    <t>3V02-16.5-8.55</t>
  </si>
  <si>
    <t>3V02-16.5-10.05</t>
  </si>
  <si>
    <t>3V01-22.8-13</t>
  </si>
  <si>
    <t>3V02-16.5-9.55-8</t>
  </si>
  <si>
    <t>3V02-16.5-10.05-6</t>
  </si>
  <si>
    <t>3V02-30.8-23</t>
  </si>
  <si>
    <t>3V02-23-20.6</t>
  </si>
  <si>
    <t>3V02-25.4-16.2</t>
  </si>
  <si>
    <t>3V00470L0</t>
  </si>
  <si>
    <t>3V00470M0</t>
  </si>
  <si>
    <t>3V00470N0</t>
  </si>
  <si>
    <t>3V00470P0</t>
  </si>
  <si>
    <t>3V00470Q0</t>
  </si>
  <si>
    <t>3V0207440</t>
  </si>
  <si>
    <t>3V0207540</t>
  </si>
  <si>
    <t>7425-17-14.95</t>
  </si>
  <si>
    <t>7425-26.8-24.8</t>
  </si>
  <si>
    <t>7425-26-17.1</t>
  </si>
  <si>
    <t>7425-17.5-14.95</t>
  </si>
  <si>
    <t>3V02-30.8-22.65-4</t>
  </si>
  <si>
    <t>3V02-25.4-22.65-4</t>
  </si>
  <si>
    <t>3V00-15.5-10.5</t>
  </si>
  <si>
    <t>3V00-15.5-8</t>
  </si>
  <si>
    <t>3V00-15.5-10</t>
  </si>
  <si>
    <t>3V00-15.5-9</t>
  </si>
  <si>
    <t>3V00-15.5-11</t>
  </si>
  <si>
    <t>3X1920530</t>
  </si>
  <si>
    <t>3X1920540</t>
  </si>
  <si>
    <t>3X1920790</t>
  </si>
  <si>
    <t>3X19207A0</t>
  </si>
  <si>
    <t>3X19207B0</t>
  </si>
  <si>
    <t>3X19207C0</t>
  </si>
  <si>
    <t>3X1920830</t>
  </si>
  <si>
    <t>3X1920840</t>
  </si>
  <si>
    <t>3X1921450</t>
  </si>
  <si>
    <t>3X1921660</t>
  </si>
  <si>
    <t>3X1921670</t>
  </si>
  <si>
    <t>3X1942001</t>
  </si>
  <si>
    <t>3X1942200</t>
  </si>
  <si>
    <t>3X1942700</t>
  </si>
  <si>
    <t>3X1942900</t>
  </si>
  <si>
    <t>3X1943001</t>
  </si>
  <si>
    <t>3X1943100</t>
  </si>
  <si>
    <t>3X1943200</t>
  </si>
  <si>
    <t>3X1943300</t>
  </si>
  <si>
    <t>7425-16.5-12</t>
  </si>
  <si>
    <t>3V00470R0</t>
  </si>
  <si>
    <t>3V00-15.5-11.15</t>
  </si>
  <si>
    <t>3V00470S0</t>
  </si>
  <si>
    <t>3V00-15.5-11.65-S</t>
  </si>
  <si>
    <t>3V00470T0</t>
  </si>
  <si>
    <t>3V00-15.5-12.15</t>
  </si>
  <si>
    <t>3V0240100</t>
  </si>
  <si>
    <t>3V02-24.4-18</t>
  </si>
  <si>
    <t>3V0240110</t>
  </si>
  <si>
    <t>3V02-24.4-15.5</t>
  </si>
  <si>
    <t>3V0240120</t>
  </si>
  <si>
    <t>3V02-24.4-16</t>
  </si>
  <si>
    <t>3V0240130</t>
  </si>
  <si>
    <t>3V02-24.4-16.5</t>
  </si>
  <si>
    <t>3V0240140</t>
  </si>
  <si>
    <t>3V02-24.4-17</t>
  </si>
  <si>
    <t>3V0245200</t>
  </si>
  <si>
    <t>3V02-19-13.55</t>
  </si>
  <si>
    <t>3V0245210</t>
  </si>
  <si>
    <t>3V02-19-14.05</t>
  </si>
  <si>
    <t>3V0245220</t>
  </si>
  <si>
    <t>3V02-19-14.55</t>
  </si>
  <si>
    <t>3V0245230</t>
  </si>
  <si>
    <t>3V02-19-15.05</t>
  </si>
  <si>
    <t>3V0245240</t>
  </si>
  <si>
    <t>3V02-19-15.55</t>
  </si>
  <si>
    <t>3V0245400</t>
  </si>
  <si>
    <t>3V02-25-13.5</t>
  </si>
  <si>
    <t>3V0245410</t>
  </si>
  <si>
    <t>3V02-25-14</t>
  </si>
  <si>
    <t>3V0245420</t>
  </si>
  <si>
    <t>3V02-25-14-2</t>
  </si>
  <si>
    <t>3V0245430</t>
  </si>
  <si>
    <t>3V02-25-14.5</t>
  </si>
  <si>
    <t>3V0245440</t>
  </si>
  <si>
    <t>3V02-25-15</t>
  </si>
  <si>
    <t>3V0245450</t>
  </si>
  <si>
    <t>3V02-25-15.5</t>
  </si>
  <si>
    <t>7418950A0</t>
  </si>
  <si>
    <t>7418-14.5-12</t>
  </si>
  <si>
    <t>3V01179U0</t>
  </si>
  <si>
    <t>3V01-16.5-8.55-U</t>
  </si>
  <si>
    <t>7425-22-20.6</t>
  </si>
  <si>
    <t>7418-25.3-24</t>
  </si>
  <si>
    <t>7425-19.5-17.05</t>
  </si>
  <si>
    <t>7425-19.5-16.95</t>
  </si>
  <si>
    <t>7425-19.4-17.05</t>
  </si>
  <si>
    <t>7425-26.5-21.95</t>
  </si>
  <si>
    <t>7425-20.4-17.95</t>
  </si>
  <si>
    <t>7425-19.5-15.55</t>
  </si>
  <si>
    <t>7425-19.5-16.55</t>
  </si>
  <si>
    <t>3V00470U0</t>
  </si>
  <si>
    <t>3V00-15.5-11.55</t>
  </si>
  <si>
    <t>3V00470W0</t>
  </si>
  <si>
    <t>3V00-15.5-10.55-W</t>
  </si>
  <si>
    <t>3V00470V0</t>
  </si>
  <si>
    <t>3V00-15.5-9.55-V</t>
  </si>
  <si>
    <t>3V01179G0</t>
  </si>
  <si>
    <t>3V01-16.5-13.05</t>
  </si>
  <si>
    <t>3V0192410</t>
  </si>
  <si>
    <t>3V01-22.8-19.7</t>
  </si>
  <si>
    <t>3V0201710</t>
  </si>
  <si>
    <t>3V02-16.5-11.55</t>
  </si>
  <si>
    <t>3V0201720</t>
  </si>
  <si>
    <t>3V02-16.5-12.05</t>
  </si>
  <si>
    <t>3V0248000</t>
  </si>
  <si>
    <t>3V02-22.2-20</t>
  </si>
  <si>
    <t>3V0257300</t>
  </si>
  <si>
    <t>3V02-19.5-4</t>
  </si>
  <si>
    <t>3V0257400</t>
  </si>
  <si>
    <t>3V02-21-4</t>
  </si>
  <si>
    <t>3V0257500</t>
  </si>
  <si>
    <t>3V02-24-5.5</t>
  </si>
  <si>
    <t>3V0257600</t>
  </si>
  <si>
    <t>3V02-19.8-18</t>
  </si>
  <si>
    <t>3V0257900</t>
  </si>
  <si>
    <t>3V02-25-21.8</t>
  </si>
  <si>
    <t>3X1960200</t>
  </si>
  <si>
    <t>3X1960300</t>
  </si>
  <si>
    <t>3X1961100</t>
  </si>
  <si>
    <t>3X1961200</t>
  </si>
  <si>
    <t>3X1971400</t>
  </si>
  <si>
    <t>3X1971410</t>
  </si>
  <si>
    <t>3X1971420</t>
  </si>
  <si>
    <t>3X1971430</t>
  </si>
  <si>
    <t>3X1971440</t>
  </si>
  <si>
    <t>3X1971450</t>
  </si>
  <si>
    <t>3X1971700</t>
  </si>
  <si>
    <t>3X1971800</t>
  </si>
  <si>
    <t>3X1972000</t>
  </si>
  <si>
    <t>3X1972400</t>
  </si>
  <si>
    <t>3X1972500</t>
  </si>
  <si>
    <t>3X1973900</t>
  </si>
  <si>
    <t>3X1974400</t>
  </si>
  <si>
    <t>3X1974410</t>
  </si>
  <si>
    <t>3X1974420</t>
  </si>
  <si>
    <t>3X1974500</t>
  </si>
  <si>
    <t>3X1974510</t>
  </si>
  <si>
    <t>3X1974520</t>
  </si>
  <si>
    <t>3V0173600</t>
  </si>
  <si>
    <t>3V01-19-36</t>
  </si>
  <si>
    <t>MA VF</t>
  </si>
  <si>
    <r>
      <t>PRICE (</t>
    </r>
    <r>
      <rPr>
        <b/>
        <sz val="12"/>
        <color indexed="10"/>
        <rFont val="Times New Roman"/>
        <family val="1"/>
      </rPr>
      <t>usd</t>
    </r>
    <r>
      <rPr>
        <b/>
        <sz val="12"/>
        <rFont val="Times New Roman"/>
        <family val="1"/>
      </rPr>
      <t>)</t>
    </r>
  </si>
  <si>
    <t>0979-106</t>
  </si>
  <si>
    <t>0979-104</t>
  </si>
  <si>
    <t>0983-102</t>
  </si>
  <si>
    <t>0983-103</t>
  </si>
  <si>
    <t>0983-201</t>
  </si>
  <si>
    <t>0984-102</t>
  </si>
  <si>
    <t>0H79-22W</t>
  </si>
  <si>
    <t>0H79-24W</t>
  </si>
  <si>
    <t>0H79-29W</t>
  </si>
  <si>
    <t>0H79-09W</t>
  </si>
  <si>
    <t>0H79-08W</t>
  </si>
  <si>
    <t>0H79-20W</t>
  </si>
  <si>
    <t>0H79-21W</t>
  </si>
  <si>
    <t>0H79-42W</t>
  </si>
  <si>
    <t>0H79-07W</t>
  </si>
  <si>
    <t>0H95-05J</t>
  </si>
  <si>
    <t>0H95-06J</t>
  </si>
  <si>
    <t>9C34-06A</t>
  </si>
  <si>
    <t>9C34-08A</t>
  </si>
  <si>
    <t>3V0252710</t>
  </si>
  <si>
    <t>3V0252720</t>
  </si>
  <si>
    <t>3V0252730</t>
  </si>
  <si>
    <t>3V0265800</t>
  </si>
  <si>
    <t>3V0320630</t>
  </si>
  <si>
    <t>3V0320650</t>
  </si>
  <si>
    <t>3V0047015</t>
  </si>
  <si>
    <t>3V0047005</t>
  </si>
  <si>
    <t>3V01179X0</t>
  </si>
  <si>
    <t>3V02012B0</t>
  </si>
  <si>
    <t>3V0265610</t>
  </si>
  <si>
    <t>3V0298450</t>
  </si>
  <si>
    <t>3V0298460</t>
  </si>
  <si>
    <t>3V0320600</t>
  </si>
  <si>
    <t>4941-353</t>
  </si>
  <si>
    <t>0979-110</t>
  </si>
  <si>
    <t>0983-101</t>
  </si>
  <si>
    <t>0983-104</t>
  </si>
  <si>
    <t>0983-202</t>
  </si>
  <si>
    <t>0J04-22A</t>
  </si>
  <si>
    <t>0J04-23A</t>
  </si>
  <si>
    <t>0H95-01J</t>
  </si>
  <si>
    <t>4C25-85S</t>
  </si>
  <si>
    <t>1C55-01E</t>
  </si>
  <si>
    <t>1C55-02E</t>
  </si>
  <si>
    <t>1C55-03E</t>
  </si>
  <si>
    <t>1C55-04E</t>
  </si>
  <si>
    <t>1C55-05E</t>
  </si>
  <si>
    <t>9C34-04A</t>
  </si>
  <si>
    <t>chay</t>
  </si>
  <si>
    <t>CHAY</t>
  </si>
  <si>
    <t>7425-26.9-24.7</t>
  </si>
  <si>
    <t>7425-19-13.05</t>
  </si>
  <si>
    <t>7425-19-13.55</t>
  </si>
  <si>
    <t>7425-19-14.05</t>
  </si>
  <si>
    <t>7425-26.4-24.2</t>
  </si>
  <si>
    <t>7425-23.5-20.6</t>
  </si>
  <si>
    <t>7425-23.5-20.6-1</t>
  </si>
  <si>
    <t>3V00-15.5-13.55</t>
  </si>
  <si>
    <t>3V01-16.5-11.55</t>
  </si>
  <si>
    <t>3V02-18-11.55-B</t>
  </si>
  <si>
    <t>3V02527-16.5-11.55</t>
  </si>
  <si>
    <t>3V02527-16.5-10.05</t>
  </si>
  <si>
    <t>3V02527-16.5-10.55</t>
  </si>
  <si>
    <t>3V02-23-20.6-5</t>
  </si>
  <si>
    <t>3V02-25.5-23.1</t>
  </si>
  <si>
    <t>3V03-19.5-13.55</t>
  </si>
  <si>
    <t>3V03-19.5-14.55</t>
  </si>
  <si>
    <t>3V03-19.5-16.05</t>
  </si>
  <si>
    <t>VB02373</t>
  </si>
  <si>
    <t>VB02374</t>
  </si>
  <si>
    <t>VB02375</t>
  </si>
  <si>
    <t>VB02393</t>
  </si>
  <si>
    <t>VB02394</t>
  </si>
  <si>
    <t>VB02395</t>
  </si>
  <si>
    <t>VB02396</t>
  </si>
  <si>
    <t>VB02585</t>
  </si>
  <si>
    <t>VB02664</t>
  </si>
  <si>
    <t>VK02C50</t>
  </si>
  <si>
    <t>VB02401</t>
  </si>
  <si>
    <t>VB02402</t>
  </si>
  <si>
    <t>VB02403</t>
  </si>
  <si>
    <t>VB02398</t>
  </si>
  <si>
    <t>VB02399</t>
  </si>
  <si>
    <t>VB02400</t>
  </si>
  <si>
    <t>VB02405</t>
  </si>
  <si>
    <t>VB02407</t>
  </si>
  <si>
    <t>VB02397</t>
  </si>
  <si>
    <t>VB02406</t>
  </si>
  <si>
    <t>VB02426</t>
  </si>
  <si>
    <t>VB02429</t>
  </si>
  <si>
    <t>VK02C12</t>
  </si>
  <si>
    <t>VB02430</t>
  </si>
  <si>
    <t>VB02431</t>
  </si>
  <si>
    <t>VB02432</t>
  </si>
  <si>
    <t>VB02433</t>
  </si>
  <si>
    <t>VB02434</t>
  </si>
  <si>
    <t>VB02435</t>
  </si>
  <si>
    <t>VB02436</t>
  </si>
  <si>
    <t>VB02437</t>
  </si>
  <si>
    <t>VK02C28</t>
  </si>
  <si>
    <t>VK02C29</t>
  </si>
  <si>
    <t>VK02C30</t>
  </si>
  <si>
    <t>VK02C31</t>
  </si>
  <si>
    <t>VB02438</t>
  </si>
  <si>
    <t>VB02439</t>
  </si>
  <si>
    <t>VB02440</t>
  </si>
  <si>
    <t>VB02441</t>
  </si>
  <si>
    <t>VB02442</t>
  </si>
  <si>
    <t>VK02C32</t>
  </si>
  <si>
    <t>VK02C33</t>
  </si>
  <si>
    <t>VB02443</t>
  </si>
  <si>
    <t>VB02444</t>
  </si>
  <si>
    <t>VB02445</t>
  </si>
  <si>
    <t>VK02C34</t>
  </si>
  <si>
    <t>VK02C35</t>
  </si>
  <si>
    <t>VK02C36</t>
  </si>
  <si>
    <t>VK02C37</t>
  </si>
  <si>
    <t>VB02587</t>
  </si>
  <si>
    <t>VE04052</t>
  </si>
  <si>
    <t>VE04058</t>
  </si>
  <si>
    <t>VE04053</t>
  </si>
  <si>
    <t>VE04059</t>
  </si>
  <si>
    <t>VE04054</t>
  </si>
  <si>
    <t>VE04060</t>
  </si>
  <si>
    <t>VA04189</t>
  </si>
  <si>
    <t>VA04190</t>
  </si>
  <si>
    <t>VK04220</t>
  </si>
  <si>
    <t>VE03256</t>
  </si>
  <si>
    <t>VE03264</t>
  </si>
  <si>
    <t>VA04187</t>
  </si>
  <si>
    <t>VA04188</t>
  </si>
  <si>
    <t>VA03259</t>
  </si>
  <si>
    <t>VK03138</t>
  </si>
  <si>
    <t>VA03262</t>
  </si>
  <si>
    <t>VK03136</t>
  </si>
  <si>
    <t>VK03137</t>
  </si>
  <si>
    <t>VA03260</t>
  </si>
  <si>
    <t>VA03261</t>
  </si>
  <si>
    <t>VE03260</t>
  </si>
  <si>
    <t>VE03268</t>
  </si>
  <si>
    <t>VU03002</t>
  </si>
  <si>
    <t>VU03003</t>
  </si>
  <si>
    <t>VU03004</t>
  </si>
  <si>
    <t>VU03005</t>
  </si>
  <si>
    <t>VE02447</t>
  </si>
  <si>
    <t>VE02448</t>
  </si>
  <si>
    <t>VK02D02</t>
  </si>
  <si>
    <t>VK02A89</t>
  </si>
  <si>
    <t>VK02D04</t>
  </si>
  <si>
    <t>VK03151</t>
  </si>
  <si>
    <t>VK03153</t>
  </si>
  <si>
    <t>VK03155</t>
  </si>
  <si>
    <t>VK02A90</t>
  </si>
  <si>
    <t>VK02A93</t>
  </si>
  <si>
    <t>VK02A95</t>
  </si>
  <si>
    <t>VK02A96</t>
  </si>
  <si>
    <t>VK02D05</t>
  </si>
  <si>
    <t>VK03154</t>
  </si>
  <si>
    <t>VK03156</t>
  </si>
  <si>
    <t>VK02A94</t>
  </si>
  <si>
    <t>VK03152</t>
  </si>
  <si>
    <t>VK03157</t>
  </si>
  <si>
    <t>VK03158</t>
  </si>
  <si>
    <t>VK02F54</t>
  </si>
  <si>
    <t>VK02F55</t>
  </si>
  <si>
    <t>VK02F57</t>
  </si>
  <si>
    <t>VK02F56</t>
  </si>
  <si>
    <t>VB02484</t>
  </si>
  <si>
    <t>VB02483</t>
  </si>
  <si>
    <t>VK02D52</t>
  </si>
  <si>
    <t>VK02B37</t>
  </si>
  <si>
    <t>VU03026</t>
  </si>
  <si>
    <t>VA03249</t>
  </si>
  <si>
    <t>VK02D03</t>
  </si>
  <si>
    <t>VK02A91</t>
  </si>
  <si>
    <t>VK02D06</t>
  </si>
  <si>
    <t>VK02A92</t>
  </si>
  <si>
    <t>VE04057</t>
  </si>
  <si>
    <t>VE04063</t>
  </si>
  <si>
    <t>VE04056</t>
  </si>
  <si>
    <t>VE04062</t>
  </si>
  <si>
    <t>VK02D07</t>
  </si>
  <si>
    <t>VK02C46</t>
  </si>
  <si>
    <t>VK02C47</t>
  </si>
  <si>
    <t>VK02C48</t>
  </si>
  <si>
    <t>VK02F34</t>
  </si>
  <si>
    <t>VK02F35</t>
  </si>
  <si>
    <t>VK02F36</t>
  </si>
  <si>
    <t>VK02F37</t>
  </si>
  <si>
    <t>VE02A09</t>
  </si>
  <si>
    <t>VE02A10</t>
  </si>
  <si>
    <t>VE02A11</t>
  </si>
  <si>
    <t>VE02A12</t>
  </si>
  <si>
    <t>VK02E93</t>
  </si>
  <si>
    <t>VK02E95</t>
  </si>
  <si>
    <t>VK02E97</t>
  </si>
  <si>
    <t>VU03014</t>
  </si>
  <si>
    <t>VU03015</t>
  </si>
  <si>
    <t>VU03016</t>
  </si>
  <si>
    <t>VU03008</t>
  </si>
  <si>
    <t>VU03009</t>
  </si>
  <si>
    <t>VU03007</t>
  </si>
  <si>
    <t>VU03012</t>
  </si>
  <si>
    <t>VU03013</t>
  </si>
  <si>
    <t>VU03017</t>
  </si>
  <si>
    <t>VK02E92</t>
  </si>
  <si>
    <t>VK02E94</t>
  </si>
  <si>
    <t>VK02E96</t>
  </si>
  <si>
    <t>VB02485</t>
  </si>
  <si>
    <t>VB02486</t>
  </si>
  <si>
    <t>VB02487</t>
  </si>
  <si>
    <t>VB02488</t>
  </si>
  <si>
    <t>VK02F38</t>
  </si>
  <si>
    <t>VK02F39</t>
  </si>
  <si>
    <t>VA03253</t>
  </si>
  <si>
    <t>VA03254</t>
  </si>
  <si>
    <t>VA03255</t>
  </si>
  <si>
    <t>VA03250</t>
  </si>
  <si>
    <t>VA03251</t>
  </si>
  <si>
    <t>VA03252</t>
  </si>
  <si>
    <t>VA03257</t>
  </si>
  <si>
    <t>VA03258</t>
  </si>
  <si>
    <t>VK02D13</t>
  </si>
  <si>
    <t>VU02139</t>
  </si>
  <si>
    <t>VU02140</t>
  </si>
  <si>
    <t>VU02142</t>
  </si>
  <si>
    <t>VE02452</t>
  </si>
  <si>
    <t>VE02453</t>
  </si>
  <si>
    <t>VE02454</t>
  </si>
  <si>
    <t>VE02455</t>
  </si>
  <si>
    <t>VE02456</t>
  </si>
  <si>
    <t>VU03032</t>
  </si>
  <si>
    <t>VA04208</t>
  </si>
  <si>
    <t>VA04209</t>
  </si>
  <si>
    <t>VA04210</t>
  </si>
  <si>
    <t>VA04211</t>
  </si>
  <si>
    <t>VA04212</t>
  </si>
  <si>
    <t>0974-101</t>
  </si>
  <si>
    <t>0974-103</t>
  </si>
  <si>
    <t>0974-202</t>
  </si>
  <si>
    <t>0977-101</t>
  </si>
  <si>
    <t>0977-102</t>
  </si>
  <si>
    <t>0977-105</t>
  </si>
  <si>
    <t>0977-107</t>
  </si>
  <si>
    <t>7945-421</t>
  </si>
  <si>
    <t>7944-118</t>
  </si>
  <si>
    <t>0979-105</t>
  </si>
  <si>
    <t>0979-102</t>
  </si>
  <si>
    <t>0979-103</t>
  </si>
  <si>
    <t>0979-108</t>
  </si>
  <si>
    <t>0979-101</t>
  </si>
  <si>
    <t>0979-109</t>
  </si>
  <si>
    <t>0982-102</t>
  </si>
  <si>
    <t>0982-106</t>
  </si>
  <si>
    <t>0984-103</t>
  </si>
  <si>
    <t>0984-104</t>
  </si>
  <si>
    <t>0984-101</t>
  </si>
  <si>
    <t>4943-343</t>
  </si>
  <si>
    <t>0C08-01S</t>
  </si>
  <si>
    <t>0C08-02S</t>
  </si>
  <si>
    <t>0C08-03S</t>
  </si>
  <si>
    <t>0G45-20E</t>
  </si>
  <si>
    <t>PA43-03A</t>
  </si>
  <si>
    <t>PA43-22A</t>
  </si>
  <si>
    <t>PA43-20A</t>
  </si>
  <si>
    <t>PA43-02A</t>
  </si>
  <si>
    <t>PA43-06A</t>
  </si>
  <si>
    <t>PA43-07A</t>
  </si>
  <si>
    <t>0H56-02W</t>
  </si>
  <si>
    <t>0H56-03W</t>
  </si>
  <si>
    <t>0H56-04W</t>
  </si>
  <si>
    <t>0H56-06W</t>
  </si>
  <si>
    <t>0H75-02F</t>
  </si>
  <si>
    <t>0H75-04F</t>
  </si>
  <si>
    <t>0H89-01S</t>
  </si>
  <si>
    <t>0H89-05S</t>
  </si>
  <si>
    <t>0H89-11S</t>
  </si>
  <si>
    <t>0H89-13S</t>
  </si>
  <si>
    <t>0H89-15S</t>
  </si>
  <si>
    <t>0H89-02S</t>
  </si>
  <si>
    <t>0H89-06S</t>
  </si>
  <si>
    <t>0H89-14S</t>
  </si>
  <si>
    <t>0H89-16S</t>
  </si>
  <si>
    <t>0H89-12S</t>
  </si>
  <si>
    <t>0H89-17S</t>
  </si>
  <si>
    <t>0H89-18S</t>
  </si>
  <si>
    <t>0H20-11S</t>
  </si>
  <si>
    <t>0H20-12S</t>
  </si>
  <si>
    <t>0H20-14S</t>
  </si>
  <si>
    <t>0H20-13S</t>
  </si>
  <si>
    <t>0H95-03J</t>
  </si>
  <si>
    <t>1C21-51S</t>
  </si>
  <si>
    <t>7C46-07W</t>
  </si>
  <si>
    <t>0G71-07A</t>
  </si>
  <si>
    <t>0H89-03S</t>
  </si>
  <si>
    <t>0H89-07S</t>
  </si>
  <si>
    <t>0H89-04S</t>
  </si>
  <si>
    <t>0J08-44E</t>
  </si>
  <si>
    <t>0J08-29E</t>
  </si>
  <si>
    <t>0H89-08S</t>
  </si>
  <si>
    <t>6C16-48S</t>
  </si>
  <si>
    <t>6C16-49S</t>
  </si>
  <si>
    <t>6C16-59S</t>
  </si>
  <si>
    <t>6C19-01S</t>
  </si>
  <si>
    <t>6C19-02S</t>
  </si>
  <si>
    <t>6C19-03S</t>
  </si>
  <si>
    <t>6C19-05S</t>
  </si>
  <si>
    <t>PB83-02E</t>
  </si>
  <si>
    <t>PB83-03E</t>
  </si>
  <si>
    <t>PB83-04E</t>
  </si>
  <si>
    <t>PB83-05E</t>
  </si>
  <si>
    <t>4C25-45S</t>
  </si>
  <si>
    <t>4C25-65S</t>
  </si>
  <si>
    <t>4C25-43S</t>
  </si>
  <si>
    <t>4C25-63S</t>
  </si>
  <si>
    <t>4C25-83S</t>
  </si>
  <si>
    <t>0H95-04J</t>
  </si>
  <si>
    <t>6C19-08S</t>
  </si>
  <si>
    <t>6C19-09S</t>
  </si>
  <si>
    <t>0J03-04A</t>
  </si>
  <si>
    <t>0J03-05A</t>
  </si>
  <si>
    <t>0J03-01A</t>
  </si>
  <si>
    <t>0J03-02A</t>
  </si>
  <si>
    <t>0J03-03A</t>
  </si>
  <si>
    <t>0J03-13A</t>
  </si>
  <si>
    <t>0J03-17A</t>
  </si>
  <si>
    <t>0J11-20S</t>
  </si>
  <si>
    <t>7C70-02W</t>
  </si>
  <si>
    <t>7C70-03W</t>
  </si>
  <si>
    <t>7C70-05W</t>
  </si>
  <si>
    <t>9C27-06W</t>
  </si>
  <si>
    <t>9C34-05A</t>
  </si>
  <si>
    <t>9C34-07A</t>
  </si>
  <si>
    <t>3V0047010</t>
  </si>
  <si>
    <t>3V0047045</t>
  </si>
  <si>
    <t>3V0047095</t>
  </si>
  <si>
    <t>3V00470A5</t>
  </si>
  <si>
    <t>3V00470B5</t>
  </si>
  <si>
    <t>3V0117900</t>
  </si>
  <si>
    <t>3V0117920</t>
  </si>
  <si>
    <t>3V01179M0</t>
  </si>
  <si>
    <t>3V01179N5</t>
  </si>
  <si>
    <t>3V01179W0</t>
  </si>
  <si>
    <t>3V0201290</t>
  </si>
  <si>
    <t>3V02012A0</t>
  </si>
  <si>
    <t>3V02012C0</t>
  </si>
  <si>
    <t>3V02012P0</t>
  </si>
  <si>
    <t>3V0207560</t>
  </si>
  <si>
    <t>3V0207570</t>
  </si>
  <si>
    <t>3V0207580</t>
  </si>
  <si>
    <t>3V0240150</t>
  </si>
  <si>
    <t>3V0254500</t>
  </si>
  <si>
    <t>3V0265600</t>
  </si>
  <si>
    <t>3V0265630</t>
  </si>
  <si>
    <t>3V0270000</t>
  </si>
  <si>
    <t>3V0270010</t>
  </si>
  <si>
    <t>3V0270020</t>
  </si>
  <si>
    <t>3V0270210</t>
  </si>
  <si>
    <t>3V0271800</t>
  </si>
  <si>
    <t>3V0271810</t>
  </si>
  <si>
    <t>3V0271820</t>
  </si>
  <si>
    <t>3V0272300</t>
  </si>
  <si>
    <t>3V0272330</t>
  </si>
  <si>
    <t>3V0274910</t>
  </si>
  <si>
    <t>3V0275700</t>
  </si>
  <si>
    <t>3V0280500</t>
  </si>
  <si>
    <t>3V0298420</t>
  </si>
  <si>
    <t>3V0298470</t>
  </si>
  <si>
    <t>3V0301310</t>
  </si>
  <si>
    <t>3V0320620</t>
  </si>
  <si>
    <t>3V0320640</t>
  </si>
  <si>
    <t>chau</t>
  </si>
  <si>
    <t>chay 200</t>
  </si>
  <si>
    <t>TOCHIGI</t>
  </si>
  <si>
    <t>CHẢY 130</t>
  </si>
  <si>
    <t>CHAY 150PCS</t>
  </si>
  <si>
    <t>CAY</t>
  </si>
  <si>
    <t>COI</t>
  </si>
  <si>
    <t>QCA</t>
  </si>
  <si>
    <t>TOCHGHI</t>
  </si>
  <si>
    <t>7425-14.4-13</t>
  </si>
  <si>
    <t>7425-19-12.55</t>
  </si>
  <si>
    <t>7425-19-12.05</t>
  </si>
  <si>
    <t>7425-19-15.05</t>
  </si>
  <si>
    <t>7425-21-18</t>
  </si>
  <si>
    <t>7425-21.6-17.9</t>
  </si>
  <si>
    <t>7425-21.85-19.8</t>
  </si>
  <si>
    <t>3V00-23-10.2</t>
  </si>
  <si>
    <t>3V00-23-10.8</t>
  </si>
  <si>
    <t>3V00-23-11.1</t>
  </si>
  <si>
    <t>3V00-15.5-13.55-1</t>
  </si>
  <si>
    <t>3V00-15.5-11.05</t>
  </si>
  <si>
    <t>3V00-15.5-9.8</t>
  </si>
  <si>
    <t>3V00-15.5-11.75</t>
  </si>
  <si>
    <t>3V00-15.5-12.75</t>
  </si>
  <si>
    <t>3V00-16.5-9.55</t>
  </si>
  <si>
    <t>3V01-16.5-10.55-2</t>
  </si>
  <si>
    <t>3V01-16.5-11.05-M</t>
  </si>
  <si>
    <t>3V01-16.5-11.55-N5</t>
  </si>
  <si>
    <t>3V01-16.5-13.05-W</t>
  </si>
  <si>
    <t>3V02-18-11.55-A</t>
  </si>
  <si>
    <t>3V02-18-12.05-C</t>
  </si>
  <si>
    <t>3V02-18-12.05-P</t>
  </si>
  <si>
    <t>3V02-25.4-22.65-6</t>
  </si>
  <si>
    <t>3V02-25.4-24-8</t>
  </si>
  <si>
    <t>3V02-24.4-18-5</t>
  </si>
  <si>
    <t>3V02545-24-21.2</t>
  </si>
  <si>
    <t>3V02-31-22.6</t>
  </si>
  <si>
    <t>3V02-31-23</t>
  </si>
  <si>
    <t>3V02-31-24</t>
  </si>
  <si>
    <t>3V02-27.4-26</t>
  </si>
  <si>
    <t>3V02-19.4-13.55</t>
  </si>
  <si>
    <t>3V02-19.4-12.55</t>
  </si>
  <si>
    <t>3V02-19.4-13.05</t>
  </si>
  <si>
    <t>3V02-16.5-13.05</t>
  </si>
  <si>
    <t>3V02-16.5-12.55</t>
  </si>
  <si>
    <t>3V02-29-26.85</t>
  </si>
  <si>
    <t>3V02757-25-22</t>
  </si>
  <si>
    <t>3V02805-26.2-22</t>
  </si>
  <si>
    <t>3V02-26-21.1</t>
  </si>
  <si>
    <t>3V02-29-23</t>
  </si>
  <si>
    <t>3V03-27-23.05</t>
  </si>
  <si>
    <t>3V03-19.5-14.05</t>
  </si>
  <si>
    <t>3V03-19.5-15.55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</si>
</sst>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_(* #,##0.000_);_(* \(#,##0.000\);_(* &quot;-&quot;??_);_(@_)"/>
    <numFmt numFmtId="167" formatCode="_(* #,##0\ &quot;%&quot;_);_(* \(#,##0\ &quot;%&quot;\);_(* &quot;-&quot;??_);_(@_)"/>
    <numFmt numFmtId="168" formatCode="_(* #,##0.0\ &quot;%&quot;_);_(* \(#,##0.0\ &quot;%&quot;\);_(* &quot;-&quot;??_);_(@_)"/>
    <numFmt numFmtId="169" formatCode="0.0000"/>
    <numFmt numFmtId="170" formatCode="mm/yyyy"/>
    <numFmt numFmtId="171" formatCode="\ "/>
    <numFmt numFmtId="172" formatCode="#,##0.00;[Red]#,##0.00"/>
    <numFmt numFmtId="173" formatCode="[$-409]d\-mmm\-yy;@"/>
    <numFmt numFmtId="174" formatCode="#,##0.0000"/>
    <numFmt numFmtId="175" formatCode="[$-409]d\-mmm;@"/>
  </numFmts>
  <fonts count="34" x14ac:knownFonts="1">
    <font>
      <sz val="11"/>
      <color theme="1"/>
      <name val="Times New Roman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0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10"/>
      <name val="Times New Roman"/>
      <family val="1"/>
    </font>
    <font>
      <sz val="11"/>
      <color theme="1"/>
      <name val="Times New Roman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  <scheme val="minor"/>
    </font>
    <font>
      <b/>
      <sz val="10"/>
      <name val="Times New Roman"/>
      <family val="1"/>
      <scheme val="minor"/>
    </font>
    <font>
      <sz val="10"/>
      <name val="Times New Roman"/>
      <family val="1"/>
      <scheme val="minor"/>
    </font>
    <font>
      <sz val="10"/>
      <color theme="1"/>
      <name val="Times New Roman"/>
      <family val="1"/>
      <scheme val="minor"/>
    </font>
    <font>
      <b/>
      <sz val="10"/>
      <color theme="1"/>
      <name val="Times New Roman"/>
      <family val="1"/>
      <scheme val="minor"/>
    </font>
    <font>
      <b/>
      <sz val="10"/>
      <color rgb="FF0000FF"/>
      <name val="Times New Roman"/>
      <family val="1"/>
      <scheme val="minor"/>
    </font>
    <font>
      <b/>
      <sz val="9"/>
      <color rgb="FF000000"/>
      <name val="Verdana"/>
      <family val="2"/>
    </font>
    <font>
      <b/>
      <u/>
      <sz val="11"/>
      <color theme="1"/>
      <name val="Times New Roman"/>
      <family val="1"/>
      <scheme val="minor"/>
    </font>
    <font>
      <sz val="11"/>
      <color rgb="FF000000"/>
      <name val="Verdana"/>
      <family val="2"/>
    </font>
    <font>
      <sz val="11"/>
      <color rgb="FF000000"/>
      <name val="Times New Roman"/>
      <family val="1"/>
      <charset val="163"/>
      <scheme val="minor"/>
    </font>
    <font>
      <b/>
      <sz val="11"/>
      <color theme="1"/>
      <name val="Times New Roman"/>
      <family val="1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  <scheme val="minor"/>
    </font>
    <font>
      <b/>
      <sz val="12"/>
      <color rgb="FF0000FF"/>
      <name val="Times New Roman"/>
      <family val="1"/>
      <scheme val="minor"/>
    </font>
    <font>
      <b/>
      <sz val="12"/>
      <name val="Times New Roman"/>
      <family val="1"/>
      <scheme val="minor"/>
    </font>
    <font>
      <sz val="12"/>
      <name val="Times New Roman"/>
      <family val="1"/>
      <scheme val="minor"/>
    </font>
    <font>
      <sz val="12"/>
      <color theme="1"/>
      <name val="Times New Roman"/>
      <family val="1"/>
      <scheme val="minor"/>
    </font>
    <font>
      <sz val="12"/>
      <color theme="1"/>
      <name val="Times New Roman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u/>
      <sz val="12"/>
      <color theme="1"/>
      <name val="Times New Roman"/>
      <family val="1"/>
    </font>
    <font>
      <b/>
      <sz val="18"/>
      <name val="Times New Roman"/>
      <family val="1"/>
    </font>
    <font>
      <b/>
      <sz val="11"/>
      <color rgb="FFFF0000"/>
      <name val="Times New Roman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0" fontId="3" fillId="0" borderId="0"/>
  </cellStyleXfs>
  <cellXfs count="229">
    <xf numFmtId="0" fontId="0" fillId="0" borderId="0" xfId="0"/>
    <xf numFmtId="0" fontId="0" fillId="0" borderId="1" xfId="0" applyBorder="1"/>
    <xf numFmtId="166" fontId="10" fillId="0" borderId="1" xfId="1" applyNumberFormat="1" applyFont="1" applyFill="1" applyBorder="1" applyAlignment="1">
      <alignment horizontal="center" vertical="center" wrapText="1"/>
    </xf>
    <xf numFmtId="165" fontId="10" fillId="0" borderId="1" xfId="1" applyNumberFormat="1" applyFont="1" applyFill="1" applyBorder="1" applyAlignment="1">
      <alignment horizontal="center" vertical="center" wrapText="1"/>
    </xf>
    <xf numFmtId="167" fontId="10" fillId="0" borderId="1" xfId="1" applyNumberFormat="1" applyFont="1" applyFill="1" applyBorder="1" applyAlignment="1">
      <alignment horizontal="center" vertical="center" wrapText="1"/>
    </xf>
    <xf numFmtId="1" fontId="11" fillId="0" borderId="1" xfId="0" applyNumberFormat="1" applyFont="1" applyFill="1" applyBorder="1" applyAlignment="1">
      <alignment horizontal="center" vertical="center"/>
    </xf>
    <xf numFmtId="168" fontId="11" fillId="0" borderId="1" xfId="1" applyNumberFormat="1" applyFont="1" applyFill="1" applyBorder="1" applyAlignment="1">
      <alignment horizontal="center"/>
    </xf>
    <xf numFmtId="49" fontId="11" fillId="0" borderId="1" xfId="0" applyNumberFormat="1" applyFont="1" applyFill="1" applyBorder="1" applyAlignment="1">
      <alignment horizontal="left" vertical="center" wrapText="1"/>
    </xf>
    <xf numFmtId="49" fontId="12" fillId="0" borderId="1" xfId="0" applyNumberFormat="1" applyFont="1" applyFill="1" applyBorder="1" applyAlignment="1">
      <alignment horizontal="left" vertical="center"/>
    </xf>
    <xf numFmtId="165" fontId="13" fillId="0" borderId="1" xfId="1" applyNumberFormat="1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vertical="center"/>
    </xf>
    <xf numFmtId="169" fontId="14" fillId="0" borderId="1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Fill="1" applyBorder="1" applyAlignment="1">
      <alignment horizontal="center"/>
    </xf>
    <xf numFmtId="1" fontId="12" fillId="0" borderId="0" xfId="0" applyNumberFormat="1" applyFont="1" applyFill="1" applyAlignment="1">
      <alignment horizontal="center"/>
    </xf>
    <xf numFmtId="0" fontId="12" fillId="0" borderId="0" xfId="0" applyFont="1" applyFill="1"/>
    <xf numFmtId="165" fontId="13" fillId="0" borderId="1" xfId="1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165" fontId="12" fillId="0" borderId="1" xfId="1" applyNumberFormat="1" applyFont="1" applyFill="1" applyBorder="1" applyAlignment="1">
      <alignment vertical="center"/>
    </xf>
    <xf numFmtId="0" fontId="12" fillId="0" borderId="0" xfId="0" applyFont="1" applyFill="1" applyAlignment="1">
      <alignment vertical="center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wrapText="1"/>
    </xf>
    <xf numFmtId="0" fontId="12" fillId="0" borderId="0" xfId="0" applyFont="1" applyFill="1" applyBorder="1" applyAlignment="1">
      <alignment horizontal="center" vertical="top"/>
    </xf>
    <xf numFmtId="49" fontId="12" fillId="0" borderId="0" xfId="0" applyNumberFormat="1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left"/>
    </xf>
    <xf numFmtId="165" fontId="13" fillId="0" borderId="0" xfId="1" applyNumberFormat="1" applyFont="1" applyFill="1" applyBorder="1" applyAlignment="1">
      <alignment horizontal="left"/>
    </xf>
    <xf numFmtId="169" fontId="14" fillId="0" borderId="0" xfId="0" applyNumberFormat="1" applyFont="1" applyFill="1" applyBorder="1" applyAlignment="1">
      <alignment horizontal="center"/>
    </xf>
    <xf numFmtId="0" fontId="12" fillId="0" borderId="0" xfId="0" applyFont="1" applyFill="1" applyBorder="1"/>
    <xf numFmtId="165" fontId="12" fillId="0" borderId="0" xfId="1" applyNumberFormat="1" applyFont="1" applyFill="1" applyBorder="1"/>
    <xf numFmtId="0" fontId="12" fillId="0" borderId="0" xfId="0" applyFont="1" applyFill="1" applyAlignment="1">
      <alignment wrapText="1"/>
    </xf>
    <xf numFmtId="0" fontId="12" fillId="0" borderId="0" xfId="0" applyFont="1" applyFill="1" applyAlignment="1">
      <alignment horizontal="center" vertical="top"/>
    </xf>
    <xf numFmtId="49" fontId="12" fillId="0" borderId="0" xfId="0" applyNumberFormat="1" applyFont="1" applyFill="1" applyAlignment="1">
      <alignment horizontal="left" vertical="top"/>
    </xf>
    <xf numFmtId="0" fontId="12" fillId="0" borderId="0" xfId="0" applyFont="1" applyFill="1" applyAlignment="1">
      <alignment horizontal="left"/>
    </xf>
    <xf numFmtId="165" fontId="13" fillId="0" borderId="0" xfId="1" applyNumberFormat="1" applyFont="1" applyFill="1" applyAlignment="1">
      <alignment horizontal="left"/>
    </xf>
    <xf numFmtId="169" fontId="14" fillId="0" borderId="0" xfId="0" applyNumberFormat="1" applyFont="1" applyFill="1" applyAlignment="1">
      <alignment horizontal="center"/>
    </xf>
    <xf numFmtId="165" fontId="12" fillId="0" borderId="0" xfId="1" applyNumberFormat="1" applyFont="1" applyFill="1"/>
    <xf numFmtId="49" fontId="11" fillId="3" borderId="1" xfId="0" applyNumberFormat="1" applyFont="1" applyFill="1" applyBorder="1" applyAlignment="1">
      <alignment horizontal="left" vertical="center" wrapText="1"/>
    </xf>
    <xf numFmtId="49" fontId="12" fillId="3" borderId="1" xfId="0" applyNumberFormat="1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 wrapText="1"/>
    </xf>
    <xf numFmtId="164" fontId="10" fillId="3" borderId="1" xfId="1" applyNumberFormat="1" applyFont="1" applyFill="1" applyBorder="1" applyAlignment="1">
      <alignment horizontal="center" vertical="center" wrapText="1"/>
    </xf>
    <xf numFmtId="164" fontId="12" fillId="3" borderId="1" xfId="1" applyNumberFormat="1" applyFont="1" applyFill="1" applyBorder="1" applyAlignment="1">
      <alignment vertical="center"/>
    </xf>
    <xf numFmtId="164" fontId="12" fillId="3" borderId="0" xfId="1" applyNumberFormat="1" applyFont="1" applyFill="1" applyBorder="1"/>
    <xf numFmtId="164" fontId="12" fillId="3" borderId="0" xfId="1" applyNumberFormat="1" applyFont="1" applyFill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14" fontId="15" fillId="0" borderId="0" xfId="0" applyNumberFormat="1" applyFont="1"/>
    <xf numFmtId="170" fontId="0" fillId="0" borderId="0" xfId="0" applyNumberFormat="1"/>
    <xf numFmtId="3" fontId="0" fillId="0" borderId="0" xfId="0" applyNumberFormat="1"/>
    <xf numFmtId="3" fontId="11" fillId="0" borderId="1" xfId="0" applyNumberFormat="1" applyFont="1" applyFill="1" applyBorder="1" applyAlignment="1">
      <alignment horizontal="left" vertical="center" wrapText="1"/>
    </xf>
    <xf numFmtId="170" fontId="16" fillId="0" borderId="0" xfId="0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Fill="1" applyAlignment="1">
      <alignment horizontal="center"/>
    </xf>
    <xf numFmtId="0" fontId="11" fillId="0" borderId="1" xfId="0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/>
    </xf>
    <xf numFmtId="3" fontId="11" fillId="0" borderId="1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right"/>
    </xf>
    <xf numFmtId="0" fontId="11" fillId="0" borderId="1" xfId="0" applyNumberFormat="1" applyFont="1" applyFill="1" applyBorder="1" applyAlignment="1">
      <alignment horizontal="right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171" fontId="0" fillId="0" borderId="0" xfId="0" applyNumberFormat="1"/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3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center" vertical="top"/>
    </xf>
    <xf numFmtId="3" fontId="0" fillId="0" borderId="0" xfId="0" applyNumberFormat="1" applyAlignment="1">
      <alignment vertical="top"/>
    </xf>
    <xf numFmtId="49" fontId="0" fillId="0" borderId="1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12" fillId="0" borderId="2" xfId="0" applyNumberFormat="1" applyFont="1" applyFill="1" applyBorder="1" applyAlignment="1">
      <alignment horizontal="left" vertical="center"/>
    </xf>
    <xf numFmtId="0" fontId="11" fillId="0" borderId="2" xfId="0" applyNumberFormat="1" applyFont="1" applyFill="1" applyBorder="1" applyAlignment="1">
      <alignment horizontal="center" vertical="center" wrapText="1"/>
    </xf>
    <xf numFmtId="0" fontId="11" fillId="0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Fill="1" applyBorder="1" applyAlignment="1">
      <alignment horizontal="right" vertical="center" wrapText="1"/>
    </xf>
    <xf numFmtId="3" fontId="11" fillId="0" borderId="2" xfId="0" applyNumberFormat="1" applyFont="1" applyFill="1" applyBorder="1" applyAlignment="1">
      <alignment horizontal="left" vertical="center" wrapText="1"/>
    </xf>
    <xf numFmtId="171" fontId="0" fillId="0" borderId="1" xfId="0" applyNumberFormat="1" applyBorder="1"/>
    <xf numFmtId="0" fontId="8" fillId="0" borderId="1" xfId="0" applyFont="1" applyBorder="1" applyAlignment="1">
      <alignment horizontal="left"/>
    </xf>
    <xf numFmtId="170" fontId="0" fillId="0" borderId="0" xfId="0" applyNumberFormat="1" applyFont="1"/>
    <xf numFmtId="14" fontId="17" fillId="0" borderId="0" xfId="0" applyNumberFormat="1" applyFont="1"/>
    <xf numFmtId="170" fontId="18" fillId="0" borderId="0" xfId="0" applyNumberFormat="1" applyFont="1"/>
    <xf numFmtId="14" fontId="18" fillId="0" borderId="0" xfId="0" applyNumberFormat="1" applyFont="1"/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12" fillId="0" borderId="1" xfId="0" applyNumberFormat="1" applyFont="1" applyFill="1" applyBorder="1" applyAlignment="1">
      <alignment horizontal="left" vertical="center"/>
    </xf>
    <xf numFmtId="0" fontId="5" fillId="0" borderId="1" xfId="4" applyFont="1" applyFill="1" applyBorder="1" applyAlignment="1" applyProtection="1">
      <alignment horizontal="center" vertical="center" wrapText="1"/>
      <protection locked="0"/>
    </xf>
    <xf numFmtId="173" fontId="5" fillId="0" borderId="1" xfId="4" applyNumberFormat="1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5" fillId="0" borderId="1" xfId="4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right" vertical="top"/>
    </xf>
    <xf numFmtId="14" fontId="11" fillId="0" borderId="1" xfId="0" applyNumberFormat="1" applyFont="1" applyFill="1" applyBorder="1" applyAlignment="1">
      <alignment horizontal="right" vertical="center" wrapText="1"/>
    </xf>
    <xf numFmtId="14" fontId="0" fillId="0" borderId="0" xfId="0" applyNumberFormat="1" applyAlignment="1">
      <alignment horizontal="right"/>
    </xf>
    <xf numFmtId="165" fontId="21" fillId="0" borderId="1" xfId="1" applyNumberFormat="1" applyFont="1" applyFill="1" applyBorder="1" applyAlignment="1">
      <alignment horizontal="center" vertical="center" wrapText="1"/>
    </xf>
    <xf numFmtId="169" fontId="22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66" fontId="23" fillId="0" borderId="1" xfId="1" applyNumberFormat="1" applyFont="1" applyFill="1" applyBorder="1" applyAlignment="1">
      <alignment horizontal="center" vertical="center" wrapText="1"/>
    </xf>
    <xf numFmtId="164" fontId="23" fillId="2" borderId="1" xfId="1" applyNumberFormat="1" applyFont="1" applyFill="1" applyBorder="1" applyAlignment="1">
      <alignment horizontal="center" vertical="center" wrapText="1"/>
    </xf>
    <xf numFmtId="165" fontId="23" fillId="0" borderId="1" xfId="1" applyNumberFormat="1" applyFont="1" applyFill="1" applyBorder="1" applyAlignment="1">
      <alignment horizontal="center" vertical="center" wrapText="1"/>
    </xf>
    <xf numFmtId="167" fontId="23" fillId="0" borderId="1" xfId="1" applyNumberFormat="1" applyFont="1" applyFill="1" applyBorder="1" applyAlignment="1">
      <alignment horizontal="center" vertical="center" wrapText="1"/>
    </xf>
    <xf numFmtId="43" fontId="23" fillId="0" borderId="1" xfId="1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center"/>
    </xf>
    <xf numFmtId="1" fontId="24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 wrapText="1"/>
    </xf>
    <xf numFmtId="168" fontId="24" fillId="0" borderId="1" xfId="1" applyNumberFormat="1" applyFont="1" applyFill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Border="1" applyAlignment="1">
      <alignment horizontal="center"/>
    </xf>
    <xf numFmtId="168" fontId="24" fillId="0" borderId="0" xfId="1" applyNumberFormat="1" applyFont="1" applyFill="1" applyBorder="1" applyAlignment="1">
      <alignment horizontal="center"/>
    </xf>
    <xf numFmtId="1" fontId="25" fillId="0" borderId="0" xfId="0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 vertical="top"/>
    </xf>
    <xf numFmtId="169" fontId="22" fillId="0" borderId="0" xfId="0" applyNumberFormat="1" applyFont="1" applyFill="1" applyBorder="1" applyAlignment="1">
      <alignment horizontal="center"/>
    </xf>
    <xf numFmtId="169" fontId="22" fillId="0" borderId="1" xfId="0" applyNumberFormat="1" applyFont="1" applyFill="1" applyBorder="1" applyAlignment="1">
      <alignment horizontal="center"/>
    </xf>
    <xf numFmtId="169" fontId="22" fillId="3" borderId="1" xfId="0" applyNumberFormat="1" applyFont="1" applyFill="1" applyBorder="1" applyAlignment="1">
      <alignment horizontal="center"/>
    </xf>
    <xf numFmtId="1" fontId="25" fillId="0" borderId="0" xfId="0" applyNumberFormat="1" applyFont="1" applyFill="1" applyAlignment="1">
      <alignment horizontal="center"/>
    </xf>
    <xf numFmtId="0" fontId="25" fillId="0" borderId="0" xfId="0" applyFont="1" applyFill="1" applyAlignment="1">
      <alignment horizontal="center" vertical="top"/>
    </xf>
    <xf numFmtId="169" fontId="22" fillId="0" borderId="0" xfId="0" applyNumberFormat="1" applyFont="1" applyFill="1" applyAlignment="1">
      <alignment horizontal="center"/>
    </xf>
    <xf numFmtId="0" fontId="25" fillId="0" borderId="0" xfId="0" applyFont="1" applyFill="1" applyAlignment="1">
      <alignment horizontal="center"/>
    </xf>
    <xf numFmtId="49" fontId="25" fillId="0" borderId="3" xfId="0" applyNumberFormat="1" applyFont="1" applyFill="1" applyBorder="1" applyAlignment="1">
      <alignment horizontal="center" vertical="center"/>
    </xf>
    <xf numFmtId="49" fontId="24" fillId="0" borderId="1" xfId="0" applyNumberFormat="1" applyFont="1" applyFill="1" applyBorder="1" applyAlignment="1">
      <alignment horizontal="center" vertical="center" wrapText="1"/>
    </xf>
    <xf numFmtId="165" fontId="21" fillId="0" borderId="4" xfId="1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164" fontId="25" fillId="2" borderId="1" xfId="1" applyNumberFormat="1" applyFont="1" applyFill="1" applyBorder="1" applyAlignment="1">
      <alignment horizontal="center" vertical="center"/>
    </xf>
    <xf numFmtId="165" fontId="25" fillId="0" borderId="1" xfId="1" applyNumberFormat="1" applyFont="1" applyFill="1" applyBorder="1" applyAlignment="1">
      <alignment horizontal="center" vertical="center"/>
    </xf>
    <xf numFmtId="0" fontId="25" fillId="0" borderId="0" xfId="0" applyFont="1" applyFill="1" applyAlignment="1">
      <alignment horizontal="center" vertical="center"/>
    </xf>
    <xf numFmtId="49" fontId="25" fillId="3" borderId="3" xfId="0" applyNumberFormat="1" applyFont="1" applyFill="1" applyBorder="1" applyAlignment="1">
      <alignment horizontal="center" vertical="center"/>
    </xf>
    <xf numFmtId="49" fontId="24" fillId="3" borderId="1" xfId="0" applyNumberFormat="1" applyFont="1" applyFill="1" applyBorder="1" applyAlignment="1">
      <alignment horizontal="center" vertical="center" wrapText="1"/>
    </xf>
    <xf numFmtId="165" fontId="21" fillId="3" borderId="4" xfId="1" applyNumberFormat="1" applyFont="1" applyFill="1" applyBorder="1" applyAlignment="1">
      <alignment horizontal="center" vertical="center" wrapText="1"/>
    </xf>
    <xf numFmtId="16" fontId="21" fillId="0" borderId="1" xfId="0" applyNumberFormat="1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164" fontId="25" fillId="2" borderId="0" xfId="1" applyNumberFormat="1" applyFont="1" applyFill="1" applyBorder="1" applyAlignment="1">
      <alignment horizontal="center" vertical="center"/>
    </xf>
    <xf numFmtId="165" fontId="25" fillId="0" borderId="0" xfId="1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wrapText="1"/>
    </xf>
    <xf numFmtId="0" fontId="25" fillId="0" borderId="1" xfId="0" applyFont="1" applyFill="1" applyBorder="1" applyAlignment="1">
      <alignment horizontal="center"/>
    </xf>
    <xf numFmtId="165" fontId="21" fillId="0" borderId="0" xfId="1" applyNumberFormat="1" applyFont="1" applyFill="1" applyBorder="1" applyAlignment="1">
      <alignment horizontal="center"/>
    </xf>
    <xf numFmtId="0" fontId="25" fillId="0" borderId="0" xfId="0" applyFont="1" applyFill="1" applyBorder="1" applyAlignment="1">
      <alignment horizontal="center"/>
    </xf>
    <xf numFmtId="164" fontId="25" fillId="2" borderId="0" xfId="1" applyNumberFormat="1" applyFont="1" applyFill="1" applyBorder="1" applyAlignment="1">
      <alignment horizontal="center"/>
    </xf>
    <xf numFmtId="165" fontId="25" fillId="0" borderId="0" xfId="1" applyNumberFormat="1" applyFont="1" applyFill="1" applyBorder="1" applyAlignment="1">
      <alignment horizontal="center"/>
    </xf>
    <xf numFmtId="49" fontId="25" fillId="0" borderId="0" xfId="0" applyNumberFormat="1" applyFont="1" applyFill="1" applyBorder="1" applyAlignment="1">
      <alignment horizontal="center" vertical="top"/>
    </xf>
    <xf numFmtId="49" fontId="25" fillId="0" borderId="1" xfId="0" applyNumberFormat="1" applyFont="1" applyFill="1" applyBorder="1" applyAlignment="1">
      <alignment horizontal="center" vertical="top"/>
    </xf>
    <xf numFmtId="165" fontId="21" fillId="0" borderId="1" xfId="1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0" borderId="1" xfId="0" applyNumberFormat="1" applyFont="1" applyFill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/>
    </xf>
    <xf numFmtId="49" fontId="25" fillId="3" borderId="1" xfId="0" applyNumberFormat="1" applyFont="1" applyFill="1" applyBorder="1" applyAlignment="1">
      <alignment horizontal="center" vertical="top"/>
    </xf>
    <xf numFmtId="165" fontId="21" fillId="3" borderId="1" xfId="1" applyNumberFormat="1" applyFont="1" applyFill="1" applyBorder="1" applyAlignment="1">
      <alignment horizontal="center"/>
    </xf>
    <xf numFmtId="164" fontId="25" fillId="3" borderId="0" xfId="1" applyNumberFormat="1" applyFont="1" applyFill="1" applyBorder="1" applyAlignment="1">
      <alignment horizontal="center"/>
    </xf>
    <xf numFmtId="0" fontId="25" fillId="0" borderId="0" xfId="0" applyFont="1" applyFill="1" applyAlignment="1">
      <alignment horizontal="center" wrapText="1"/>
    </xf>
    <xf numFmtId="49" fontId="25" fillId="0" borderId="0" xfId="0" applyNumberFormat="1" applyFont="1" applyFill="1" applyAlignment="1">
      <alignment horizontal="center" vertical="top"/>
    </xf>
    <xf numFmtId="165" fontId="21" fillId="0" borderId="0" xfId="1" applyNumberFormat="1" applyFont="1" applyFill="1" applyAlignment="1">
      <alignment horizontal="center"/>
    </xf>
    <xf numFmtId="164" fontId="25" fillId="3" borderId="0" xfId="1" applyNumberFormat="1" applyFont="1" applyFill="1" applyAlignment="1">
      <alignment horizontal="center"/>
    </xf>
    <xf numFmtId="165" fontId="25" fillId="0" borderId="0" xfId="1" applyNumberFormat="1" applyFont="1" applyFill="1" applyAlignment="1">
      <alignment horizontal="center"/>
    </xf>
    <xf numFmtId="165" fontId="7" fillId="0" borderId="0" xfId="1" applyNumberFormat="1" applyFont="1" applyAlignment="1">
      <alignment horizontal="right" vertical="top"/>
    </xf>
    <xf numFmtId="49" fontId="25" fillId="0" borderId="1" xfId="0" applyNumberFormat="1" applyFont="1" applyFill="1" applyBorder="1" applyAlignment="1">
      <alignment horizontal="center" vertical="center"/>
    </xf>
    <xf numFmtId="0" fontId="25" fillId="0" borderId="1" xfId="0" applyFont="1" applyFill="1" applyBorder="1" applyAlignment="1">
      <alignment horizontal="center" wrapText="1"/>
    </xf>
    <xf numFmtId="0" fontId="27" fillId="0" borderId="1" xfId="0" applyFont="1" applyBorder="1" applyAlignment="1">
      <alignment horizontal="center"/>
    </xf>
    <xf numFmtId="0" fontId="27" fillId="3" borderId="1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25" fillId="0" borderId="2" xfId="0" applyFont="1" applyFill="1" applyBorder="1" applyAlignment="1">
      <alignment horizontal="center"/>
    </xf>
    <xf numFmtId="165" fontId="21" fillId="0" borderId="2" xfId="1" applyNumberFormat="1" applyFont="1" applyFill="1" applyBorder="1" applyAlignment="1">
      <alignment horizontal="center"/>
    </xf>
    <xf numFmtId="169" fontId="22" fillId="0" borderId="2" xfId="0" applyNumberFormat="1" applyFont="1" applyFill="1" applyBorder="1" applyAlignment="1">
      <alignment horizontal="center" vertical="center" wrapText="1"/>
    </xf>
    <xf numFmtId="0" fontId="27" fillId="0" borderId="2" xfId="0" applyFont="1" applyBorder="1" applyAlignment="1">
      <alignment horizontal="center"/>
    </xf>
    <xf numFmtId="49" fontId="24" fillId="0" borderId="2" xfId="0" applyNumberFormat="1" applyFont="1" applyFill="1" applyBorder="1" applyAlignment="1">
      <alignment horizontal="center" vertical="center" wrapText="1"/>
    </xf>
    <xf numFmtId="165" fontId="21" fillId="0" borderId="2" xfId="1" applyNumberFormat="1" applyFont="1" applyFill="1" applyBorder="1" applyAlignment="1">
      <alignment horizontal="center" vertical="center" wrapText="1"/>
    </xf>
    <xf numFmtId="0" fontId="16" fillId="0" borderId="1" xfId="0" applyNumberFormat="1" applyFont="1" applyBorder="1" applyAlignment="1">
      <alignment horizontal="center" vertical="center"/>
    </xf>
    <xf numFmtId="0" fontId="0" fillId="0" borderId="0" xfId="0" applyNumberFormat="1" applyAlignment="1">
      <alignment horizontal="center" vertical="top"/>
    </xf>
    <xf numFmtId="0" fontId="0" fillId="0" borderId="0" xfId="0" applyNumberFormat="1" applyAlignment="1">
      <alignment horizont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9" fillId="0" borderId="0" xfId="0" applyFont="1" applyAlignment="1">
      <alignment vertical="center"/>
    </xf>
    <xf numFmtId="43" fontId="7" fillId="0" borderId="0" xfId="1" applyNumberFormat="1" applyFont="1" applyAlignment="1">
      <alignment horizontal="right" vertical="top"/>
    </xf>
    <xf numFmtId="0" fontId="0" fillId="0" borderId="1" xfId="0" applyNumberFormat="1" applyBorder="1" applyAlignment="1">
      <alignment horizontal="center"/>
    </xf>
    <xf numFmtId="166" fontId="7" fillId="0" borderId="0" xfId="1" applyNumberFormat="1" applyFont="1" applyAlignment="1">
      <alignment horizontal="right" vertical="top"/>
    </xf>
    <xf numFmtId="3" fontId="0" fillId="0" borderId="0" xfId="0" applyNumberFormat="1" applyFont="1"/>
    <xf numFmtId="0" fontId="25" fillId="0" borderId="1" xfId="0" applyFont="1" applyBorder="1"/>
    <xf numFmtId="0" fontId="29" fillId="0" borderId="1" xfId="4" applyFont="1" applyFill="1" applyBorder="1" applyAlignment="1" applyProtection="1">
      <alignment horizontal="center" vertical="center" wrapText="1"/>
      <protection locked="0"/>
    </xf>
    <xf numFmtId="0" fontId="28" fillId="0" borderId="1" xfId="4" applyFont="1" applyFill="1" applyBorder="1" applyAlignment="1" applyProtection="1">
      <alignment horizontal="center" vertical="center" wrapText="1"/>
      <protection locked="0"/>
    </xf>
    <xf numFmtId="0" fontId="29" fillId="3" borderId="1" xfId="4" applyFont="1" applyFill="1" applyBorder="1" applyAlignment="1" applyProtection="1">
      <alignment horizontal="center" vertical="center" wrapText="1"/>
      <protection locked="0"/>
    </xf>
    <xf numFmtId="173" fontId="29" fillId="3" borderId="1" xfId="4" applyNumberFormat="1" applyFont="1" applyFill="1" applyBorder="1" applyAlignment="1">
      <alignment horizontal="center" vertical="center" wrapText="1"/>
    </xf>
    <xf numFmtId="173" fontId="29" fillId="0" borderId="1" xfId="4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vertical="center"/>
    </xf>
    <xf numFmtId="3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4" fontId="29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>
      <alignment horizontal="center" vertical="center"/>
    </xf>
    <xf numFmtId="174" fontId="27" fillId="3" borderId="1" xfId="0" applyNumberFormat="1" applyFont="1" applyFill="1" applyBorder="1" applyAlignment="1">
      <alignment horizontal="center" vertical="center"/>
    </xf>
    <xf numFmtId="166" fontId="0" fillId="0" borderId="0" xfId="1" applyNumberFormat="1" applyFont="1"/>
    <xf numFmtId="173" fontId="0" fillId="0" borderId="0" xfId="0" applyNumberFormat="1" applyFont="1" applyAlignment="1">
      <alignment horizontal="center" vertical="center"/>
    </xf>
    <xf numFmtId="0" fontId="0" fillId="0" borderId="1" xfId="0" applyFont="1" applyBorder="1"/>
    <xf numFmtId="0" fontId="4" fillId="0" borderId="1" xfId="4" applyFont="1" applyFill="1" applyBorder="1" applyAlignment="1">
      <alignment vertical="center"/>
    </xf>
    <xf numFmtId="0" fontId="4" fillId="0" borderId="1" xfId="4" applyFont="1" applyFill="1" applyBorder="1" applyAlignment="1" applyProtection="1">
      <alignment horizontal="left" vertical="center"/>
      <protection locked="0"/>
    </xf>
    <xf numFmtId="0" fontId="20" fillId="0" borderId="1" xfId="4" applyFont="1" applyFill="1" applyBorder="1" applyAlignment="1" applyProtection="1">
      <alignment vertical="center"/>
      <protection locked="0"/>
    </xf>
    <xf numFmtId="172" fontId="4" fillId="0" borderId="1" xfId="4" applyNumberFormat="1" applyFont="1" applyFill="1" applyBorder="1" applyAlignment="1" applyProtection="1">
      <alignment horizontal="center" vertical="center"/>
      <protection locked="0"/>
    </xf>
    <xf numFmtId="3" fontId="32" fillId="3" borderId="1" xfId="4" applyNumberFormat="1" applyFont="1" applyFill="1" applyBorder="1" applyAlignment="1" applyProtection="1">
      <alignment horizontal="right" vertical="center"/>
      <protection locked="0"/>
    </xf>
    <xf numFmtId="3" fontId="32" fillId="0" borderId="1" xfId="4" applyNumberFormat="1" applyFont="1" applyFill="1" applyBorder="1" applyAlignment="1" applyProtection="1">
      <alignment horizontal="right" vertical="center"/>
      <protection locked="0"/>
    </xf>
    <xf numFmtId="173" fontId="4" fillId="0" borderId="1" xfId="4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4" fillId="2" borderId="6" xfId="4" applyFont="1" applyFill="1" applyBorder="1" applyAlignment="1" applyProtection="1">
      <alignment horizontal="left" vertical="center" wrapText="1"/>
      <protection locked="0"/>
    </xf>
    <xf numFmtId="0" fontId="20" fillId="2" borderId="0" xfId="0" applyFont="1" applyFill="1" applyAlignment="1">
      <alignment horizontal="left"/>
    </xf>
    <xf numFmtId="0" fontId="20" fillId="2" borderId="0" xfId="0" applyFont="1" applyFill="1"/>
    <xf numFmtId="173" fontId="4" fillId="2" borderId="7" xfId="4" applyNumberFormat="1" applyFont="1" applyFill="1" applyBorder="1" applyAlignment="1">
      <alignment horizontal="right" vertical="center" wrapText="1"/>
    </xf>
    <xf numFmtId="0" fontId="4" fillId="2" borderId="8" xfId="0" applyNumberFormat="1" applyFont="1" applyFill="1" applyBorder="1" applyAlignment="1">
      <alignment horizontal="left" vertical="center"/>
    </xf>
    <xf numFmtId="0" fontId="20" fillId="2" borderId="0" xfId="0" applyFont="1" applyFill="1" applyBorder="1" applyAlignment="1">
      <alignment horizontal="left"/>
    </xf>
    <xf numFmtId="0" fontId="4" fillId="2" borderId="0" xfId="4" applyFont="1" applyFill="1" applyBorder="1" applyAlignment="1" applyProtection="1">
      <alignment horizontal="right" vertical="center" wrapText="1"/>
      <protection locked="0"/>
    </xf>
    <xf numFmtId="175" fontId="4" fillId="2" borderId="9" xfId="4" applyNumberFormat="1" applyFont="1" applyFill="1" applyBorder="1" applyAlignment="1">
      <alignment horizontal="right" vertical="center" wrapText="1"/>
    </xf>
    <xf numFmtId="4" fontId="0" fillId="0" borderId="0" xfId="0" applyNumberFormat="1"/>
    <xf numFmtId="3" fontId="4" fillId="2" borderId="10" xfId="0" applyNumberFormat="1" applyFont="1" applyFill="1" applyBorder="1" applyAlignment="1" applyProtection="1">
      <alignment horizontal="right" vertical="center" wrapText="1"/>
      <protection locked="0"/>
    </xf>
    <xf numFmtId="0" fontId="0" fillId="0" borderId="0" xfId="0"/>
    <xf numFmtId="0" fontId="0" fillId="0" borderId="1" xfId="0" applyBorder="1" applyAlignment="1">
      <alignment horizontal="left"/>
    </xf>
    <xf numFmtId="0" fontId="33" fillId="0" borderId="1" xfId="0" applyFont="1" applyBorder="1"/>
    <xf numFmtId="0" fontId="13" fillId="0" borderId="1" xfId="0" applyFont="1" applyFill="1" applyBorder="1" applyAlignment="1">
      <alignment horizontal="center" vertical="center" wrapText="1"/>
    </xf>
    <xf numFmtId="43" fontId="10" fillId="0" borderId="1" xfId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49" fontId="13" fillId="0" borderId="1" xfId="0" applyNumberFormat="1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1" fontId="21" fillId="0" borderId="1" xfId="0" applyNumberFormat="1" applyFont="1" applyFill="1" applyBorder="1" applyAlignment="1">
      <alignment horizontal="center" vertical="center" wrapText="1"/>
    </xf>
    <xf numFmtId="0" fontId="21" fillId="0" borderId="2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43" fontId="23" fillId="0" borderId="1" xfId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</cellXfs>
  <cellStyles count="6">
    <cellStyle name="Comma" xfId="1" builtinId="3"/>
    <cellStyle name="Comma 2" xfId="2"/>
    <cellStyle name="Comma 3" xfId="3"/>
    <cellStyle name="Normal" xfId="0" builtinId="0"/>
    <cellStyle name="Normal 2" xfId="4"/>
    <cellStyle name="Normal 3" xfId="5"/>
  </cellStyles>
  <dxfs count="24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ont>
        <condense val="0"/>
        <extend val="0"/>
        <color rgb="FF9C6500"/>
      </font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O%20THANH%20HIEU/RING--/&#272;&#7888;I%20CHI&#7870;U%20H&#192;NG%20RING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̉NG MÃ RING"/>
      <sheetName val="SERIES RING"/>
      <sheetName val="01-21"/>
      <sheetName val="02-21"/>
      <sheetName val="03-21"/>
      <sheetName val="04-21"/>
      <sheetName val="0521"/>
      <sheetName val="0621"/>
      <sheetName val="0721"/>
      <sheetName val="file dung"/>
    </sheetNames>
    <sheetDataSet>
      <sheetData sheetId="0">
        <row r="2">
          <cell r="A2">
            <v>741646600</v>
          </cell>
          <cell r="B2">
            <v>741646600</v>
          </cell>
          <cell r="C2">
            <v>0.49</v>
          </cell>
        </row>
        <row r="3">
          <cell r="A3">
            <v>741646700</v>
          </cell>
          <cell r="B3">
            <v>741646700</v>
          </cell>
          <cell r="C3">
            <v>0.59</v>
          </cell>
        </row>
        <row r="4">
          <cell r="A4">
            <v>741878000</v>
          </cell>
          <cell r="B4">
            <v>741878000</v>
          </cell>
          <cell r="C4">
            <v>1.34</v>
          </cell>
        </row>
        <row r="5">
          <cell r="A5">
            <v>741886800</v>
          </cell>
          <cell r="B5">
            <v>741886800</v>
          </cell>
          <cell r="C5">
            <v>1.0476000000000001</v>
          </cell>
        </row>
        <row r="6">
          <cell r="A6">
            <v>742521110</v>
          </cell>
          <cell r="B6">
            <v>742521110</v>
          </cell>
          <cell r="C6">
            <v>0.4</v>
          </cell>
        </row>
        <row r="7">
          <cell r="A7">
            <v>742521200</v>
          </cell>
          <cell r="B7">
            <v>742521200</v>
          </cell>
          <cell r="C7">
            <v>0.4</v>
          </cell>
        </row>
        <row r="8">
          <cell r="A8">
            <v>742521210</v>
          </cell>
          <cell r="B8">
            <v>742521210</v>
          </cell>
          <cell r="C8">
            <v>0.4</v>
          </cell>
        </row>
        <row r="9">
          <cell r="A9">
            <v>742521220</v>
          </cell>
          <cell r="B9">
            <v>742521220</v>
          </cell>
          <cell r="C9">
            <v>0.4</v>
          </cell>
        </row>
        <row r="10">
          <cell r="A10">
            <v>742521230</v>
          </cell>
          <cell r="B10">
            <v>742521230</v>
          </cell>
          <cell r="C10">
            <v>0.4</v>
          </cell>
        </row>
        <row r="11">
          <cell r="A11" t="str">
            <v>3V00470N0</v>
          </cell>
          <cell r="B11" t="str">
            <v>3V00-15.5-10</v>
          </cell>
          <cell r="C11">
            <v>0.28710000000000002</v>
          </cell>
        </row>
        <row r="12">
          <cell r="A12" t="str">
            <v>3V0047090</v>
          </cell>
          <cell r="B12" t="str">
            <v>3V00-15.5-10.05</v>
          </cell>
          <cell r="C12">
            <v>0.28710000000000002</v>
          </cell>
        </row>
        <row r="13">
          <cell r="A13" t="str">
            <v>3V00470L0</v>
          </cell>
          <cell r="B13" t="str">
            <v>3V00-15.5-10.5</v>
          </cell>
          <cell r="C13">
            <v>0.28710000000000002</v>
          </cell>
        </row>
        <row r="14">
          <cell r="A14" t="str">
            <v>3V0047050</v>
          </cell>
          <cell r="B14" t="str">
            <v>3V00-15.5-10.55</v>
          </cell>
          <cell r="C14">
            <v>0.28710000000000002</v>
          </cell>
        </row>
        <row r="15">
          <cell r="A15" t="str">
            <v>3V00470W0</v>
          </cell>
          <cell r="B15" t="str">
            <v>3V00-15.5-10.55-W</v>
          </cell>
          <cell r="C15">
            <v>0.28710000000000002</v>
          </cell>
        </row>
        <row r="16">
          <cell r="A16" t="str">
            <v>3V00470G0</v>
          </cell>
          <cell r="B16" t="str">
            <v>3V00-15.5-10.9</v>
          </cell>
          <cell r="C16">
            <v>0.28710000000000002</v>
          </cell>
        </row>
        <row r="17">
          <cell r="A17" t="str">
            <v>3V00470Q0</v>
          </cell>
          <cell r="B17" t="str">
            <v>3V00-15.5-11</v>
          </cell>
          <cell r="C17">
            <v>0.28710000000000002</v>
          </cell>
        </row>
        <row r="18">
          <cell r="A18" t="str">
            <v>3V0047045</v>
          </cell>
          <cell r="B18" t="str">
            <v>3V00-15.5-11.05</v>
          </cell>
          <cell r="C18">
            <v>0.28710000000000002</v>
          </cell>
        </row>
        <row r="19">
          <cell r="A19" t="str">
            <v>3V00470R0</v>
          </cell>
          <cell r="B19" t="str">
            <v>3V00-15.5-11.15</v>
          </cell>
          <cell r="C19">
            <v>0.28710000000000002</v>
          </cell>
        </row>
        <row r="20">
          <cell r="A20" t="str">
            <v>3V00470U0</v>
          </cell>
          <cell r="B20" t="str">
            <v>3V00-15.5-11.55</v>
          </cell>
          <cell r="C20">
            <v>0.28710000000000002</v>
          </cell>
        </row>
        <row r="21">
          <cell r="A21" t="str">
            <v>3V00470H0</v>
          </cell>
          <cell r="B21" t="str">
            <v>3V00-15.5-11.65</v>
          </cell>
          <cell r="C21">
            <v>0.28710000000000002</v>
          </cell>
        </row>
        <row r="22">
          <cell r="A22" t="str">
            <v>3V00470S0</v>
          </cell>
          <cell r="B22" t="str">
            <v>3V00-15.5-11.65-S</v>
          </cell>
          <cell r="C22">
            <v>0.28710000000000002</v>
          </cell>
        </row>
        <row r="23">
          <cell r="A23" t="str">
            <v>3V00470B0</v>
          </cell>
          <cell r="B23" t="str">
            <v>3V00-15.5-12.05</v>
          </cell>
          <cell r="C23">
            <v>0.28710000000000002</v>
          </cell>
        </row>
        <row r="24">
          <cell r="A24" t="str">
            <v>3V00470T0</v>
          </cell>
          <cell r="B24" t="str">
            <v>3V00-15.5-12.15</v>
          </cell>
          <cell r="C24">
            <v>0.28710000000000002</v>
          </cell>
        </row>
        <row r="25">
          <cell r="A25" t="str">
            <v>3V0047055</v>
          </cell>
          <cell r="B25" t="str">
            <v>3V00-15.5-12.55</v>
          </cell>
          <cell r="C25">
            <v>0.28710000000000002</v>
          </cell>
        </row>
        <row r="26">
          <cell r="A26" t="str">
            <v>3V00470K0</v>
          </cell>
          <cell r="B26" t="str">
            <v>3V00-15.5-12.65</v>
          </cell>
          <cell r="C26">
            <v>0.28710000000000002</v>
          </cell>
        </row>
        <row r="27">
          <cell r="A27" t="str">
            <v>3V00470C0</v>
          </cell>
          <cell r="B27" t="str">
            <v>3V00-15.5-13.05</v>
          </cell>
          <cell r="C27">
            <v>0.28710000000000002</v>
          </cell>
        </row>
        <row r="28">
          <cell r="A28" t="str">
            <v>3V0047015</v>
          </cell>
          <cell r="B28" t="str">
            <v>3V00-15.5-13.55</v>
          </cell>
          <cell r="C28">
            <v>0.28710000000000002</v>
          </cell>
        </row>
        <row r="29">
          <cell r="A29" t="str">
            <v>3V0047010</v>
          </cell>
          <cell r="B29" t="str">
            <v>3V00-15.5-13.55-1</v>
          </cell>
          <cell r="C29">
            <v>0.28710000000000002</v>
          </cell>
        </row>
        <row r="30">
          <cell r="A30" t="str">
            <v>3V0047065</v>
          </cell>
          <cell r="B30" t="str">
            <v>3V00-15.5-13.55-6</v>
          </cell>
          <cell r="C30">
            <v>0.28710000000000002</v>
          </cell>
        </row>
        <row r="31">
          <cell r="A31" t="str">
            <v>3V0047060</v>
          </cell>
          <cell r="B31" t="str">
            <v>3V00-15.5-7.65</v>
          </cell>
          <cell r="C31">
            <v>0.28710000000000002</v>
          </cell>
        </row>
        <row r="32">
          <cell r="A32" t="str">
            <v>3V00470M0</v>
          </cell>
          <cell r="B32" t="str">
            <v>3V00-15.5-8</v>
          </cell>
          <cell r="C32">
            <v>0.28710000000000002</v>
          </cell>
        </row>
        <row r="33">
          <cell r="A33" t="str">
            <v>3V0047020</v>
          </cell>
          <cell r="B33" t="str">
            <v>3V00-15.5-8.05</v>
          </cell>
          <cell r="C33">
            <v>0.28710000000000002</v>
          </cell>
        </row>
        <row r="34">
          <cell r="A34" t="str">
            <v>3V0047070</v>
          </cell>
          <cell r="B34" t="str">
            <v>3V00-15.5-8.15</v>
          </cell>
          <cell r="C34">
            <v>0.28710000000000002</v>
          </cell>
        </row>
        <row r="35">
          <cell r="A35" t="str">
            <v>3V00470E0</v>
          </cell>
          <cell r="B35" t="str">
            <v>3V00-15.5-8.35</v>
          </cell>
          <cell r="C35">
            <v>0.28710000000000002</v>
          </cell>
        </row>
        <row r="36">
          <cell r="A36" t="str">
            <v>3V0047030</v>
          </cell>
          <cell r="B36" t="str">
            <v>3V00-15.5-8.55</v>
          </cell>
          <cell r="C36">
            <v>0.28710000000000002</v>
          </cell>
        </row>
        <row r="37">
          <cell r="A37" t="str">
            <v>3V00470P0</v>
          </cell>
          <cell r="B37" t="str">
            <v>3V00-15.5-9</v>
          </cell>
          <cell r="C37">
            <v>0.28710000000000002</v>
          </cell>
        </row>
        <row r="38">
          <cell r="A38" t="str">
            <v>3V0047040</v>
          </cell>
          <cell r="B38" t="str">
            <v>3V00-15.5-9.55</v>
          </cell>
          <cell r="C38">
            <v>0.28710000000000002</v>
          </cell>
        </row>
        <row r="39">
          <cell r="A39" t="str">
            <v>3V00470V0</v>
          </cell>
          <cell r="B39" t="str">
            <v>3V00-15.5-9.55-V</v>
          </cell>
          <cell r="C39">
            <v>0.28710000000000002</v>
          </cell>
        </row>
        <row r="40">
          <cell r="A40" t="str">
            <v>3V0047095</v>
          </cell>
          <cell r="B40" t="str">
            <v>3V00-15.5-9.8</v>
          </cell>
          <cell r="C40">
            <v>0.28710000000000002</v>
          </cell>
        </row>
        <row r="41">
          <cell r="A41" t="str">
            <v>3V00470A5</v>
          </cell>
          <cell r="B41" t="str">
            <v>3V00-15.5-11.75</v>
          </cell>
          <cell r="C41">
            <v>0.28710000000000002</v>
          </cell>
        </row>
        <row r="42">
          <cell r="A42" t="str">
            <v>3V00470B5</v>
          </cell>
          <cell r="B42" t="str">
            <v>3V00-15.5-12.75</v>
          </cell>
          <cell r="C42">
            <v>0.28710000000000002</v>
          </cell>
        </row>
        <row r="43">
          <cell r="A43" t="str">
            <v>3V00470F0</v>
          </cell>
          <cell r="B43" t="str">
            <v>3V00-15.5-9.65</v>
          </cell>
          <cell r="C43">
            <v>0.28710000000000002</v>
          </cell>
        </row>
        <row r="44">
          <cell r="A44" t="str">
            <v>3V0117900</v>
          </cell>
          <cell r="B44" t="str">
            <v>3V00-16.5-9.55</v>
          </cell>
          <cell r="C44">
            <v>0.2475</v>
          </cell>
        </row>
        <row r="45">
          <cell r="A45" t="str">
            <v>3V0010200</v>
          </cell>
          <cell r="B45" t="str">
            <v>3V00-23-10.2</v>
          </cell>
          <cell r="C45">
            <v>0.52</v>
          </cell>
        </row>
        <row r="46">
          <cell r="A46" t="str">
            <v>3V0010210</v>
          </cell>
          <cell r="B46" t="str">
            <v>3V00-23-10.8</v>
          </cell>
          <cell r="C46">
            <v>0.52</v>
          </cell>
        </row>
        <row r="47">
          <cell r="A47" t="str">
            <v>3V0010220</v>
          </cell>
          <cell r="B47" t="str">
            <v>3V00-23-11.1</v>
          </cell>
          <cell r="C47">
            <v>0.52</v>
          </cell>
        </row>
        <row r="48">
          <cell r="A48" t="str">
            <v>3V0010230</v>
          </cell>
          <cell r="B48" t="str">
            <v>3V00-23-12.35</v>
          </cell>
          <cell r="C48">
            <v>0.52</v>
          </cell>
        </row>
        <row r="49">
          <cell r="A49" t="str">
            <v>3V0047005</v>
          </cell>
          <cell r="B49" t="str">
            <v>3V0047005</v>
          </cell>
          <cell r="C49">
            <v>0.28710000000000002</v>
          </cell>
        </row>
        <row r="50">
          <cell r="A50" t="str">
            <v>3V0117925</v>
          </cell>
          <cell r="B50" t="str">
            <v>3V01-16.5-10.05</v>
          </cell>
          <cell r="C50">
            <v>0.2475</v>
          </cell>
        </row>
        <row r="51">
          <cell r="A51" t="str">
            <v>3V0117910</v>
          </cell>
          <cell r="B51" t="str">
            <v>3V01-16.5-10.05-1</v>
          </cell>
          <cell r="C51">
            <v>0.2475</v>
          </cell>
        </row>
        <row r="52">
          <cell r="A52" t="str">
            <v>3V01179A0</v>
          </cell>
          <cell r="B52" t="str">
            <v>3V01-16.5-10.05-A</v>
          </cell>
          <cell r="C52">
            <v>0.2475</v>
          </cell>
        </row>
        <row r="53">
          <cell r="A53" t="str">
            <v>3V01179B5</v>
          </cell>
          <cell r="B53" t="str">
            <v>3V01-16.5-10.05-B5</v>
          </cell>
          <cell r="C53">
            <v>0.2475</v>
          </cell>
        </row>
        <row r="54">
          <cell r="A54" t="str">
            <v>3V01179L0</v>
          </cell>
          <cell r="B54" t="str">
            <v>3V01-16.5-10.05-L</v>
          </cell>
          <cell r="C54">
            <v>0.2475</v>
          </cell>
        </row>
        <row r="55">
          <cell r="A55" t="str">
            <v>3V01179T0</v>
          </cell>
          <cell r="B55" t="str">
            <v>3V01-16.5-10.05-T</v>
          </cell>
          <cell r="C55">
            <v>0.2475</v>
          </cell>
        </row>
        <row r="56">
          <cell r="A56" t="str">
            <v>3V01179B0</v>
          </cell>
          <cell r="B56" t="str">
            <v>3V01-16.5-10.55</v>
          </cell>
          <cell r="C56">
            <v>0.2475</v>
          </cell>
        </row>
        <row r="57">
          <cell r="A57" t="str">
            <v>3V0117920</v>
          </cell>
          <cell r="B57" t="str">
            <v>3V01-16.5-10.55-2</v>
          </cell>
          <cell r="C57">
            <v>0.2475</v>
          </cell>
        </row>
        <row r="58">
          <cell r="A58" t="str">
            <v>3V0117935</v>
          </cell>
          <cell r="B58" t="str">
            <v>3V01-16.5-10.55-3</v>
          </cell>
          <cell r="C58">
            <v>0.2475</v>
          </cell>
        </row>
        <row r="59">
          <cell r="A59" t="str">
            <v>3V0117940</v>
          </cell>
          <cell r="B59" t="str">
            <v>3V01-16.5-10.55-4</v>
          </cell>
          <cell r="C59">
            <v>0.2475</v>
          </cell>
        </row>
        <row r="60">
          <cell r="A60" t="str">
            <v>3V01179C5</v>
          </cell>
          <cell r="B60" t="str">
            <v>3V01-16.5-10.55-C5</v>
          </cell>
          <cell r="C60">
            <v>0.2475</v>
          </cell>
        </row>
        <row r="61">
          <cell r="A61" t="str">
            <v>3V01179Q0</v>
          </cell>
          <cell r="B61" t="str">
            <v>3V01-16.5-11.05</v>
          </cell>
          <cell r="C61">
            <v>0.2475</v>
          </cell>
        </row>
        <row r="62">
          <cell r="A62" t="str">
            <v>3V0117945</v>
          </cell>
          <cell r="B62" t="str">
            <v>3V01-16.5-11.05-5</v>
          </cell>
          <cell r="C62">
            <v>0.2475</v>
          </cell>
        </row>
        <row r="63">
          <cell r="A63" t="str">
            <v>3V01179E5</v>
          </cell>
          <cell r="B63" t="str">
            <v>3V01-16.5-11.05-E5</v>
          </cell>
          <cell r="C63">
            <v>0.2475</v>
          </cell>
        </row>
        <row r="64">
          <cell r="A64" t="str">
            <v>3V01179H0</v>
          </cell>
          <cell r="B64" t="str">
            <v>3V01-16.5-11.05-H</v>
          </cell>
          <cell r="C64">
            <v>0.2475</v>
          </cell>
        </row>
        <row r="65">
          <cell r="A65" t="str">
            <v>3V01179M0</v>
          </cell>
          <cell r="B65" t="str">
            <v>3V01-16.5-11.05-M</v>
          </cell>
          <cell r="C65">
            <v>0.2475</v>
          </cell>
        </row>
        <row r="66">
          <cell r="A66" t="str">
            <v>3V01179X0</v>
          </cell>
          <cell r="B66" t="str">
            <v>3V01-16.5-11.55</v>
          </cell>
          <cell r="C66">
            <v>0.2475</v>
          </cell>
        </row>
        <row r="67">
          <cell r="A67" t="str">
            <v>3V0117955</v>
          </cell>
          <cell r="B67" t="str">
            <v>3V01-16.5-11.55-5</v>
          </cell>
          <cell r="C67">
            <v>0.2475</v>
          </cell>
        </row>
        <row r="68">
          <cell r="A68" t="str">
            <v>3V0117950</v>
          </cell>
          <cell r="B68" t="str">
            <v>3V01-16.5-11.55-50</v>
          </cell>
          <cell r="C68">
            <v>0.2475</v>
          </cell>
        </row>
        <row r="69">
          <cell r="A69" t="str">
            <v>3V01179F5</v>
          </cell>
          <cell r="B69" t="str">
            <v>3V01-16.5-11.55-F5</v>
          </cell>
          <cell r="C69">
            <v>0.2475</v>
          </cell>
        </row>
        <row r="70">
          <cell r="A70" t="str">
            <v>3V01179N5</v>
          </cell>
          <cell r="B70" t="str">
            <v>3V01-16.5-11.55-N5</v>
          </cell>
          <cell r="C70">
            <v>0.2475</v>
          </cell>
        </row>
        <row r="71">
          <cell r="A71" t="str">
            <v>3V0117960</v>
          </cell>
          <cell r="B71" t="str">
            <v>3V01-16.5-12.05</v>
          </cell>
          <cell r="C71">
            <v>0.2475</v>
          </cell>
        </row>
        <row r="72">
          <cell r="A72" t="str">
            <v>3V0117965</v>
          </cell>
          <cell r="B72" t="str">
            <v>3V01-16.5-12.05-5</v>
          </cell>
          <cell r="C72">
            <v>0.2475</v>
          </cell>
        </row>
        <row r="73">
          <cell r="A73" t="str">
            <v>3V01179K0</v>
          </cell>
          <cell r="B73" t="str">
            <v>3V01-16.5-12.05-K</v>
          </cell>
          <cell r="C73">
            <v>0.2475</v>
          </cell>
        </row>
        <row r="74">
          <cell r="A74" t="str">
            <v>3V01179L5</v>
          </cell>
          <cell r="B74" t="str">
            <v>3V01-16.5-12.05-L5</v>
          </cell>
          <cell r="C74">
            <v>0.2475</v>
          </cell>
        </row>
        <row r="75">
          <cell r="A75" t="str">
            <v>3V01179V0</v>
          </cell>
          <cell r="B75" t="str">
            <v>3V01-16.5-12.05-V</v>
          </cell>
          <cell r="C75">
            <v>0.2475</v>
          </cell>
        </row>
        <row r="76">
          <cell r="A76" t="str">
            <v>3V0117975</v>
          </cell>
          <cell r="B76" t="str">
            <v>3V01-16.5-12.55</v>
          </cell>
          <cell r="C76">
            <v>0.2475</v>
          </cell>
        </row>
        <row r="77">
          <cell r="A77" t="str">
            <v>3V01179M5</v>
          </cell>
          <cell r="B77" t="str">
            <v>3V01-16.5-12.55-M5</v>
          </cell>
          <cell r="C77">
            <v>0.2475</v>
          </cell>
        </row>
        <row r="78">
          <cell r="A78" t="str">
            <v>3V01179P5</v>
          </cell>
          <cell r="B78" t="str">
            <v>3V01-16.5-12.55-P5</v>
          </cell>
          <cell r="C78">
            <v>0.2475</v>
          </cell>
        </row>
        <row r="79">
          <cell r="A79" t="str">
            <v>3V01179G0</v>
          </cell>
          <cell r="B79" t="str">
            <v>3V01-16.5-13.05</v>
          </cell>
          <cell r="C79">
            <v>0.2475</v>
          </cell>
        </row>
        <row r="80">
          <cell r="A80" t="str">
            <v>3V01179G5</v>
          </cell>
          <cell r="B80" t="str">
            <v>3V01-16.5-13.05-G5</v>
          </cell>
          <cell r="C80">
            <v>0.2475</v>
          </cell>
        </row>
        <row r="81">
          <cell r="A81" t="str">
            <v>3V01179W0</v>
          </cell>
          <cell r="B81" t="str">
            <v>3V01-16.5-13.05-W</v>
          </cell>
          <cell r="C81">
            <v>0.2475</v>
          </cell>
        </row>
        <row r="82">
          <cell r="A82" t="str">
            <v>3V0117970</v>
          </cell>
          <cell r="B82" t="str">
            <v>3V01-16.5-13.55</v>
          </cell>
          <cell r="C82">
            <v>0.2475</v>
          </cell>
        </row>
        <row r="83">
          <cell r="A83" t="str">
            <v>3V0117985</v>
          </cell>
          <cell r="B83" t="str">
            <v>3V01-16.5-13.55-5</v>
          </cell>
          <cell r="C83">
            <v>0.2475</v>
          </cell>
        </row>
        <row r="84">
          <cell r="A84" t="str">
            <v>3V01179H5</v>
          </cell>
          <cell r="B84" t="str">
            <v>3V01-16.5-13.55-H5</v>
          </cell>
          <cell r="C84">
            <v>0.2475</v>
          </cell>
        </row>
        <row r="85">
          <cell r="A85" t="str">
            <v>3V01179F0</v>
          </cell>
          <cell r="B85" t="str">
            <v>3V01-16.5-14.05</v>
          </cell>
          <cell r="C85">
            <v>0.2475</v>
          </cell>
        </row>
        <row r="86">
          <cell r="A86" t="str">
            <v>3V0117995</v>
          </cell>
          <cell r="B86" t="str">
            <v>3V01-16.5-14.05-5</v>
          </cell>
          <cell r="C86">
            <v>0.2475</v>
          </cell>
        </row>
        <row r="87">
          <cell r="A87" t="str">
            <v>3V01179J0</v>
          </cell>
          <cell r="B87" t="str">
            <v>3V01-16.5-8.05</v>
          </cell>
          <cell r="C87">
            <v>0.2475</v>
          </cell>
        </row>
        <row r="88">
          <cell r="A88" t="str">
            <v>3V01179J5</v>
          </cell>
          <cell r="B88" t="str">
            <v>3V01-16.5-8.05-J5</v>
          </cell>
          <cell r="C88">
            <v>0.2475</v>
          </cell>
        </row>
        <row r="89">
          <cell r="A89" t="str">
            <v>3V01179Z0</v>
          </cell>
          <cell r="B89" t="str">
            <v>3V01-16.5-8.05-Z</v>
          </cell>
          <cell r="C89">
            <v>0.2475</v>
          </cell>
        </row>
        <row r="90">
          <cell r="A90" t="str">
            <v>3V01179E0</v>
          </cell>
          <cell r="B90" t="str">
            <v>3V01-16.5-8.55</v>
          </cell>
          <cell r="C90">
            <v>0.2475</v>
          </cell>
        </row>
        <row r="91">
          <cell r="A91" t="str">
            <v>3V0117905</v>
          </cell>
          <cell r="B91" t="str">
            <v>3V01-16.5-8.55-0</v>
          </cell>
          <cell r="C91">
            <v>0.2475</v>
          </cell>
        </row>
        <row r="92">
          <cell r="A92" t="str">
            <v>3V01179K5</v>
          </cell>
          <cell r="B92" t="str">
            <v>3V01-16.5-8.55-K5</v>
          </cell>
          <cell r="C92">
            <v>0.2475</v>
          </cell>
        </row>
        <row r="93">
          <cell r="A93" t="str">
            <v>3V01179U0</v>
          </cell>
          <cell r="B93" t="str">
            <v>3V01-16.5-8.55-U</v>
          </cell>
          <cell r="C93">
            <v>0.2475</v>
          </cell>
        </row>
        <row r="94">
          <cell r="A94" t="str">
            <v>3V0117980</v>
          </cell>
          <cell r="B94" t="str">
            <v>3V01-16.5-9.05</v>
          </cell>
          <cell r="C94">
            <v>0.2475</v>
          </cell>
        </row>
        <row r="95">
          <cell r="A95" t="str">
            <v>3V0117915</v>
          </cell>
          <cell r="B95" t="str">
            <v>3V01-16.5-9.05-1</v>
          </cell>
          <cell r="C95">
            <v>0.2475</v>
          </cell>
        </row>
        <row r="96">
          <cell r="A96" t="str">
            <v>3V01179Y0</v>
          </cell>
          <cell r="B96" t="str">
            <v>3V01-16.5-9.05-Y</v>
          </cell>
          <cell r="C96">
            <v>0.2475</v>
          </cell>
        </row>
        <row r="97">
          <cell r="A97" t="str">
            <v>3V0117990</v>
          </cell>
          <cell r="B97" t="str">
            <v>3V01-16.5-9.55</v>
          </cell>
          <cell r="C97">
            <v>0.2475</v>
          </cell>
        </row>
        <row r="98">
          <cell r="A98" t="str">
            <v>3V01179A5</v>
          </cell>
          <cell r="B98" t="str">
            <v>3V01-16.5-9.55-A5</v>
          </cell>
          <cell r="C98">
            <v>0.2475</v>
          </cell>
        </row>
        <row r="99">
          <cell r="A99" t="str">
            <v>3V01179R0</v>
          </cell>
          <cell r="B99" t="str">
            <v>3V01-16.5-9.55-R</v>
          </cell>
          <cell r="C99">
            <v>0.2475</v>
          </cell>
        </row>
        <row r="100">
          <cell r="A100" t="str">
            <v>3V0185630</v>
          </cell>
          <cell r="B100" t="str">
            <v>3V01-19-10.55</v>
          </cell>
          <cell r="C100">
            <v>1.0669999999999999</v>
          </cell>
        </row>
        <row r="101">
          <cell r="A101" t="str">
            <v>3V0185620</v>
          </cell>
          <cell r="B101" t="str">
            <v>3V01-19-10.55-2</v>
          </cell>
          <cell r="C101">
            <v>1.0669999999999999</v>
          </cell>
        </row>
        <row r="102">
          <cell r="A102" t="str">
            <v>3V0185610</v>
          </cell>
          <cell r="B102" t="str">
            <v>3V01-19-11.5</v>
          </cell>
          <cell r="C102">
            <v>1.0669999999999999</v>
          </cell>
        </row>
        <row r="103">
          <cell r="A103" t="str">
            <v>3V0185640</v>
          </cell>
          <cell r="B103" t="str">
            <v>3V01-19-12</v>
          </cell>
          <cell r="C103">
            <v>1.0669999999999999</v>
          </cell>
        </row>
        <row r="104">
          <cell r="A104" t="str">
            <v>3V0185650</v>
          </cell>
          <cell r="B104" t="str">
            <v>3V01-19-12.5</v>
          </cell>
          <cell r="C104">
            <v>1.0669999999999999</v>
          </cell>
        </row>
        <row r="105">
          <cell r="A105" t="str">
            <v>3V0185660</v>
          </cell>
          <cell r="B105" t="str">
            <v>3V01-19-13</v>
          </cell>
          <cell r="C105">
            <v>1.0669999999999999</v>
          </cell>
        </row>
        <row r="106">
          <cell r="A106" t="str">
            <v>3V0185800</v>
          </cell>
          <cell r="B106" t="str">
            <v>3V01-19-17.6</v>
          </cell>
          <cell r="C106">
            <v>0.33950000000000002</v>
          </cell>
        </row>
        <row r="107">
          <cell r="A107" t="str">
            <v>3V0173600</v>
          </cell>
          <cell r="B107" t="str">
            <v>3V01-19-36</v>
          </cell>
          <cell r="C107">
            <v>2.5249999999999999</v>
          </cell>
        </row>
        <row r="108">
          <cell r="A108" t="str">
            <v>3V0192420</v>
          </cell>
          <cell r="B108" t="str">
            <v>3V01-22.8-13</v>
          </cell>
          <cell r="C108">
            <v>0.49</v>
          </cell>
        </row>
        <row r="109">
          <cell r="A109" t="str">
            <v>3V0192410</v>
          </cell>
          <cell r="B109" t="str">
            <v>3V01-22.8-19.7</v>
          </cell>
          <cell r="C109">
            <v>0.49</v>
          </cell>
        </row>
        <row r="110">
          <cell r="A110" t="str">
            <v>3V0193110</v>
          </cell>
          <cell r="B110" t="str">
            <v>3V01-23.5-20.6</v>
          </cell>
          <cell r="C110">
            <v>0.42</v>
          </cell>
        </row>
        <row r="111">
          <cell r="A111" t="str">
            <v>3V0190520</v>
          </cell>
          <cell r="B111" t="str">
            <v>3V01-23-12.55</v>
          </cell>
          <cell r="C111">
            <v>0.495</v>
          </cell>
        </row>
        <row r="112">
          <cell r="A112" t="str">
            <v>3V0189810</v>
          </cell>
          <cell r="B112" t="str">
            <v>3V01-23-14.55</v>
          </cell>
          <cell r="C112">
            <v>0.53459999999999996</v>
          </cell>
        </row>
        <row r="113">
          <cell r="A113" t="str">
            <v>3V0189840</v>
          </cell>
          <cell r="B113" t="str">
            <v>3V01-23-17.55</v>
          </cell>
          <cell r="C113">
            <v>0.53459999999999996</v>
          </cell>
        </row>
        <row r="114">
          <cell r="A114" t="str">
            <v>3V0191100</v>
          </cell>
          <cell r="B114" t="str">
            <v>3V01-23-20.05</v>
          </cell>
          <cell r="C114">
            <v>0.53459999999999996</v>
          </cell>
        </row>
        <row r="115">
          <cell r="A115" t="str">
            <v>3V0168610</v>
          </cell>
          <cell r="B115" t="str">
            <v>3V01-26.5-22.8</v>
          </cell>
          <cell r="C115">
            <v>0.59</v>
          </cell>
        </row>
        <row r="116">
          <cell r="A116" t="str">
            <v>3V0157710</v>
          </cell>
          <cell r="B116" t="str">
            <v>3V01-32-24.05</v>
          </cell>
          <cell r="C116">
            <v>2.81</v>
          </cell>
        </row>
        <row r="117">
          <cell r="A117" t="str">
            <v>3V0190510</v>
          </cell>
          <cell r="B117" t="str">
            <v>3V019-23-14.55</v>
          </cell>
          <cell r="C117">
            <v>0.495</v>
          </cell>
        </row>
        <row r="118">
          <cell r="A118" t="str">
            <v>3V0201290</v>
          </cell>
          <cell r="B118" t="str">
            <v>3V0201290</v>
          </cell>
          <cell r="C118">
            <v>0.252</v>
          </cell>
        </row>
        <row r="119">
          <cell r="A119" t="str">
            <v>3V0207450</v>
          </cell>
          <cell r="B119" t="str">
            <v>3V0207450</v>
          </cell>
          <cell r="C119">
            <v>0.84150000000000003</v>
          </cell>
        </row>
        <row r="120">
          <cell r="A120" t="str">
            <v>3V0207530</v>
          </cell>
          <cell r="B120" t="str">
            <v>3V0207530</v>
          </cell>
          <cell r="C120">
            <v>0.74250000000000005</v>
          </cell>
        </row>
        <row r="121">
          <cell r="A121" t="str">
            <v>3V0207570</v>
          </cell>
          <cell r="B121" t="str">
            <v>3V0207570</v>
          </cell>
          <cell r="C121">
            <v>0.74250000000000005</v>
          </cell>
        </row>
        <row r="122">
          <cell r="A122" t="str">
            <v>3V0213610</v>
          </cell>
          <cell r="B122" t="str">
            <v>3V02136-26-18</v>
          </cell>
          <cell r="C122">
            <v>0.55000000000000004</v>
          </cell>
        </row>
        <row r="123">
          <cell r="A123" t="str">
            <v>3V0213620</v>
          </cell>
          <cell r="B123" t="str">
            <v>3V02136-26-21.5</v>
          </cell>
          <cell r="C123">
            <v>0.55000000000000004</v>
          </cell>
        </row>
        <row r="124">
          <cell r="A124" t="str">
            <v>3V0201790</v>
          </cell>
          <cell r="B124" t="str">
            <v>3V02-16.5-10.05</v>
          </cell>
          <cell r="C124">
            <v>0.37</v>
          </cell>
        </row>
        <row r="125">
          <cell r="A125" t="str">
            <v>3V0201760</v>
          </cell>
          <cell r="B125" t="str">
            <v>3V02-16.5-10.05-6</v>
          </cell>
          <cell r="C125">
            <v>0.37</v>
          </cell>
        </row>
        <row r="126">
          <cell r="A126" t="str">
            <v>3V0272310</v>
          </cell>
          <cell r="B126" t="str">
            <v>3V02-16.5-10.55</v>
          </cell>
          <cell r="C126">
            <v>0.42</v>
          </cell>
        </row>
        <row r="127">
          <cell r="A127" t="str">
            <v>3V0201710</v>
          </cell>
          <cell r="B127" t="str">
            <v>3V02-16.5-11.55</v>
          </cell>
          <cell r="C127">
            <v>0.37</v>
          </cell>
        </row>
        <row r="128">
          <cell r="A128" t="str">
            <v>3V0201720</v>
          </cell>
          <cell r="B128" t="str">
            <v>3V02-16.5-12.05</v>
          </cell>
          <cell r="C128">
            <v>0.37</v>
          </cell>
        </row>
        <row r="129">
          <cell r="A129" t="str">
            <v>3V0272330</v>
          </cell>
          <cell r="B129" t="str">
            <v>3V02-16.5-12.55</v>
          </cell>
          <cell r="C129">
            <v>0.42</v>
          </cell>
        </row>
        <row r="130">
          <cell r="A130" t="str">
            <v>3V0272300</v>
          </cell>
          <cell r="B130" t="str">
            <v>3V02-16.5-13.05</v>
          </cell>
          <cell r="C130">
            <v>0.42</v>
          </cell>
        </row>
        <row r="131">
          <cell r="A131" t="str">
            <v>3V0272320</v>
          </cell>
          <cell r="B131" t="str">
            <v>3V02-16.5-13.55</v>
          </cell>
          <cell r="C131">
            <v>0.42</v>
          </cell>
        </row>
        <row r="132">
          <cell r="A132" t="str">
            <v>3V0272400</v>
          </cell>
          <cell r="B132" t="str">
            <v>3V02-16.5-15.05</v>
          </cell>
          <cell r="C132">
            <v>0.42</v>
          </cell>
        </row>
        <row r="133">
          <cell r="A133" t="str">
            <v>3V0201770</v>
          </cell>
          <cell r="B133" t="str">
            <v>3V02-16.5-8.55</v>
          </cell>
          <cell r="C133">
            <v>0.37</v>
          </cell>
        </row>
        <row r="134">
          <cell r="A134" t="str">
            <v>3V0201780</v>
          </cell>
          <cell r="B134" t="str">
            <v>3V02-16.5-9.55</v>
          </cell>
          <cell r="C134">
            <v>0.37</v>
          </cell>
        </row>
        <row r="135">
          <cell r="A135" t="str">
            <v>3V0201750</v>
          </cell>
          <cell r="B135" t="str">
            <v>3V02-16.5-9.55-8</v>
          </cell>
          <cell r="C135">
            <v>0.37</v>
          </cell>
        </row>
        <row r="136">
          <cell r="A136" t="str">
            <v>3V02012H0</v>
          </cell>
          <cell r="B136" t="str">
            <v>3V02-18-10.05</v>
          </cell>
          <cell r="C136">
            <v>0.252</v>
          </cell>
        </row>
        <row r="137">
          <cell r="A137" t="str">
            <v>3V0201280</v>
          </cell>
          <cell r="B137" t="str">
            <v>3V02-18-10.55</v>
          </cell>
          <cell r="C137">
            <v>0.252</v>
          </cell>
        </row>
        <row r="138">
          <cell r="A138" t="str">
            <v>3V0201200</v>
          </cell>
          <cell r="B138" t="str">
            <v>3V02-18-11.05</v>
          </cell>
          <cell r="C138">
            <v>0.252</v>
          </cell>
        </row>
        <row r="139">
          <cell r="A139" t="str">
            <v>3V02012K0</v>
          </cell>
          <cell r="B139" t="str">
            <v>3V02-18-11.05-K</v>
          </cell>
          <cell r="C139">
            <v>0.252</v>
          </cell>
        </row>
        <row r="140">
          <cell r="A140" t="str">
            <v>3V02012R0</v>
          </cell>
          <cell r="B140" t="str">
            <v>3V02-18-11.05-R</v>
          </cell>
          <cell r="C140">
            <v>0.252</v>
          </cell>
        </row>
        <row r="141">
          <cell r="A141" t="str">
            <v>3V0201250</v>
          </cell>
          <cell r="B141" t="str">
            <v>3V02-18-11.55</v>
          </cell>
          <cell r="C141">
            <v>0.252</v>
          </cell>
        </row>
        <row r="142">
          <cell r="A142" t="str">
            <v>3V02012A0</v>
          </cell>
          <cell r="B142" t="str">
            <v>3V02-18-11.55-A</v>
          </cell>
          <cell r="C142">
            <v>0.252</v>
          </cell>
        </row>
        <row r="143">
          <cell r="A143" t="str">
            <v>3V02012B0</v>
          </cell>
          <cell r="B143" t="str">
            <v>3V02-18-11.55-B</v>
          </cell>
          <cell r="C143">
            <v>0.252</v>
          </cell>
        </row>
        <row r="144">
          <cell r="A144" t="str">
            <v>3V0201210</v>
          </cell>
          <cell r="B144" t="str">
            <v>3V02-18-12.05</v>
          </cell>
          <cell r="C144">
            <v>0.252</v>
          </cell>
        </row>
        <row r="145">
          <cell r="A145" t="str">
            <v>3V02012C0</v>
          </cell>
          <cell r="B145" t="str">
            <v>3V02-18-12.05-C</v>
          </cell>
          <cell r="C145">
            <v>0.252</v>
          </cell>
        </row>
        <row r="146">
          <cell r="A146" t="str">
            <v>3V02012P0</v>
          </cell>
          <cell r="B146" t="str">
            <v>3V02-18-12.05-P</v>
          </cell>
          <cell r="C146">
            <v>0.252</v>
          </cell>
        </row>
        <row r="147">
          <cell r="A147" t="str">
            <v>3V0201220</v>
          </cell>
          <cell r="B147" t="str">
            <v>3V02-18-12.55</v>
          </cell>
          <cell r="C147">
            <v>0.252</v>
          </cell>
        </row>
        <row r="148">
          <cell r="A148" t="str">
            <v>3V02012E0</v>
          </cell>
          <cell r="B148" t="str">
            <v>3V02-18-12.55-E</v>
          </cell>
          <cell r="C148">
            <v>0.252</v>
          </cell>
        </row>
        <row r="149">
          <cell r="A149" t="str">
            <v>3V02012L0</v>
          </cell>
          <cell r="B149" t="str">
            <v>3V02-18-12.55-L</v>
          </cell>
          <cell r="C149">
            <v>0.252</v>
          </cell>
        </row>
        <row r="150">
          <cell r="A150" t="str">
            <v>3V0201230</v>
          </cell>
          <cell r="B150" t="str">
            <v>3V02-18-13.05</v>
          </cell>
          <cell r="C150">
            <v>0.252</v>
          </cell>
        </row>
        <row r="151">
          <cell r="A151" t="str">
            <v>3V0201240</v>
          </cell>
          <cell r="B151" t="str">
            <v>3V02-18-13.55</v>
          </cell>
          <cell r="C151">
            <v>0.252</v>
          </cell>
        </row>
        <row r="152">
          <cell r="A152" t="str">
            <v>3V02012Q0</v>
          </cell>
          <cell r="B152" t="str">
            <v>3V02-18-13.55-Q</v>
          </cell>
          <cell r="C152">
            <v>0.252</v>
          </cell>
        </row>
        <row r="153">
          <cell r="A153" t="str">
            <v>3V0201260</v>
          </cell>
          <cell r="B153" t="str">
            <v>3V02-18-14.05</v>
          </cell>
          <cell r="C153">
            <v>0.252</v>
          </cell>
        </row>
        <row r="154">
          <cell r="A154" t="str">
            <v>3V02012F0</v>
          </cell>
          <cell r="B154" t="str">
            <v>3V02-18-14.05-F</v>
          </cell>
          <cell r="C154">
            <v>0.252</v>
          </cell>
        </row>
        <row r="155">
          <cell r="A155" t="str">
            <v>3V02012M0</v>
          </cell>
          <cell r="B155" t="str">
            <v>3V02-18-14.05-M</v>
          </cell>
          <cell r="C155">
            <v>0.252</v>
          </cell>
        </row>
        <row r="156">
          <cell r="A156" t="str">
            <v>3V0201270</v>
          </cell>
          <cell r="B156" t="str">
            <v>3V02-18-15.05</v>
          </cell>
          <cell r="C156">
            <v>0.252</v>
          </cell>
        </row>
        <row r="157">
          <cell r="A157" t="str">
            <v>3V02012N0</v>
          </cell>
          <cell r="B157" t="str">
            <v>3V02-18-15.55</v>
          </cell>
          <cell r="C157">
            <v>0.252</v>
          </cell>
        </row>
        <row r="158">
          <cell r="A158" t="str">
            <v>3V02012G0</v>
          </cell>
          <cell r="B158" t="str">
            <v>3V02-18-9.55</v>
          </cell>
          <cell r="C158">
            <v>0.252</v>
          </cell>
        </row>
        <row r="159">
          <cell r="A159" t="str">
            <v>3V0271810</v>
          </cell>
          <cell r="B159" t="str">
            <v>3V02-19.4-12.55</v>
          </cell>
          <cell r="C159">
            <v>0.49</v>
          </cell>
        </row>
        <row r="160">
          <cell r="A160" t="str">
            <v>3V0271820</v>
          </cell>
          <cell r="B160" t="str">
            <v>3V02-19.4-13.05</v>
          </cell>
          <cell r="C160">
            <v>0.49</v>
          </cell>
        </row>
        <row r="161">
          <cell r="A161" t="str">
            <v>3V0271800</v>
          </cell>
          <cell r="B161" t="str">
            <v>3V02-19.4-13.55</v>
          </cell>
          <cell r="C161">
            <v>0.49</v>
          </cell>
        </row>
        <row r="162">
          <cell r="A162" t="str">
            <v>3V0257300</v>
          </cell>
          <cell r="B162" t="str">
            <v>3V02-19.5-4</v>
          </cell>
          <cell r="C162">
            <v>2.4249999999999998</v>
          </cell>
        </row>
        <row r="163">
          <cell r="A163" t="str">
            <v>3V0257600</v>
          </cell>
          <cell r="B163" t="str">
            <v>3V02-19.8-18</v>
          </cell>
          <cell r="C163">
            <v>0.44</v>
          </cell>
        </row>
        <row r="164">
          <cell r="A164" t="str">
            <v>3V0245200</v>
          </cell>
          <cell r="B164" t="str">
            <v>3V02-19-13.55</v>
          </cell>
          <cell r="C164">
            <v>0.44</v>
          </cell>
        </row>
        <row r="165">
          <cell r="A165" t="str">
            <v>3V0245210</v>
          </cell>
          <cell r="B165" t="str">
            <v>3V02-19-14.05</v>
          </cell>
          <cell r="C165">
            <v>0.44</v>
          </cell>
        </row>
        <row r="166">
          <cell r="A166" t="str">
            <v>3V0245220</v>
          </cell>
          <cell r="B166" t="str">
            <v>3V02-19-14.55</v>
          </cell>
          <cell r="C166">
            <v>0.44</v>
          </cell>
        </row>
        <row r="167">
          <cell r="A167" t="str">
            <v>3V0245230</v>
          </cell>
          <cell r="B167" t="str">
            <v>3V02-19-15.05</v>
          </cell>
          <cell r="C167">
            <v>0.44</v>
          </cell>
        </row>
        <row r="168">
          <cell r="A168" t="str">
            <v>3V0245240</v>
          </cell>
          <cell r="B168" t="str">
            <v>3V02-19-15.55</v>
          </cell>
          <cell r="C168">
            <v>0.44</v>
          </cell>
        </row>
        <row r="169">
          <cell r="A169" t="str">
            <v>3V0257400</v>
          </cell>
          <cell r="B169" t="str">
            <v>3V02-21-4</v>
          </cell>
          <cell r="C169">
            <v>2.4249999999999998</v>
          </cell>
        </row>
        <row r="170">
          <cell r="A170" t="str">
            <v>3V0248000</v>
          </cell>
          <cell r="B170" t="str">
            <v>3V02-22.2-20</v>
          </cell>
          <cell r="C170">
            <v>0.56999999999999995</v>
          </cell>
        </row>
        <row r="171">
          <cell r="A171" t="str">
            <v>3V0298400</v>
          </cell>
          <cell r="B171" t="str">
            <v>3V02-22-20.6</v>
          </cell>
          <cell r="C171">
            <v>0.38</v>
          </cell>
        </row>
        <row r="172">
          <cell r="A172" t="str">
            <v>3V0277500</v>
          </cell>
          <cell r="B172" t="str">
            <v>3V02-23.5-15.55</v>
          </cell>
          <cell r="C172">
            <v>0.52</v>
          </cell>
        </row>
        <row r="173">
          <cell r="A173" t="str">
            <v>3V0277520</v>
          </cell>
          <cell r="B173" t="str">
            <v>3V02-23.5-16.55</v>
          </cell>
          <cell r="C173">
            <v>0.52</v>
          </cell>
        </row>
        <row r="174">
          <cell r="A174" t="str">
            <v>3V0277510</v>
          </cell>
          <cell r="B174" t="str">
            <v>3V02-23.5-17.55</v>
          </cell>
          <cell r="C174">
            <v>0.52</v>
          </cell>
        </row>
        <row r="175">
          <cell r="A175" t="str">
            <v>3V0225200</v>
          </cell>
          <cell r="B175" t="str">
            <v>3V02-23.5-20.6</v>
          </cell>
          <cell r="C175">
            <v>0.54</v>
          </cell>
        </row>
        <row r="176">
          <cell r="A176" t="str">
            <v>3V0230000</v>
          </cell>
          <cell r="B176" t="str">
            <v>3V02-23-20.6</v>
          </cell>
          <cell r="C176">
            <v>0.68969999999999998</v>
          </cell>
        </row>
        <row r="177">
          <cell r="A177" t="str">
            <v>3V0298450</v>
          </cell>
          <cell r="B177" t="str">
            <v>3V02-23-20.6-5</v>
          </cell>
          <cell r="C177">
            <v>0.44</v>
          </cell>
        </row>
        <row r="178">
          <cell r="A178" t="str">
            <v>3V0240110</v>
          </cell>
          <cell r="B178" t="str">
            <v>3V02-24.4-15.5</v>
          </cell>
          <cell r="C178">
            <v>0.59</v>
          </cell>
        </row>
        <row r="179">
          <cell r="A179" t="str">
            <v>3V0240120</v>
          </cell>
          <cell r="B179" t="str">
            <v>3V02-24.4-16</v>
          </cell>
          <cell r="C179">
            <v>0.59</v>
          </cell>
        </row>
        <row r="180">
          <cell r="A180" t="str">
            <v>3V0240130</v>
          </cell>
          <cell r="B180" t="str">
            <v>3V02-24.4-16.5</v>
          </cell>
          <cell r="C180">
            <v>0.59</v>
          </cell>
        </row>
        <row r="181">
          <cell r="A181" t="str">
            <v>3V0240140</v>
          </cell>
          <cell r="B181" t="str">
            <v>3V02-24.4-17</v>
          </cell>
          <cell r="C181">
            <v>0.59</v>
          </cell>
        </row>
        <row r="182">
          <cell r="A182" t="str">
            <v>3V0240100</v>
          </cell>
          <cell r="B182" t="str">
            <v>3V02-24.4-18</v>
          </cell>
          <cell r="C182">
            <v>0.59</v>
          </cell>
        </row>
        <row r="183">
          <cell r="A183" t="str">
            <v>3V0240150</v>
          </cell>
          <cell r="B183" t="str">
            <v>3V02-24.4-18-5</v>
          </cell>
          <cell r="C183">
            <v>0.59</v>
          </cell>
        </row>
        <row r="184">
          <cell r="A184" t="str">
            <v>3V0240160</v>
          </cell>
          <cell r="B184" t="str">
            <v>3V02-24.4-18-6</v>
          </cell>
          <cell r="C184">
            <v>0.59</v>
          </cell>
        </row>
        <row r="185">
          <cell r="A185" t="str">
            <v>3V0240170</v>
          </cell>
          <cell r="B185" t="str">
            <v>3V02-24.4-18-7</v>
          </cell>
          <cell r="C185">
            <v>0.59</v>
          </cell>
        </row>
        <row r="186">
          <cell r="A186" t="str">
            <v>3V0229400</v>
          </cell>
          <cell r="B186" t="str">
            <v>3V02-24-21.2</v>
          </cell>
          <cell r="C186">
            <v>0.68969999999999998</v>
          </cell>
        </row>
        <row r="187">
          <cell r="A187" t="str">
            <v>3V0257500</v>
          </cell>
          <cell r="B187" t="str">
            <v>3V02-24-5.5</v>
          </cell>
          <cell r="C187">
            <v>2.5249999999999999</v>
          </cell>
        </row>
        <row r="188">
          <cell r="A188" t="str">
            <v>3V0230300</v>
          </cell>
          <cell r="B188" t="str">
            <v>3V02-25.4-16.2</v>
          </cell>
          <cell r="C188">
            <v>0.68969999999999998</v>
          </cell>
        </row>
        <row r="189">
          <cell r="A189" t="str">
            <v>3V0207500</v>
          </cell>
          <cell r="B189" t="str">
            <v>3V02-25.4-22.65</v>
          </cell>
          <cell r="C189">
            <v>0.74250000000000005</v>
          </cell>
        </row>
        <row r="190">
          <cell r="A190" t="str">
            <v>3V0207540</v>
          </cell>
          <cell r="B190" t="str">
            <v>3V02-25.4-22.65-4</v>
          </cell>
          <cell r="C190">
            <v>0.74250000000000005</v>
          </cell>
        </row>
        <row r="191">
          <cell r="A191" t="str">
            <v>3V0207560</v>
          </cell>
          <cell r="B191" t="str">
            <v>3V02-25.4-22.65-6</v>
          </cell>
          <cell r="C191">
            <v>0.74250000000000005</v>
          </cell>
        </row>
        <row r="192">
          <cell r="A192" t="str">
            <v>3V0207550</v>
          </cell>
          <cell r="B192" t="str">
            <v>3V02-25.4-23</v>
          </cell>
          <cell r="C192">
            <v>0.74250000000000005</v>
          </cell>
        </row>
        <row r="193">
          <cell r="A193" t="str">
            <v>3V0207510</v>
          </cell>
          <cell r="B193" t="str">
            <v>3V02-25.4-23.6</v>
          </cell>
          <cell r="C193">
            <v>0.74250000000000005</v>
          </cell>
        </row>
        <row r="194">
          <cell r="A194" t="str">
            <v>3V0207520</v>
          </cell>
          <cell r="B194" t="str">
            <v>3V02-25.4-24</v>
          </cell>
          <cell r="C194">
            <v>0.74250000000000005</v>
          </cell>
        </row>
        <row r="195">
          <cell r="A195" t="str">
            <v>3V0207580</v>
          </cell>
          <cell r="B195" t="str">
            <v>3V02-25.4-24-8</v>
          </cell>
          <cell r="C195">
            <v>0.74250000000000005</v>
          </cell>
        </row>
        <row r="196">
          <cell r="A196" t="str">
            <v>3V0298430</v>
          </cell>
          <cell r="B196" t="str">
            <v>3V02-25.5-20</v>
          </cell>
          <cell r="C196">
            <v>0.5</v>
          </cell>
        </row>
        <row r="197">
          <cell r="A197" t="str">
            <v>3V0221000</v>
          </cell>
          <cell r="B197" t="str">
            <v>3V02-25.5-22</v>
          </cell>
          <cell r="C197">
            <v>0.45</v>
          </cell>
        </row>
        <row r="198">
          <cell r="A198" t="str">
            <v>3V0210800</v>
          </cell>
          <cell r="B198" t="str">
            <v>3V02-25.5-22.2</v>
          </cell>
          <cell r="C198">
            <v>0.4</v>
          </cell>
        </row>
        <row r="199">
          <cell r="A199" t="str">
            <v>3V0210810</v>
          </cell>
          <cell r="B199" t="str">
            <v>3V02-25.5-22.3</v>
          </cell>
          <cell r="C199">
            <v>0.4</v>
          </cell>
        </row>
        <row r="200">
          <cell r="A200" t="str">
            <v>3V0221010</v>
          </cell>
          <cell r="B200" t="str">
            <v>3V02-25.5-23</v>
          </cell>
          <cell r="C200">
            <v>0.45</v>
          </cell>
        </row>
        <row r="201">
          <cell r="A201" t="str">
            <v>3V0298460</v>
          </cell>
          <cell r="B201" t="str">
            <v>3V02-25.5-23.1</v>
          </cell>
          <cell r="C201">
            <v>0.5</v>
          </cell>
        </row>
        <row r="202">
          <cell r="A202" t="str">
            <v>3V0245400</v>
          </cell>
          <cell r="B202" t="str">
            <v>3V02-25-13.5</v>
          </cell>
          <cell r="C202">
            <v>0.54</v>
          </cell>
        </row>
        <row r="203">
          <cell r="A203" t="str">
            <v>3V0245410</v>
          </cell>
          <cell r="B203" t="str">
            <v>3V02-25-14</v>
          </cell>
          <cell r="C203">
            <v>0.54</v>
          </cell>
        </row>
        <row r="204">
          <cell r="A204" t="str">
            <v>3V0245430</v>
          </cell>
          <cell r="B204" t="str">
            <v>3V02-25-14.5</v>
          </cell>
          <cell r="C204">
            <v>0.54</v>
          </cell>
        </row>
        <row r="205">
          <cell r="A205" t="str">
            <v>3V0245420</v>
          </cell>
          <cell r="B205" t="str">
            <v>3V02-25-14-2</v>
          </cell>
          <cell r="C205">
            <v>0.54</v>
          </cell>
        </row>
        <row r="206">
          <cell r="A206" t="str">
            <v>3V0245440</v>
          </cell>
          <cell r="B206" t="str">
            <v>3V02-25-15</v>
          </cell>
          <cell r="C206">
            <v>0.54</v>
          </cell>
        </row>
        <row r="207">
          <cell r="A207" t="str">
            <v>3V0245450</v>
          </cell>
          <cell r="B207" t="str">
            <v>3V02-25-15.5</v>
          </cell>
          <cell r="C207">
            <v>0.54</v>
          </cell>
        </row>
        <row r="208">
          <cell r="A208" t="str">
            <v>3V0245460</v>
          </cell>
          <cell r="B208" t="str">
            <v>3V02-25-17</v>
          </cell>
          <cell r="C208">
            <v>0.54</v>
          </cell>
        </row>
        <row r="209">
          <cell r="A209" t="str">
            <v>3V0257900</v>
          </cell>
          <cell r="B209" t="str">
            <v>3V02-25-21.8</v>
          </cell>
          <cell r="C209">
            <v>0.85</v>
          </cell>
        </row>
        <row r="210">
          <cell r="A210" t="str">
            <v>3V0298440</v>
          </cell>
          <cell r="B210" t="str">
            <v>3V02-25-23.1-4</v>
          </cell>
          <cell r="C210">
            <v>0.5</v>
          </cell>
        </row>
        <row r="211">
          <cell r="A211" t="str">
            <v>3V0298420</v>
          </cell>
          <cell r="B211" t="str">
            <v>3V02-26-21.1</v>
          </cell>
          <cell r="C211">
            <v>0.54</v>
          </cell>
        </row>
        <row r="212">
          <cell r="A212" t="str">
            <v>3V0229300</v>
          </cell>
          <cell r="B212" t="str">
            <v>3V02-26-23.15</v>
          </cell>
          <cell r="C212">
            <v>0.68969999999999998</v>
          </cell>
        </row>
        <row r="213">
          <cell r="A213" t="str">
            <v>3V0270210</v>
          </cell>
          <cell r="B213" t="str">
            <v>3V02-27.4-26</v>
          </cell>
          <cell r="C213">
            <v>0.56999999999999995</v>
          </cell>
        </row>
        <row r="214">
          <cell r="A214" t="str">
            <v>3V0179600</v>
          </cell>
          <cell r="B214" t="str">
            <v>3V02-27.6-24</v>
          </cell>
          <cell r="C214">
            <v>0.49</v>
          </cell>
        </row>
        <row r="215">
          <cell r="A215" t="str">
            <v>3V0264500</v>
          </cell>
          <cell r="B215" t="str">
            <v>3V02-28.6-24.8</v>
          </cell>
          <cell r="C215">
            <v>0.64</v>
          </cell>
        </row>
        <row r="216">
          <cell r="A216" t="str">
            <v>3V0293500</v>
          </cell>
          <cell r="B216" t="str">
            <v>3V02-28-24.7</v>
          </cell>
          <cell r="C216">
            <v>0.59</v>
          </cell>
        </row>
        <row r="217">
          <cell r="A217" t="str">
            <v>3V0298470</v>
          </cell>
          <cell r="B217" t="str">
            <v>3V02-29-23</v>
          </cell>
          <cell r="C217">
            <v>0.59</v>
          </cell>
        </row>
        <row r="218">
          <cell r="A218" t="str">
            <v>3V0298410</v>
          </cell>
          <cell r="B218" t="str">
            <v>3V02-29-24</v>
          </cell>
          <cell r="C218">
            <v>0.59</v>
          </cell>
        </row>
        <row r="219">
          <cell r="A219" t="str">
            <v>3V0274900</v>
          </cell>
          <cell r="B219" t="str">
            <v>3V02-29-25.85</v>
          </cell>
          <cell r="C219">
            <v>0.39</v>
          </cell>
        </row>
        <row r="220">
          <cell r="A220" t="str">
            <v>3V0274910</v>
          </cell>
          <cell r="B220" t="str">
            <v>3V02-29-26.85</v>
          </cell>
          <cell r="C220">
            <v>0.39</v>
          </cell>
        </row>
        <row r="221">
          <cell r="A221" t="str">
            <v>3V0207400</v>
          </cell>
          <cell r="B221" t="str">
            <v>3V02-30.8-22.65</v>
          </cell>
          <cell r="C221">
            <v>0.84150000000000003</v>
          </cell>
        </row>
        <row r="222">
          <cell r="A222" t="str">
            <v>3V0207440</v>
          </cell>
          <cell r="B222" t="str">
            <v>3V02-30.8-22.65-4</v>
          </cell>
          <cell r="C222">
            <v>0.84150000000000003</v>
          </cell>
        </row>
        <row r="223">
          <cell r="A223" t="str">
            <v>3V0207430</v>
          </cell>
          <cell r="B223" t="str">
            <v>3V02-30.8-23</v>
          </cell>
          <cell r="C223">
            <v>0.84150000000000003</v>
          </cell>
        </row>
        <row r="224">
          <cell r="A224" t="str">
            <v>3V0207410</v>
          </cell>
          <cell r="B224" t="str">
            <v>3V02-30.8-23.6</v>
          </cell>
          <cell r="C224">
            <v>0.84150000000000003</v>
          </cell>
        </row>
        <row r="225">
          <cell r="A225" t="str">
            <v>3V0207420</v>
          </cell>
          <cell r="B225" t="str">
            <v>3V02-30.8-24</v>
          </cell>
          <cell r="C225">
            <v>0.84150000000000003</v>
          </cell>
        </row>
        <row r="226">
          <cell r="A226" t="str">
            <v>3V0270000</v>
          </cell>
          <cell r="B226" t="str">
            <v>3V02-31-22.6</v>
          </cell>
          <cell r="C226">
            <v>0.92</v>
          </cell>
        </row>
        <row r="227">
          <cell r="A227" t="str">
            <v>3V0270010</v>
          </cell>
          <cell r="B227" t="str">
            <v>3V02-31-23</v>
          </cell>
          <cell r="C227">
            <v>0.92</v>
          </cell>
        </row>
        <row r="228">
          <cell r="A228" t="str">
            <v>3V0270020</v>
          </cell>
          <cell r="B228" t="str">
            <v>3V02-31-24</v>
          </cell>
          <cell r="C228">
            <v>0.92</v>
          </cell>
        </row>
        <row r="229">
          <cell r="A229" t="str">
            <v>3V0252720</v>
          </cell>
          <cell r="B229" t="str">
            <v>3V02527-16.5-10.05</v>
          </cell>
          <cell r="C229">
            <v>0.45</v>
          </cell>
        </row>
        <row r="230">
          <cell r="A230" t="str">
            <v>3V0252730</v>
          </cell>
          <cell r="B230" t="str">
            <v>3V02527-16.5-10.55</v>
          </cell>
          <cell r="C230">
            <v>0.45</v>
          </cell>
        </row>
        <row r="231">
          <cell r="A231" t="str">
            <v>3V0252740</v>
          </cell>
          <cell r="B231" t="str">
            <v>3V02527-16.5-11.05</v>
          </cell>
          <cell r="C231">
            <v>0.45</v>
          </cell>
        </row>
        <row r="232">
          <cell r="A232" t="str">
            <v>3V0252710</v>
          </cell>
          <cell r="B232" t="str">
            <v>3V02527-16.5-11.55</v>
          </cell>
          <cell r="C232">
            <v>0.45</v>
          </cell>
        </row>
        <row r="233">
          <cell r="A233" t="str">
            <v>3V0252750</v>
          </cell>
          <cell r="B233" t="str">
            <v>3V02527-16.5-13.05</v>
          </cell>
          <cell r="C233">
            <v>0.45</v>
          </cell>
        </row>
        <row r="234">
          <cell r="A234" t="str">
            <v>3V0252700</v>
          </cell>
          <cell r="B234" t="str">
            <v>3V02527-16.5-9.55</v>
          </cell>
          <cell r="C234">
            <v>0.45</v>
          </cell>
        </row>
        <row r="235">
          <cell r="A235" t="str">
            <v>3V0254500</v>
          </cell>
          <cell r="B235" t="str">
            <v>3V02545-24-21.2</v>
          </cell>
          <cell r="C235">
            <v>0.45</v>
          </cell>
        </row>
        <row r="236">
          <cell r="A236" t="str">
            <v>3V0265600</v>
          </cell>
          <cell r="B236" t="str">
            <v>3V0265600</v>
          </cell>
          <cell r="C236">
            <v>1.1639999999999999</v>
          </cell>
        </row>
        <row r="237">
          <cell r="A237" t="str">
            <v>3V0265610</v>
          </cell>
          <cell r="B237" t="str">
            <v>3V0265610</v>
          </cell>
          <cell r="C237">
            <v>1.1639999999999999</v>
          </cell>
        </row>
        <row r="238">
          <cell r="A238" t="str">
            <v>3V0265620</v>
          </cell>
          <cell r="B238" t="str">
            <v>3V0265620</v>
          </cell>
          <cell r="C238">
            <v>1.1639999999999999</v>
          </cell>
        </row>
        <row r="239">
          <cell r="A239" t="str">
            <v>3V0265630</v>
          </cell>
          <cell r="B239" t="str">
            <v>3V0265630</v>
          </cell>
          <cell r="C239">
            <v>1.1639999999999999</v>
          </cell>
        </row>
        <row r="240">
          <cell r="A240" t="str">
            <v>3V0265800</v>
          </cell>
          <cell r="B240" t="str">
            <v>3V0265800</v>
          </cell>
          <cell r="C240">
            <v>1.2609999999999999</v>
          </cell>
        </row>
        <row r="241">
          <cell r="A241" t="str">
            <v>3V0272340</v>
          </cell>
          <cell r="B241" t="str">
            <v>3V0272340</v>
          </cell>
          <cell r="C241">
            <v>0.42</v>
          </cell>
        </row>
        <row r="242">
          <cell r="A242" t="str">
            <v>3V0275700</v>
          </cell>
          <cell r="B242" t="str">
            <v>3V02757-25-22</v>
          </cell>
          <cell r="C242">
            <v>0.6</v>
          </cell>
        </row>
        <row r="243">
          <cell r="A243" t="str">
            <v>3V0280500</v>
          </cell>
          <cell r="B243" t="str">
            <v>3V02805-26.2-22</v>
          </cell>
          <cell r="C243">
            <v>0.59</v>
          </cell>
        </row>
        <row r="244">
          <cell r="A244" t="str">
            <v>3V0309801</v>
          </cell>
          <cell r="B244" t="str">
            <v>3V03098-12-1</v>
          </cell>
          <cell r="C244">
            <v>0.85</v>
          </cell>
        </row>
        <row r="245">
          <cell r="A245" t="str">
            <v>3V0309901</v>
          </cell>
          <cell r="B245" t="str">
            <v>3V03099-13-1</v>
          </cell>
          <cell r="C245">
            <v>0.85</v>
          </cell>
        </row>
        <row r="246">
          <cell r="A246" t="str">
            <v>3V0310001</v>
          </cell>
          <cell r="B246" t="str">
            <v>3V03100-13-1</v>
          </cell>
          <cell r="C246">
            <v>0.85</v>
          </cell>
        </row>
        <row r="247">
          <cell r="A247" t="str">
            <v>3V0310101</v>
          </cell>
          <cell r="B247" t="str">
            <v>3V03101-11.5-1</v>
          </cell>
          <cell r="C247">
            <v>0.85</v>
          </cell>
        </row>
        <row r="248">
          <cell r="A248" t="str">
            <v>3V0310100</v>
          </cell>
          <cell r="B248" t="str">
            <v>3V03-11.5-8.65</v>
          </cell>
          <cell r="C248">
            <v>0.85</v>
          </cell>
        </row>
        <row r="249">
          <cell r="A249" t="str">
            <v>3V0309800</v>
          </cell>
          <cell r="B249" t="str">
            <v>3V03-12-10.35</v>
          </cell>
          <cell r="C249">
            <v>0.85</v>
          </cell>
        </row>
        <row r="250">
          <cell r="A250" t="str">
            <v>3V0309900</v>
          </cell>
          <cell r="B250" t="str">
            <v>3V03-13-11.1</v>
          </cell>
          <cell r="C250">
            <v>0.85</v>
          </cell>
        </row>
        <row r="251">
          <cell r="A251" t="str">
            <v>3V0310000</v>
          </cell>
          <cell r="B251" t="str">
            <v>3V03-13-11.1-25</v>
          </cell>
          <cell r="C251">
            <v>0.85</v>
          </cell>
        </row>
        <row r="252">
          <cell r="A252" t="str">
            <v>3V0313310</v>
          </cell>
          <cell r="B252" t="str">
            <v>3V03133-31.5-14.5</v>
          </cell>
          <cell r="C252">
            <v>0.85</v>
          </cell>
        </row>
        <row r="253">
          <cell r="A253" t="str">
            <v>3V0313340</v>
          </cell>
          <cell r="B253" t="str">
            <v>3V03133-31.5-15</v>
          </cell>
          <cell r="C253">
            <v>0.85</v>
          </cell>
        </row>
        <row r="254">
          <cell r="A254" t="str">
            <v>3V0313320</v>
          </cell>
          <cell r="B254" t="str">
            <v>3V03133-31.5-15.5</v>
          </cell>
          <cell r="C254">
            <v>0.85</v>
          </cell>
        </row>
        <row r="255">
          <cell r="A255" t="str">
            <v>3V0313300</v>
          </cell>
          <cell r="B255" t="str">
            <v>3V03133-31.5-17.5</v>
          </cell>
          <cell r="C255">
            <v>0.85</v>
          </cell>
        </row>
        <row r="256">
          <cell r="A256" t="str">
            <v>3V0313330</v>
          </cell>
          <cell r="B256" t="str">
            <v>3V03133-31.5-18</v>
          </cell>
          <cell r="C256">
            <v>0.85</v>
          </cell>
        </row>
        <row r="257">
          <cell r="A257" t="str">
            <v>3V0313610</v>
          </cell>
          <cell r="B257" t="str">
            <v>3V03136-31.5-14.5</v>
          </cell>
          <cell r="C257">
            <v>0.7</v>
          </cell>
        </row>
        <row r="258">
          <cell r="A258" t="str">
            <v>3V0313640</v>
          </cell>
          <cell r="B258" t="str">
            <v>3V03136-31.5-15</v>
          </cell>
          <cell r="C258">
            <v>0.7</v>
          </cell>
        </row>
        <row r="259">
          <cell r="A259" t="str">
            <v>3V0313620</v>
          </cell>
          <cell r="B259" t="str">
            <v>3V03136-31.5-15.5</v>
          </cell>
          <cell r="C259">
            <v>0.7</v>
          </cell>
        </row>
        <row r="260">
          <cell r="A260" t="str">
            <v>3V0313650</v>
          </cell>
          <cell r="B260" t="str">
            <v>3V03136-31.5-15.5-5</v>
          </cell>
          <cell r="C260">
            <v>0.7</v>
          </cell>
        </row>
        <row r="261">
          <cell r="A261" t="str">
            <v>3V0313600</v>
          </cell>
          <cell r="B261" t="str">
            <v>3V03136-31.5-17.5</v>
          </cell>
          <cell r="C261">
            <v>0.7</v>
          </cell>
        </row>
        <row r="262">
          <cell r="A262" t="str">
            <v>3V0313630</v>
          </cell>
          <cell r="B262" t="str">
            <v>3V03136-31.5-18</v>
          </cell>
          <cell r="C262">
            <v>0.7</v>
          </cell>
        </row>
        <row r="263">
          <cell r="A263" t="str">
            <v>3V0317000</v>
          </cell>
          <cell r="B263" t="str">
            <v>3V03170-24.8-20.6</v>
          </cell>
          <cell r="C263">
            <v>0.54</v>
          </cell>
        </row>
        <row r="264">
          <cell r="A264" t="str">
            <v>3V0318000</v>
          </cell>
          <cell r="B264" t="str">
            <v>3V03180-19.5-11.05</v>
          </cell>
          <cell r="C264">
            <v>0.56999999999999995</v>
          </cell>
        </row>
        <row r="265">
          <cell r="A265" t="str">
            <v>3V0318010</v>
          </cell>
          <cell r="B265" t="str">
            <v>3V03180-19.5-11.55</v>
          </cell>
          <cell r="C265">
            <v>0.56999999999999995</v>
          </cell>
        </row>
        <row r="266">
          <cell r="A266" t="str">
            <v>3V0318020</v>
          </cell>
          <cell r="B266" t="str">
            <v>3V03180-19.5-12.05</v>
          </cell>
          <cell r="C266">
            <v>0.56999999999999995</v>
          </cell>
        </row>
        <row r="267">
          <cell r="A267" t="str">
            <v>3V0318030</v>
          </cell>
          <cell r="B267" t="str">
            <v>3V03180-19.5-12.55</v>
          </cell>
          <cell r="C267">
            <v>0.56999999999999995</v>
          </cell>
        </row>
        <row r="268">
          <cell r="A268" t="str">
            <v>3V0320610</v>
          </cell>
          <cell r="B268" t="str">
            <v>3V03-19.5-13.05</v>
          </cell>
          <cell r="C268">
            <v>0.44</v>
          </cell>
        </row>
        <row r="269">
          <cell r="A269" t="str">
            <v>3V0320600</v>
          </cell>
          <cell r="B269" t="str">
            <v>3V03-19.5-13.55</v>
          </cell>
          <cell r="C269">
            <v>0.44</v>
          </cell>
        </row>
        <row r="270">
          <cell r="A270" t="str">
            <v>3V0320620</v>
          </cell>
          <cell r="B270" t="str">
            <v>3V03-19.5-14.05</v>
          </cell>
          <cell r="C270">
            <v>0.44</v>
          </cell>
        </row>
        <row r="271">
          <cell r="A271" t="str">
            <v>3V0320630</v>
          </cell>
          <cell r="B271" t="str">
            <v>3V03-19.5-14.55</v>
          </cell>
          <cell r="C271">
            <v>0.44</v>
          </cell>
        </row>
        <row r="272">
          <cell r="A272" t="str">
            <v>3V0320660</v>
          </cell>
          <cell r="B272" t="str">
            <v>3V03-19.5-15.05</v>
          </cell>
          <cell r="C272">
            <v>0.44</v>
          </cell>
        </row>
        <row r="273">
          <cell r="A273" t="str">
            <v>3V0320640</v>
          </cell>
          <cell r="B273" t="str">
            <v>3V03-19.5-15.55</v>
          </cell>
          <cell r="C273">
            <v>0.44</v>
          </cell>
        </row>
        <row r="274">
          <cell r="A274" t="str">
            <v>3V0320650</v>
          </cell>
          <cell r="B274" t="str">
            <v>3V03-19.5-16.05</v>
          </cell>
          <cell r="C274">
            <v>0.44</v>
          </cell>
        </row>
        <row r="275">
          <cell r="A275" t="str">
            <v>3V0322300</v>
          </cell>
          <cell r="B275" t="str">
            <v>3V03223-19.5-17</v>
          </cell>
          <cell r="C275">
            <v>0.4</v>
          </cell>
        </row>
        <row r="276">
          <cell r="A276" t="str">
            <v>3V0326200</v>
          </cell>
          <cell r="B276" t="str">
            <v>3V03262-25-22.1</v>
          </cell>
          <cell r="C276">
            <v>0.5</v>
          </cell>
        </row>
        <row r="277">
          <cell r="A277" t="str">
            <v>3V0301320</v>
          </cell>
          <cell r="B277" t="str">
            <v>3V03-27-23.55</v>
          </cell>
          <cell r="C277">
            <v>0.45</v>
          </cell>
        </row>
        <row r="278">
          <cell r="A278" t="str">
            <v>3V0301310</v>
          </cell>
          <cell r="B278" t="str">
            <v>3V03-27-23.05</v>
          </cell>
          <cell r="C278">
            <v>0.45</v>
          </cell>
        </row>
        <row r="279">
          <cell r="A279" t="str">
            <v>3V0301300</v>
          </cell>
          <cell r="B279" t="str">
            <v>3V03-27-24</v>
          </cell>
          <cell r="C279">
            <v>0.45</v>
          </cell>
        </row>
        <row r="280">
          <cell r="A280" t="str">
            <v>3V0302200</v>
          </cell>
          <cell r="B280" t="str">
            <v>3V03-28-23.5</v>
          </cell>
          <cell r="C280">
            <v>0.59</v>
          </cell>
        </row>
        <row r="281">
          <cell r="A281" t="str">
            <v>3V0330400</v>
          </cell>
          <cell r="B281" t="str">
            <v>3V03304-21-16.05</v>
          </cell>
          <cell r="C281">
            <v>0.5</v>
          </cell>
        </row>
        <row r="282">
          <cell r="A282" t="str">
            <v>3V0331800</v>
          </cell>
          <cell r="B282" t="str">
            <v>3V03318-23-18.55</v>
          </cell>
          <cell r="C282">
            <v>0.49</v>
          </cell>
        </row>
        <row r="283">
          <cell r="A283" t="str">
            <v>3V0332000</v>
          </cell>
          <cell r="B283" t="str">
            <v>3V03320-19.5-11.05</v>
          </cell>
          <cell r="C283">
            <v>0.49</v>
          </cell>
        </row>
        <row r="284">
          <cell r="A284">
            <v>741648341</v>
          </cell>
          <cell r="B284" t="str">
            <v>7416-25.3-22.8</v>
          </cell>
          <cell r="C284">
            <v>0.4</v>
          </cell>
        </row>
        <row r="285">
          <cell r="A285" t="str">
            <v>7418950A0</v>
          </cell>
          <cell r="B285" t="str">
            <v>7418-14.5-12</v>
          </cell>
          <cell r="C285">
            <v>0.28999999999999998</v>
          </cell>
        </row>
        <row r="286">
          <cell r="A286">
            <v>741879700</v>
          </cell>
          <cell r="B286" t="str">
            <v>7418-23.5-20.5</v>
          </cell>
          <cell r="C286">
            <v>0.57999999999999996</v>
          </cell>
        </row>
        <row r="287">
          <cell r="A287">
            <v>741810300</v>
          </cell>
          <cell r="B287" t="str">
            <v>7418-25.3-24</v>
          </cell>
          <cell r="C287">
            <v>0.5</v>
          </cell>
        </row>
        <row r="288">
          <cell r="A288">
            <v>742535100</v>
          </cell>
          <cell r="B288" t="str">
            <v>7425-14.4-13</v>
          </cell>
          <cell r="C288">
            <v>0.28999999999999998</v>
          </cell>
        </row>
        <row r="289">
          <cell r="A289">
            <v>742514400</v>
          </cell>
          <cell r="B289" t="str">
            <v>7425-16.5-12</v>
          </cell>
          <cell r="C289">
            <v>0.45</v>
          </cell>
        </row>
        <row r="290">
          <cell r="A290">
            <v>742536200</v>
          </cell>
          <cell r="B290" t="str">
            <v>7425-16-15.05</v>
          </cell>
          <cell r="C290">
            <v>0.45</v>
          </cell>
        </row>
        <row r="291">
          <cell r="A291">
            <v>742542300</v>
          </cell>
          <cell r="B291" t="str">
            <v>7425-17.1-13.9</v>
          </cell>
          <cell r="C291">
            <v>0.33</v>
          </cell>
        </row>
        <row r="292">
          <cell r="A292">
            <v>742513500</v>
          </cell>
          <cell r="B292" t="str">
            <v>7425-17.5-14.95</v>
          </cell>
          <cell r="C292">
            <v>0.33</v>
          </cell>
        </row>
        <row r="293">
          <cell r="A293">
            <v>742513510</v>
          </cell>
          <cell r="B293" t="str">
            <v>7425-17.5-15.05</v>
          </cell>
          <cell r="C293">
            <v>0.33</v>
          </cell>
        </row>
        <row r="294">
          <cell r="A294">
            <v>742513200</v>
          </cell>
          <cell r="B294" t="str">
            <v>7425-17-14.95</v>
          </cell>
          <cell r="C294">
            <v>0.48299999999999998</v>
          </cell>
        </row>
        <row r="295">
          <cell r="A295">
            <v>742517200</v>
          </cell>
          <cell r="B295" t="str">
            <v>7425-19.4-17.05</v>
          </cell>
          <cell r="C295">
            <v>0.52</v>
          </cell>
        </row>
        <row r="296">
          <cell r="A296">
            <v>742521100</v>
          </cell>
          <cell r="B296" t="str">
            <v>7425-19.5-15.55</v>
          </cell>
          <cell r="C296">
            <v>0.4</v>
          </cell>
        </row>
        <row r="297">
          <cell r="A297">
            <v>742521130</v>
          </cell>
          <cell r="B297" t="str">
            <v>7425-19.5-16.05</v>
          </cell>
          <cell r="C297">
            <v>0.4</v>
          </cell>
        </row>
        <row r="298">
          <cell r="A298">
            <v>742521120</v>
          </cell>
          <cell r="B298" t="str">
            <v>7425-19.5-16.55</v>
          </cell>
          <cell r="C298">
            <v>0.4</v>
          </cell>
        </row>
        <row r="299">
          <cell r="A299">
            <v>742517010</v>
          </cell>
          <cell r="B299" t="str">
            <v>7425-19.5-16.95</v>
          </cell>
          <cell r="C299">
            <v>0.49</v>
          </cell>
        </row>
        <row r="300">
          <cell r="A300">
            <v>742517000</v>
          </cell>
          <cell r="B300" t="str">
            <v>7425-19.5-17.05</v>
          </cell>
          <cell r="C300">
            <v>0.49</v>
          </cell>
        </row>
        <row r="301">
          <cell r="A301">
            <v>742535740</v>
          </cell>
          <cell r="B301" t="str">
            <v>7425-19-12.05</v>
          </cell>
          <cell r="C301">
            <v>0.49</v>
          </cell>
        </row>
        <row r="302">
          <cell r="A302">
            <v>742535710</v>
          </cell>
          <cell r="B302" t="str">
            <v>7425-19-12.55</v>
          </cell>
          <cell r="C302">
            <v>0.49</v>
          </cell>
        </row>
        <row r="303">
          <cell r="A303">
            <v>742535720</v>
          </cell>
          <cell r="B303" t="str">
            <v>7425-19-13.05</v>
          </cell>
          <cell r="C303">
            <v>0.49</v>
          </cell>
        </row>
        <row r="304">
          <cell r="A304">
            <v>742535700</v>
          </cell>
          <cell r="B304" t="str">
            <v>7425-19-13.55</v>
          </cell>
          <cell r="C304">
            <v>0.49</v>
          </cell>
        </row>
        <row r="305">
          <cell r="A305">
            <v>742535730</v>
          </cell>
          <cell r="B305" t="str">
            <v>7425-19-14.05</v>
          </cell>
          <cell r="C305">
            <v>0.49</v>
          </cell>
        </row>
        <row r="306">
          <cell r="A306">
            <v>742535750</v>
          </cell>
          <cell r="B306" t="str">
            <v>7425-19-15.05</v>
          </cell>
          <cell r="C306">
            <v>0.49</v>
          </cell>
        </row>
        <row r="307">
          <cell r="A307">
            <v>742517410</v>
          </cell>
          <cell r="B307" t="str">
            <v>7425-20.4-16.65</v>
          </cell>
          <cell r="C307">
            <v>0.49</v>
          </cell>
        </row>
        <row r="308">
          <cell r="A308">
            <v>742517400</v>
          </cell>
          <cell r="B308" t="str">
            <v>7425-20.4-17.95</v>
          </cell>
          <cell r="C308">
            <v>0.49</v>
          </cell>
        </row>
        <row r="309">
          <cell r="A309">
            <v>742550000</v>
          </cell>
          <cell r="B309" t="str">
            <v>7425-21.5-19.8</v>
          </cell>
          <cell r="C309">
            <v>0.44</v>
          </cell>
        </row>
        <row r="310">
          <cell r="A310">
            <v>742545700</v>
          </cell>
          <cell r="B310" t="str">
            <v>7425-21.6-17.9</v>
          </cell>
          <cell r="C310">
            <v>0.44</v>
          </cell>
        </row>
        <row r="311">
          <cell r="A311">
            <v>742549000</v>
          </cell>
          <cell r="B311" t="str">
            <v>7425-21.85-19.8</v>
          </cell>
          <cell r="C311">
            <v>0.44</v>
          </cell>
        </row>
        <row r="312">
          <cell r="A312">
            <v>742542400</v>
          </cell>
          <cell r="B312" t="str">
            <v>7425-21-18</v>
          </cell>
          <cell r="C312">
            <v>0.52</v>
          </cell>
        </row>
        <row r="313">
          <cell r="A313">
            <v>742514500</v>
          </cell>
          <cell r="B313" t="str">
            <v>7425-22-20.6</v>
          </cell>
          <cell r="C313">
            <v>0.4</v>
          </cell>
        </row>
        <row r="314">
          <cell r="A314">
            <v>742548001</v>
          </cell>
          <cell r="B314" t="str">
            <v>7425-23.5-20.6</v>
          </cell>
          <cell r="C314">
            <v>0.59</v>
          </cell>
        </row>
        <row r="315">
          <cell r="A315">
            <v>742548011</v>
          </cell>
          <cell r="B315" t="str">
            <v>7425-23.5-20.6-1</v>
          </cell>
          <cell r="C315">
            <v>0.59</v>
          </cell>
        </row>
        <row r="316">
          <cell r="A316">
            <v>742544400</v>
          </cell>
          <cell r="B316" t="str">
            <v>7425-24.3-18.6</v>
          </cell>
          <cell r="C316">
            <v>0.5</v>
          </cell>
        </row>
        <row r="317">
          <cell r="A317">
            <v>742546001</v>
          </cell>
          <cell r="B317" t="str">
            <v>7425-26.4-24.2</v>
          </cell>
          <cell r="C317">
            <v>0.59</v>
          </cell>
        </row>
        <row r="318">
          <cell r="A318">
            <v>742517300</v>
          </cell>
          <cell r="B318" t="str">
            <v>7425-26.5-21.95</v>
          </cell>
          <cell r="C318">
            <v>0.5</v>
          </cell>
        </row>
        <row r="319">
          <cell r="A319">
            <v>742513300</v>
          </cell>
          <cell r="B319" t="str">
            <v>7425-26.8-24.8</v>
          </cell>
          <cell r="C319">
            <v>0.5635</v>
          </cell>
        </row>
        <row r="320">
          <cell r="A320">
            <v>742529300</v>
          </cell>
          <cell r="B320" t="str">
            <v>7425-26.9-24.7</v>
          </cell>
          <cell r="C320">
            <v>0.48</v>
          </cell>
        </row>
        <row r="321">
          <cell r="A321">
            <v>742513400</v>
          </cell>
          <cell r="B321" t="str">
            <v>7425-26-17.1</v>
          </cell>
          <cell r="C321">
            <v>0.5</v>
          </cell>
        </row>
        <row r="322">
          <cell r="A322">
            <v>752506000</v>
          </cell>
          <cell r="B322" t="str">
            <v>7525-23-19.7</v>
          </cell>
          <cell r="C322">
            <v>0.64700000000000002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34"/>
  <sheetViews>
    <sheetView zoomScaleNormal="100" workbookViewId="0">
      <pane ySplit="2" topLeftCell="A63" activePane="bottomLeft" state="frozen"/>
      <selection pane="bottomLeft" activeCell="D38" sqref="D38"/>
    </sheetView>
  </sheetViews>
  <sheetFormatPr defaultRowHeight="12.75" x14ac:dyDescent="0.2"/>
  <cols>
    <col min="1" max="1" width="7.42578125" style="13" customWidth="1"/>
    <col min="2" max="2" width="14" style="30" customWidth="1"/>
    <col min="3" max="3" width="8.28515625" style="31" customWidth="1"/>
    <col min="4" max="4" width="30.7109375" style="31" customWidth="1"/>
    <col min="5" max="5" width="21.85546875" style="32" customWidth="1"/>
    <col min="6" max="6" width="14.28515625" style="33" customWidth="1"/>
    <col min="7" max="7" width="14.28515625" style="34" customWidth="1"/>
    <col min="8" max="8" width="14.28515625" style="35" customWidth="1"/>
    <col min="9" max="9" width="17" style="14" hidden="1" customWidth="1"/>
    <col min="10" max="10" width="16" style="14" bestFit="1" customWidth="1"/>
    <col min="11" max="12" width="8.5703125" style="14" customWidth="1"/>
    <col min="13" max="13" width="9" style="14" customWidth="1"/>
    <col min="14" max="14" width="8.42578125" style="14" customWidth="1"/>
    <col min="15" max="15" width="9.140625" style="14" customWidth="1"/>
    <col min="16" max="16" width="9" style="43" customWidth="1"/>
    <col min="17" max="17" width="10.85546875" style="36" customWidth="1"/>
    <col min="18" max="18" width="9.140625" style="36" customWidth="1"/>
    <col min="19" max="19" width="9.85546875" style="14" customWidth="1"/>
    <col min="20" max="28" width="9.140625" style="14" customWidth="1"/>
    <col min="29" max="29" width="9.140625" style="28"/>
    <col min="30" max="16384" width="9.140625" style="14"/>
  </cols>
  <sheetData>
    <row r="1" spans="1:29" ht="43.5" customHeight="1" x14ac:dyDescent="0.2">
      <c r="A1" s="217" t="s">
        <v>361</v>
      </c>
      <c r="B1" s="213" t="s">
        <v>0</v>
      </c>
      <c r="C1" s="213" t="s">
        <v>362</v>
      </c>
      <c r="D1" s="218" t="s">
        <v>370</v>
      </c>
      <c r="E1" s="220" t="s">
        <v>363</v>
      </c>
      <c r="F1" s="213" t="s">
        <v>224</v>
      </c>
      <c r="G1" s="213" t="s">
        <v>345</v>
      </c>
      <c r="H1" s="213"/>
      <c r="I1" s="216"/>
      <c r="J1" s="213" t="s">
        <v>1</v>
      </c>
      <c r="K1" s="213" t="s">
        <v>233</v>
      </c>
      <c r="L1" s="213" t="s">
        <v>269</v>
      </c>
      <c r="M1" s="215" t="s">
        <v>346</v>
      </c>
      <c r="N1" s="215"/>
      <c r="O1" s="215"/>
      <c r="P1" s="215"/>
      <c r="Q1" s="215"/>
      <c r="R1" s="215"/>
      <c r="S1" s="215"/>
      <c r="T1" s="214" t="s">
        <v>349</v>
      </c>
      <c r="U1" s="214"/>
      <c r="V1" s="214"/>
      <c r="W1" s="214"/>
      <c r="X1" s="214"/>
      <c r="Y1" s="214"/>
      <c r="Z1" s="214" t="s">
        <v>350</v>
      </c>
      <c r="AA1" s="214"/>
      <c r="AB1" s="214"/>
      <c r="AC1" s="215" t="s">
        <v>359</v>
      </c>
    </row>
    <row r="2" spans="1:29" s="16" customFormat="1" ht="63.75" customHeight="1" x14ac:dyDescent="0.2">
      <c r="A2" s="217"/>
      <c r="B2" s="213"/>
      <c r="C2" s="213"/>
      <c r="D2" s="219"/>
      <c r="E2" s="220"/>
      <c r="F2" s="213"/>
      <c r="G2" s="15" t="s">
        <v>347</v>
      </c>
      <c r="H2" s="11" t="s">
        <v>348</v>
      </c>
      <c r="I2" s="216"/>
      <c r="J2" s="213"/>
      <c r="K2" s="213"/>
      <c r="L2" s="213"/>
      <c r="M2" s="62" t="s">
        <v>334</v>
      </c>
      <c r="N2" s="62" t="s">
        <v>335</v>
      </c>
      <c r="O2" s="2" t="s">
        <v>340</v>
      </c>
      <c r="P2" s="40" t="s">
        <v>341</v>
      </c>
      <c r="Q2" s="3" t="s">
        <v>342</v>
      </c>
      <c r="R2" s="3" t="s">
        <v>343</v>
      </c>
      <c r="S2" s="4" t="s">
        <v>344</v>
      </c>
      <c r="T2" s="63" t="s">
        <v>351</v>
      </c>
      <c r="U2" s="63" t="s">
        <v>352</v>
      </c>
      <c r="V2" s="63" t="s">
        <v>353</v>
      </c>
      <c r="W2" s="63" t="s">
        <v>354</v>
      </c>
      <c r="X2" s="63" t="s">
        <v>353</v>
      </c>
      <c r="Y2" s="63" t="s">
        <v>355</v>
      </c>
      <c r="Z2" s="63" t="s">
        <v>356</v>
      </c>
      <c r="AA2" s="63" t="s">
        <v>357</v>
      </c>
      <c r="AB2" s="63" t="s">
        <v>358</v>
      </c>
      <c r="AC2" s="215"/>
    </row>
    <row r="3" spans="1:29" s="18" customFormat="1" ht="21.95" customHeight="1" x14ac:dyDescent="0.2">
      <c r="A3" s="5">
        <v>1</v>
      </c>
      <c r="B3" s="10"/>
      <c r="C3" s="61" t="s">
        <v>378</v>
      </c>
      <c r="D3" s="61"/>
      <c r="E3" s="8">
        <v>741632100</v>
      </c>
      <c r="F3" s="7" t="s">
        <v>80</v>
      </c>
      <c r="G3" s="9"/>
      <c r="H3" s="11">
        <v>0.5141</v>
      </c>
      <c r="I3" s="10"/>
      <c r="J3" s="10" t="s">
        <v>232</v>
      </c>
      <c r="K3" s="10" t="s">
        <v>336</v>
      </c>
      <c r="L3" s="10">
        <v>4</v>
      </c>
      <c r="M3" s="10">
        <f t="shared" ref="M3:M66" si="0">(L3+(IF(K3&lt;=4,1.5,IF(K3&lt;=7,2,IF(K3&lt;=11,2.5,IF(K3&lt;=19,3,IF(K3&lt;=25,3.5,4)))))))*1.1</f>
        <v>8.8000000000000007</v>
      </c>
      <c r="N3" s="10"/>
      <c r="O3" s="10">
        <f>2*2*0.66</f>
        <v>2.64</v>
      </c>
      <c r="P3" s="41">
        <f t="shared" ref="P3:P66" si="1">M3*O3</f>
        <v>23.232000000000003</v>
      </c>
      <c r="Q3" s="17">
        <v>120000</v>
      </c>
      <c r="R3" s="17">
        <f t="shared" ref="R3:R66" si="2">Q3/1000*P3</f>
        <v>2787.84</v>
      </c>
      <c r="S3" s="6">
        <f t="shared" ref="S3:S66" si="3">IF(G3&lt;&gt;0,R3/G3*100,R3/(H3*21000)*100)</f>
        <v>25.822658182121323</v>
      </c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spans="1:29" s="18" customFormat="1" ht="21.95" customHeight="1" x14ac:dyDescent="0.2">
      <c r="A4" s="5">
        <f>1+A3</f>
        <v>2</v>
      </c>
      <c r="B4" s="10"/>
      <c r="C4" s="61" t="s">
        <v>378</v>
      </c>
      <c r="D4" s="61"/>
      <c r="E4" s="8">
        <v>741623100</v>
      </c>
      <c r="F4" s="7" t="s">
        <v>81</v>
      </c>
      <c r="G4" s="9"/>
      <c r="H4" s="11">
        <v>0.27300000000000002</v>
      </c>
      <c r="I4" s="10"/>
      <c r="J4" s="10" t="s">
        <v>232</v>
      </c>
      <c r="K4" s="10" t="s">
        <v>337</v>
      </c>
      <c r="L4" s="10">
        <v>4</v>
      </c>
      <c r="M4" s="10">
        <f t="shared" si="0"/>
        <v>8.8000000000000007</v>
      </c>
      <c r="N4" s="10">
        <v>15</v>
      </c>
      <c r="O4" s="10">
        <f>1.5*1.5*0.66</f>
        <v>1.4850000000000001</v>
      </c>
      <c r="P4" s="41">
        <f t="shared" si="1"/>
        <v>13.068000000000001</v>
      </c>
      <c r="Q4" s="17">
        <v>120000</v>
      </c>
      <c r="R4" s="17">
        <f t="shared" si="2"/>
        <v>1568.16</v>
      </c>
      <c r="S4" s="6">
        <f t="shared" si="3"/>
        <v>27.353218210361067</v>
      </c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29" s="18" customFormat="1" ht="21.95" customHeight="1" x14ac:dyDescent="0.2">
      <c r="A5" s="5">
        <f t="shared" ref="A5:A68" si="4">1+A4</f>
        <v>3</v>
      </c>
      <c r="B5" s="10"/>
      <c r="C5" s="61" t="s">
        <v>378</v>
      </c>
      <c r="D5" s="61"/>
      <c r="E5" s="38">
        <v>751623100</v>
      </c>
      <c r="F5" s="39" t="s">
        <v>82</v>
      </c>
      <c r="G5" s="9"/>
      <c r="H5" s="11">
        <v>0.43</v>
      </c>
      <c r="I5" s="10"/>
      <c r="J5" s="10" t="s">
        <v>232</v>
      </c>
      <c r="K5" s="10" t="s">
        <v>337</v>
      </c>
      <c r="L5" s="10">
        <v>4</v>
      </c>
      <c r="M5" s="10">
        <f t="shared" si="0"/>
        <v>8.8000000000000007</v>
      </c>
      <c r="N5" s="10">
        <v>15</v>
      </c>
      <c r="O5" s="10">
        <f>1.5*1.5*0.66</f>
        <v>1.4850000000000001</v>
      </c>
      <c r="P5" s="41">
        <f t="shared" si="1"/>
        <v>13.068000000000001</v>
      </c>
      <c r="Q5" s="17">
        <v>120000</v>
      </c>
      <c r="R5" s="17">
        <f t="shared" si="2"/>
        <v>1568.16</v>
      </c>
      <c r="S5" s="6">
        <f t="shared" si="3"/>
        <v>17.366112956810632</v>
      </c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s="18" customFormat="1" ht="21.95" customHeight="1" x14ac:dyDescent="0.2">
      <c r="A6" s="5">
        <f t="shared" si="4"/>
        <v>4</v>
      </c>
      <c r="B6" s="10"/>
      <c r="C6" s="61" t="s">
        <v>378</v>
      </c>
      <c r="D6" s="61"/>
      <c r="E6" s="8">
        <v>741633600</v>
      </c>
      <c r="F6" s="7" t="s">
        <v>83</v>
      </c>
      <c r="G6" s="9"/>
      <c r="H6" s="11">
        <v>0.55000000000000004</v>
      </c>
      <c r="I6" s="10"/>
      <c r="J6" s="10" t="s">
        <v>232</v>
      </c>
      <c r="K6" s="10" t="s">
        <v>338</v>
      </c>
      <c r="L6" s="10">
        <v>16.5</v>
      </c>
      <c r="M6" s="10">
        <f t="shared" si="0"/>
        <v>22.55</v>
      </c>
      <c r="N6" s="10">
        <v>22</v>
      </c>
      <c r="O6" s="10">
        <f>2.2*2.2*0.66</f>
        <v>3.1944000000000008</v>
      </c>
      <c r="P6" s="41">
        <f t="shared" si="1"/>
        <v>72.033720000000017</v>
      </c>
      <c r="Q6" s="17">
        <v>120000</v>
      </c>
      <c r="R6" s="17">
        <f t="shared" si="2"/>
        <v>8644.0464000000029</v>
      </c>
      <c r="S6" s="6">
        <f t="shared" si="3"/>
        <v>74.840228571428582</v>
      </c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s="18" customFormat="1" ht="21.95" customHeight="1" x14ac:dyDescent="0.2">
      <c r="A7" s="5">
        <f t="shared" si="4"/>
        <v>5</v>
      </c>
      <c r="B7" s="10"/>
      <c r="C7" s="61" t="s">
        <v>378</v>
      </c>
      <c r="D7" s="61"/>
      <c r="E7" s="8">
        <v>741633610</v>
      </c>
      <c r="F7" s="7" t="s">
        <v>84</v>
      </c>
      <c r="G7" s="9"/>
      <c r="H7" s="11">
        <v>0.55000000000000004</v>
      </c>
      <c r="I7" s="10"/>
      <c r="J7" s="10" t="s">
        <v>232</v>
      </c>
      <c r="K7" s="10" t="s">
        <v>338</v>
      </c>
      <c r="L7" s="10">
        <v>16.5</v>
      </c>
      <c r="M7" s="10">
        <f t="shared" si="0"/>
        <v>22.55</v>
      </c>
      <c r="N7" s="10">
        <v>22</v>
      </c>
      <c r="O7" s="10">
        <f>2.2*2.2*0.66</f>
        <v>3.1944000000000008</v>
      </c>
      <c r="P7" s="41">
        <f t="shared" si="1"/>
        <v>72.033720000000017</v>
      </c>
      <c r="Q7" s="17">
        <v>120000</v>
      </c>
      <c r="R7" s="17">
        <f t="shared" si="2"/>
        <v>8644.0464000000029</v>
      </c>
      <c r="S7" s="6">
        <f t="shared" si="3"/>
        <v>74.840228571428582</v>
      </c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8" customFormat="1" ht="21.95" customHeight="1" x14ac:dyDescent="0.2">
      <c r="A8" s="5">
        <f t="shared" si="4"/>
        <v>6</v>
      </c>
      <c r="B8" s="10"/>
      <c r="C8" s="61" t="s">
        <v>378</v>
      </c>
      <c r="D8" s="61"/>
      <c r="E8" s="8">
        <v>741633700</v>
      </c>
      <c r="F8" s="7" t="s">
        <v>85</v>
      </c>
      <c r="G8" s="9"/>
      <c r="H8" s="11">
        <v>0.34</v>
      </c>
      <c r="I8" s="10"/>
      <c r="J8" s="10" t="s">
        <v>232</v>
      </c>
      <c r="K8" s="10" t="s">
        <v>339</v>
      </c>
      <c r="L8" s="10">
        <v>5</v>
      </c>
      <c r="M8" s="10">
        <f t="shared" si="0"/>
        <v>9.9</v>
      </c>
      <c r="N8" s="10"/>
      <c r="O8" s="10">
        <f>2.55*2.55*0.66</f>
        <v>4.2916499999999997</v>
      </c>
      <c r="P8" s="41">
        <f t="shared" si="1"/>
        <v>42.487335000000002</v>
      </c>
      <c r="Q8" s="17">
        <v>120000</v>
      </c>
      <c r="R8" s="17">
        <f t="shared" si="2"/>
        <v>5098.4802</v>
      </c>
      <c r="S8" s="6">
        <f t="shared" si="3"/>
        <v>71.407285714285706</v>
      </c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spans="1:29" s="18" customFormat="1" ht="21.95" customHeight="1" x14ac:dyDescent="0.2">
      <c r="A9" s="5">
        <f t="shared" si="4"/>
        <v>7</v>
      </c>
      <c r="B9" s="10"/>
      <c r="C9" s="61" t="s">
        <v>378</v>
      </c>
      <c r="D9" s="61"/>
      <c r="E9" s="8">
        <v>741633701</v>
      </c>
      <c r="F9" s="7" t="s">
        <v>86</v>
      </c>
      <c r="G9" s="9"/>
      <c r="H9" s="11">
        <v>0.79</v>
      </c>
      <c r="I9" s="10"/>
      <c r="J9" s="10" t="s">
        <v>232</v>
      </c>
      <c r="K9" s="10" t="s">
        <v>267</v>
      </c>
      <c r="L9" s="10">
        <v>5</v>
      </c>
      <c r="M9" s="10">
        <f t="shared" si="0"/>
        <v>9.9</v>
      </c>
      <c r="N9" s="10"/>
      <c r="O9" s="10">
        <f>2.55*2.55*0.66</f>
        <v>4.2916499999999997</v>
      </c>
      <c r="P9" s="41">
        <f t="shared" si="1"/>
        <v>42.487335000000002</v>
      </c>
      <c r="Q9" s="17">
        <v>120000</v>
      </c>
      <c r="R9" s="17">
        <f t="shared" si="2"/>
        <v>5098.4802</v>
      </c>
      <c r="S9" s="6">
        <f t="shared" si="3"/>
        <v>30.732249547920432</v>
      </c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spans="1:29" s="18" customFormat="1" ht="21.95" customHeight="1" x14ac:dyDescent="0.2">
      <c r="A10" s="5">
        <f t="shared" si="4"/>
        <v>8</v>
      </c>
      <c r="B10" s="10"/>
      <c r="C10" s="61" t="s">
        <v>378</v>
      </c>
      <c r="D10" s="61"/>
      <c r="E10" s="8">
        <v>741633800</v>
      </c>
      <c r="F10" s="7" t="s">
        <v>87</v>
      </c>
      <c r="G10" s="9"/>
      <c r="H10" s="11">
        <v>0.19</v>
      </c>
      <c r="I10" s="10"/>
      <c r="J10" s="10" t="s">
        <v>232</v>
      </c>
      <c r="K10" s="10" t="s">
        <v>270</v>
      </c>
      <c r="L10" s="10">
        <v>6</v>
      </c>
      <c r="M10" s="10">
        <f t="shared" si="0"/>
        <v>11</v>
      </c>
      <c r="N10" s="10"/>
      <c r="O10" s="10">
        <f t="shared" ref="O10:O15" si="5">1.25*1.25*0.66</f>
        <v>1.03125</v>
      </c>
      <c r="P10" s="41">
        <f t="shared" si="1"/>
        <v>11.34375</v>
      </c>
      <c r="Q10" s="17">
        <v>120000</v>
      </c>
      <c r="R10" s="17">
        <f t="shared" si="2"/>
        <v>1361.25</v>
      </c>
      <c r="S10" s="6">
        <f t="shared" si="3"/>
        <v>34.116541353383454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spans="1:29" s="18" customFormat="1" ht="21.95" customHeight="1" x14ac:dyDescent="0.2">
      <c r="A11" s="5">
        <f t="shared" si="4"/>
        <v>9</v>
      </c>
      <c r="B11" s="10"/>
      <c r="C11" s="61" t="s">
        <v>378</v>
      </c>
      <c r="D11" s="61"/>
      <c r="E11" s="8">
        <v>741633801</v>
      </c>
      <c r="F11" s="7" t="s">
        <v>88</v>
      </c>
      <c r="G11" s="9"/>
      <c r="H11" s="11">
        <v>0.42</v>
      </c>
      <c r="I11" s="10"/>
      <c r="J11" s="10" t="s">
        <v>232</v>
      </c>
      <c r="K11" s="10" t="s">
        <v>270</v>
      </c>
      <c r="L11" s="10">
        <v>6</v>
      </c>
      <c r="M11" s="10">
        <f t="shared" si="0"/>
        <v>11</v>
      </c>
      <c r="N11" s="10"/>
      <c r="O11" s="10">
        <f t="shared" si="5"/>
        <v>1.03125</v>
      </c>
      <c r="P11" s="41">
        <f t="shared" si="1"/>
        <v>11.34375</v>
      </c>
      <c r="Q11" s="17">
        <v>120000</v>
      </c>
      <c r="R11" s="17">
        <f t="shared" si="2"/>
        <v>1361.25</v>
      </c>
      <c r="S11" s="6">
        <f t="shared" si="3"/>
        <v>15.433673469387754</v>
      </c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spans="1:29" s="18" customFormat="1" ht="21.95" customHeight="1" x14ac:dyDescent="0.2">
      <c r="A12" s="5">
        <f t="shared" si="4"/>
        <v>10</v>
      </c>
      <c r="B12" s="10"/>
      <c r="C12" s="61" t="s">
        <v>378</v>
      </c>
      <c r="D12" s="61"/>
      <c r="E12" s="8">
        <v>741633810</v>
      </c>
      <c r="F12" s="7" t="s">
        <v>89</v>
      </c>
      <c r="G12" s="9"/>
      <c r="H12" s="11">
        <v>0.19</v>
      </c>
      <c r="I12" s="10"/>
      <c r="J12" s="10" t="s">
        <v>232</v>
      </c>
      <c r="K12" s="10" t="s">
        <v>271</v>
      </c>
      <c r="L12" s="10">
        <v>6</v>
      </c>
      <c r="M12" s="10">
        <f t="shared" si="0"/>
        <v>11</v>
      </c>
      <c r="N12" s="10"/>
      <c r="O12" s="10">
        <f t="shared" si="5"/>
        <v>1.03125</v>
      </c>
      <c r="P12" s="41">
        <f t="shared" si="1"/>
        <v>11.34375</v>
      </c>
      <c r="Q12" s="17">
        <v>120000</v>
      </c>
      <c r="R12" s="17">
        <f t="shared" si="2"/>
        <v>1361.25</v>
      </c>
      <c r="S12" s="6">
        <f t="shared" si="3"/>
        <v>34.116541353383454</v>
      </c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spans="1:29" s="18" customFormat="1" ht="21.95" customHeight="1" x14ac:dyDescent="0.2">
      <c r="A13" s="5">
        <f t="shared" si="4"/>
        <v>11</v>
      </c>
      <c r="B13" s="10"/>
      <c r="C13" s="61" t="s">
        <v>378</v>
      </c>
      <c r="D13" s="61"/>
      <c r="E13" s="8">
        <v>741633811</v>
      </c>
      <c r="F13" s="7" t="s">
        <v>90</v>
      </c>
      <c r="G13" s="9"/>
      <c r="H13" s="11">
        <v>0.44</v>
      </c>
      <c r="I13" s="10"/>
      <c r="J13" s="10" t="s">
        <v>232</v>
      </c>
      <c r="K13" s="10" t="s">
        <v>271</v>
      </c>
      <c r="L13" s="10">
        <v>6</v>
      </c>
      <c r="M13" s="10">
        <f t="shared" si="0"/>
        <v>11</v>
      </c>
      <c r="N13" s="10"/>
      <c r="O13" s="10">
        <f t="shared" si="5"/>
        <v>1.03125</v>
      </c>
      <c r="P13" s="41">
        <f t="shared" si="1"/>
        <v>11.34375</v>
      </c>
      <c r="Q13" s="17">
        <v>120000</v>
      </c>
      <c r="R13" s="17">
        <f t="shared" si="2"/>
        <v>1361.25</v>
      </c>
      <c r="S13" s="6">
        <f t="shared" si="3"/>
        <v>14.732142857142858</v>
      </c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spans="1:29" s="18" customFormat="1" ht="21.95" customHeight="1" x14ac:dyDescent="0.2">
      <c r="A14" s="5">
        <f t="shared" si="4"/>
        <v>12</v>
      </c>
      <c r="B14" s="10"/>
      <c r="C14" s="61" t="s">
        <v>378</v>
      </c>
      <c r="D14" s="61"/>
      <c r="E14" s="8">
        <v>741633820</v>
      </c>
      <c r="F14" s="7" t="s">
        <v>91</v>
      </c>
      <c r="G14" s="9"/>
      <c r="H14" s="11">
        <v>0.19</v>
      </c>
      <c r="I14" s="10"/>
      <c r="J14" s="10" t="s">
        <v>232</v>
      </c>
      <c r="K14" s="10" t="s">
        <v>272</v>
      </c>
      <c r="L14" s="10">
        <v>6</v>
      </c>
      <c r="M14" s="10">
        <f t="shared" si="0"/>
        <v>11</v>
      </c>
      <c r="N14" s="10"/>
      <c r="O14" s="10">
        <f t="shared" si="5"/>
        <v>1.03125</v>
      </c>
      <c r="P14" s="41">
        <f t="shared" si="1"/>
        <v>11.34375</v>
      </c>
      <c r="Q14" s="17">
        <v>120000</v>
      </c>
      <c r="R14" s="17">
        <f t="shared" si="2"/>
        <v>1361.25</v>
      </c>
      <c r="S14" s="6">
        <f t="shared" si="3"/>
        <v>34.116541353383454</v>
      </c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spans="1:29" s="18" customFormat="1" ht="21.95" customHeight="1" x14ac:dyDescent="0.2">
      <c r="A15" s="5">
        <f t="shared" si="4"/>
        <v>13</v>
      </c>
      <c r="B15" s="10"/>
      <c r="C15" s="61" t="s">
        <v>378</v>
      </c>
      <c r="D15" s="61"/>
      <c r="E15" s="8">
        <v>741633821</v>
      </c>
      <c r="F15" s="7" t="s">
        <v>92</v>
      </c>
      <c r="G15" s="9"/>
      <c r="H15" s="11">
        <v>0.43</v>
      </c>
      <c r="I15" s="10"/>
      <c r="J15" s="10" t="s">
        <v>232</v>
      </c>
      <c r="K15" s="10" t="s">
        <v>272</v>
      </c>
      <c r="L15" s="10">
        <v>6</v>
      </c>
      <c r="M15" s="10">
        <f t="shared" si="0"/>
        <v>11</v>
      </c>
      <c r="N15" s="10"/>
      <c r="O15" s="10">
        <f t="shared" si="5"/>
        <v>1.03125</v>
      </c>
      <c r="P15" s="41">
        <f t="shared" si="1"/>
        <v>11.34375</v>
      </c>
      <c r="Q15" s="17">
        <v>120000</v>
      </c>
      <c r="R15" s="17">
        <f t="shared" si="2"/>
        <v>1361.25</v>
      </c>
      <c r="S15" s="6">
        <f t="shared" si="3"/>
        <v>15.074750830564785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spans="1:29" s="18" customFormat="1" ht="21.95" customHeight="1" x14ac:dyDescent="0.2">
      <c r="A16" s="5">
        <f t="shared" si="4"/>
        <v>14</v>
      </c>
      <c r="B16" s="10"/>
      <c r="C16" s="61" t="s">
        <v>378</v>
      </c>
      <c r="D16" s="61"/>
      <c r="E16" s="8">
        <v>741633900</v>
      </c>
      <c r="F16" s="7" t="s">
        <v>93</v>
      </c>
      <c r="G16" s="9"/>
      <c r="H16" s="11">
        <v>0.33</v>
      </c>
      <c r="I16" s="10"/>
      <c r="J16" s="10" t="s">
        <v>232</v>
      </c>
      <c r="K16" s="10" t="s">
        <v>273</v>
      </c>
      <c r="L16" s="10">
        <v>5</v>
      </c>
      <c r="M16" s="10">
        <f t="shared" si="0"/>
        <v>9.9</v>
      </c>
      <c r="N16" s="10"/>
      <c r="O16" s="10">
        <f>2.37*2.37*0.66</f>
        <v>3.7071540000000005</v>
      </c>
      <c r="P16" s="41">
        <f t="shared" si="1"/>
        <v>36.700824600000004</v>
      </c>
      <c r="Q16" s="17">
        <v>120000</v>
      </c>
      <c r="R16" s="17">
        <f t="shared" si="2"/>
        <v>4404.0989520000003</v>
      </c>
      <c r="S16" s="6">
        <f t="shared" si="3"/>
        <v>63.551211428571428</v>
      </c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spans="1:29" s="18" customFormat="1" ht="21.95" customHeight="1" x14ac:dyDescent="0.2">
      <c r="A17" s="5">
        <f t="shared" si="4"/>
        <v>15</v>
      </c>
      <c r="B17" s="10"/>
      <c r="C17" s="61" t="s">
        <v>378</v>
      </c>
      <c r="D17" s="61"/>
      <c r="E17" s="8">
        <v>741624200</v>
      </c>
      <c r="F17" s="7" t="s">
        <v>367</v>
      </c>
      <c r="G17" s="9"/>
      <c r="H17" s="11">
        <v>0.55600000000000005</v>
      </c>
      <c r="I17" s="10"/>
      <c r="J17" s="10" t="s">
        <v>232</v>
      </c>
      <c r="K17" s="10" t="s">
        <v>274</v>
      </c>
      <c r="L17" s="10">
        <v>2</v>
      </c>
      <c r="M17" s="10">
        <f t="shared" si="0"/>
        <v>6.6000000000000005</v>
      </c>
      <c r="N17" s="10"/>
      <c r="O17" s="10">
        <f>2.38*2.38*0.66</f>
        <v>3.7385039999999998</v>
      </c>
      <c r="P17" s="41">
        <f t="shared" si="1"/>
        <v>24.674126400000002</v>
      </c>
      <c r="Q17" s="17">
        <v>120000</v>
      </c>
      <c r="R17" s="17">
        <f t="shared" si="2"/>
        <v>2960.8951680000005</v>
      </c>
      <c r="S17" s="6">
        <f t="shared" si="3"/>
        <v>25.358814388489208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spans="1:29" s="18" customFormat="1" ht="21.95" customHeight="1" x14ac:dyDescent="0.2">
      <c r="A18" s="5">
        <f t="shared" si="4"/>
        <v>16</v>
      </c>
      <c r="B18" s="10"/>
      <c r="C18" s="61" t="s">
        <v>378</v>
      </c>
      <c r="D18" s="61"/>
      <c r="E18" s="8">
        <v>741634800</v>
      </c>
      <c r="F18" s="7" t="s">
        <v>94</v>
      </c>
      <c r="G18" s="9"/>
      <c r="H18" s="11">
        <v>0.56999999999999995</v>
      </c>
      <c r="I18" s="10"/>
      <c r="J18" s="10" t="s">
        <v>232</v>
      </c>
      <c r="K18" s="10" t="s">
        <v>275</v>
      </c>
      <c r="L18" s="20">
        <v>24</v>
      </c>
      <c r="M18" s="10">
        <f t="shared" si="0"/>
        <v>30.800000000000004</v>
      </c>
      <c r="N18" s="10">
        <v>8</v>
      </c>
      <c r="O18" s="10">
        <v>0.42</v>
      </c>
      <c r="P18" s="41">
        <f t="shared" si="1"/>
        <v>12.936000000000002</v>
      </c>
      <c r="Q18" s="17">
        <v>120000</v>
      </c>
      <c r="R18" s="17">
        <f t="shared" si="2"/>
        <v>1552.3200000000002</v>
      </c>
      <c r="S18" s="6">
        <f t="shared" si="3"/>
        <v>12.968421052631582</v>
      </c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spans="1:29" s="18" customFormat="1" ht="21.95" customHeight="1" x14ac:dyDescent="0.2">
      <c r="A19" s="5">
        <f t="shared" si="4"/>
        <v>17</v>
      </c>
      <c r="B19" s="10"/>
      <c r="C19" s="61" t="s">
        <v>378</v>
      </c>
      <c r="D19" s="61"/>
      <c r="E19" s="8">
        <v>741634900</v>
      </c>
      <c r="F19" s="7" t="s">
        <v>95</v>
      </c>
      <c r="G19" s="9"/>
      <c r="H19" s="11">
        <v>0.32</v>
      </c>
      <c r="I19" s="10"/>
      <c r="J19" s="10" t="s">
        <v>232</v>
      </c>
      <c r="K19" s="10" t="s">
        <v>276</v>
      </c>
      <c r="L19" s="10">
        <v>2.5</v>
      </c>
      <c r="M19" s="10">
        <f t="shared" si="0"/>
        <v>7.15</v>
      </c>
      <c r="N19" s="10">
        <v>11</v>
      </c>
      <c r="O19" s="10">
        <f>1.1*1.1*0.66</f>
        <v>0.7986000000000002</v>
      </c>
      <c r="P19" s="41">
        <f t="shared" si="1"/>
        <v>5.7099900000000021</v>
      </c>
      <c r="Q19" s="17">
        <v>120000</v>
      </c>
      <c r="R19" s="17">
        <f t="shared" si="2"/>
        <v>685.19880000000023</v>
      </c>
      <c r="S19" s="6">
        <f t="shared" si="3"/>
        <v>10.196410714285719</v>
      </c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spans="1:29" s="18" customFormat="1" ht="21.95" customHeight="1" x14ac:dyDescent="0.2">
      <c r="A20" s="5">
        <f t="shared" si="4"/>
        <v>18</v>
      </c>
      <c r="B20" s="10"/>
      <c r="C20" s="61" t="s">
        <v>378</v>
      </c>
      <c r="D20" s="61"/>
      <c r="E20" s="8">
        <v>741634910</v>
      </c>
      <c r="F20" s="7" t="s">
        <v>96</v>
      </c>
      <c r="G20" s="9"/>
      <c r="H20" s="11">
        <v>0.32</v>
      </c>
      <c r="I20" s="10"/>
      <c r="J20" s="10" t="s">
        <v>232</v>
      </c>
      <c r="K20" s="10" t="s">
        <v>277</v>
      </c>
      <c r="L20" s="10">
        <v>2.5</v>
      </c>
      <c r="M20" s="10">
        <f t="shared" si="0"/>
        <v>7.15</v>
      </c>
      <c r="N20" s="10">
        <v>11</v>
      </c>
      <c r="O20" s="10">
        <f>1.1*1.1*0.66</f>
        <v>0.7986000000000002</v>
      </c>
      <c r="P20" s="41">
        <f t="shared" si="1"/>
        <v>5.7099900000000021</v>
      </c>
      <c r="Q20" s="17">
        <v>120000</v>
      </c>
      <c r="R20" s="17">
        <f t="shared" si="2"/>
        <v>685.19880000000023</v>
      </c>
      <c r="S20" s="6">
        <f t="shared" si="3"/>
        <v>10.196410714285719</v>
      </c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spans="1:29" s="18" customFormat="1" ht="21.95" customHeight="1" x14ac:dyDescent="0.2">
      <c r="A21" s="5">
        <f t="shared" si="4"/>
        <v>19</v>
      </c>
      <c r="B21" s="10"/>
      <c r="C21" s="61" t="s">
        <v>378</v>
      </c>
      <c r="D21" s="61"/>
      <c r="E21" s="8">
        <v>741634920</v>
      </c>
      <c r="F21" s="7" t="s">
        <v>97</v>
      </c>
      <c r="G21" s="9"/>
      <c r="H21" s="11">
        <v>0.32</v>
      </c>
      <c r="I21" s="10"/>
      <c r="J21" s="10" t="s">
        <v>232</v>
      </c>
      <c r="K21" s="10" t="s">
        <v>278</v>
      </c>
      <c r="L21" s="10">
        <v>2.5</v>
      </c>
      <c r="M21" s="10">
        <f t="shared" si="0"/>
        <v>7.15</v>
      </c>
      <c r="N21" s="10">
        <v>11</v>
      </c>
      <c r="O21" s="10">
        <f>1.1*1.1*0.66</f>
        <v>0.7986000000000002</v>
      </c>
      <c r="P21" s="41">
        <f t="shared" si="1"/>
        <v>5.7099900000000021</v>
      </c>
      <c r="Q21" s="17">
        <v>120000</v>
      </c>
      <c r="R21" s="17">
        <f t="shared" si="2"/>
        <v>685.19880000000023</v>
      </c>
      <c r="S21" s="6">
        <f t="shared" si="3"/>
        <v>10.196410714285719</v>
      </c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spans="1:29" s="18" customFormat="1" ht="21.95" customHeight="1" x14ac:dyDescent="0.2">
      <c r="A22" s="5">
        <f t="shared" si="4"/>
        <v>20</v>
      </c>
      <c r="B22" s="10"/>
      <c r="C22" s="61" t="s">
        <v>378</v>
      </c>
      <c r="D22" s="61"/>
      <c r="E22" s="8">
        <v>746095600</v>
      </c>
      <c r="F22" s="7" t="s">
        <v>98</v>
      </c>
      <c r="G22" s="9"/>
      <c r="H22" s="11">
        <v>1.52</v>
      </c>
      <c r="I22" s="10"/>
      <c r="J22" s="10" t="s">
        <v>232</v>
      </c>
      <c r="K22" s="10" t="s">
        <v>280</v>
      </c>
      <c r="L22" s="10">
        <v>20.6</v>
      </c>
      <c r="M22" s="10">
        <f t="shared" si="0"/>
        <v>27.060000000000002</v>
      </c>
      <c r="N22" s="10"/>
      <c r="O22" s="10">
        <f>2.44*2.44*0.66</f>
        <v>3.929376</v>
      </c>
      <c r="P22" s="41">
        <f t="shared" si="1"/>
        <v>106.32891456000002</v>
      </c>
      <c r="Q22" s="17">
        <v>120000</v>
      </c>
      <c r="R22" s="17">
        <f t="shared" si="2"/>
        <v>12759.469747200003</v>
      </c>
      <c r="S22" s="6">
        <f t="shared" si="3"/>
        <v>39.973276150375945</v>
      </c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spans="1:29" s="18" customFormat="1" ht="21.95" customHeight="1" x14ac:dyDescent="0.2">
      <c r="A23" s="5">
        <f t="shared" si="4"/>
        <v>21</v>
      </c>
      <c r="B23" s="10"/>
      <c r="C23" s="61" t="s">
        <v>378</v>
      </c>
      <c r="D23" s="61"/>
      <c r="E23" s="8">
        <v>746095700</v>
      </c>
      <c r="F23" s="7" t="s">
        <v>99</v>
      </c>
      <c r="G23" s="9"/>
      <c r="H23" s="11">
        <v>1.28</v>
      </c>
      <c r="I23" s="10"/>
      <c r="J23" s="10" t="s">
        <v>232</v>
      </c>
      <c r="K23" s="10" t="s">
        <v>281</v>
      </c>
      <c r="L23" s="10">
        <v>16</v>
      </c>
      <c r="M23" s="10">
        <f t="shared" si="0"/>
        <v>22</v>
      </c>
      <c r="N23" s="10"/>
      <c r="O23" s="10">
        <f>2.48*2.48*0.66</f>
        <v>4.0592640000000006</v>
      </c>
      <c r="P23" s="41">
        <f t="shared" si="1"/>
        <v>89.303808000000018</v>
      </c>
      <c r="Q23" s="17">
        <v>120000</v>
      </c>
      <c r="R23" s="17">
        <f t="shared" si="2"/>
        <v>10716.456960000001</v>
      </c>
      <c r="S23" s="6">
        <f t="shared" si="3"/>
        <v>39.867771428571437</v>
      </c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spans="1:29" s="18" customFormat="1" ht="21.95" customHeight="1" x14ac:dyDescent="0.2">
      <c r="A24" s="5">
        <f t="shared" si="4"/>
        <v>22</v>
      </c>
      <c r="B24" s="10"/>
      <c r="C24" s="61" t="s">
        <v>378</v>
      </c>
      <c r="D24" s="61"/>
      <c r="E24" s="8">
        <v>741636300</v>
      </c>
      <c r="F24" s="7" t="s">
        <v>100</v>
      </c>
      <c r="G24" s="9"/>
      <c r="H24" s="11">
        <v>0.61</v>
      </c>
      <c r="I24" s="10"/>
      <c r="J24" s="10" t="s">
        <v>232</v>
      </c>
      <c r="K24" s="10" t="s">
        <v>282</v>
      </c>
      <c r="L24" s="10">
        <v>24</v>
      </c>
      <c r="M24" s="10">
        <f t="shared" si="0"/>
        <v>30.800000000000004</v>
      </c>
      <c r="N24" s="10">
        <v>9</v>
      </c>
      <c r="O24" s="10">
        <v>0.54</v>
      </c>
      <c r="P24" s="41">
        <f t="shared" si="1"/>
        <v>16.632000000000005</v>
      </c>
      <c r="Q24" s="17">
        <v>120000</v>
      </c>
      <c r="R24" s="17">
        <f t="shared" si="2"/>
        <v>1995.8400000000006</v>
      </c>
      <c r="S24" s="6">
        <f t="shared" si="3"/>
        <v>15.580327868852464</v>
      </c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spans="1:29" s="18" customFormat="1" ht="21.95" customHeight="1" x14ac:dyDescent="0.2">
      <c r="A25" s="5">
        <f t="shared" si="4"/>
        <v>23</v>
      </c>
      <c r="B25" s="10"/>
      <c r="C25" s="61" t="s">
        <v>378</v>
      </c>
      <c r="D25" s="61"/>
      <c r="E25" s="8">
        <v>805806301</v>
      </c>
      <c r="F25" s="7" t="s">
        <v>101</v>
      </c>
      <c r="G25" s="9"/>
      <c r="H25" s="11">
        <v>0.18</v>
      </c>
      <c r="I25" s="10"/>
      <c r="J25" s="10" t="s">
        <v>232</v>
      </c>
      <c r="K25" s="21" t="s">
        <v>279</v>
      </c>
      <c r="L25" s="10">
        <v>4</v>
      </c>
      <c r="M25" s="10">
        <f t="shared" si="0"/>
        <v>8.8000000000000007</v>
      </c>
      <c r="N25" s="10"/>
      <c r="O25" s="10">
        <f>2.05*2.05*0.66</f>
        <v>2.7736499999999999</v>
      </c>
      <c r="P25" s="41">
        <f t="shared" si="1"/>
        <v>24.40812</v>
      </c>
      <c r="Q25" s="17">
        <v>120000</v>
      </c>
      <c r="R25" s="17">
        <f t="shared" si="2"/>
        <v>2928.9744000000001</v>
      </c>
      <c r="S25" s="6">
        <f t="shared" si="3"/>
        <v>77.486095238095245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spans="1:29" s="18" customFormat="1" ht="21.95" customHeight="1" x14ac:dyDescent="0.2">
      <c r="A26" s="5">
        <f t="shared" si="4"/>
        <v>24</v>
      </c>
      <c r="B26" s="10"/>
      <c r="C26" s="61" t="s">
        <v>378</v>
      </c>
      <c r="D26" s="61"/>
      <c r="E26" s="8">
        <v>741636400</v>
      </c>
      <c r="F26" s="7" t="s">
        <v>102</v>
      </c>
      <c r="G26" s="9"/>
      <c r="H26" s="11">
        <v>0.63</v>
      </c>
      <c r="I26" s="10"/>
      <c r="J26" s="10" t="s">
        <v>232</v>
      </c>
      <c r="K26" s="10" t="s">
        <v>283</v>
      </c>
      <c r="L26" s="10">
        <v>24</v>
      </c>
      <c r="M26" s="10">
        <f t="shared" si="0"/>
        <v>30.800000000000004</v>
      </c>
      <c r="N26" s="10">
        <v>9.5</v>
      </c>
      <c r="O26" s="10">
        <v>0.6</v>
      </c>
      <c r="P26" s="41">
        <f t="shared" si="1"/>
        <v>18.48</v>
      </c>
      <c r="Q26" s="17">
        <v>120000</v>
      </c>
      <c r="R26" s="17">
        <f t="shared" si="2"/>
        <v>2217.6</v>
      </c>
      <c r="S26" s="6">
        <f t="shared" si="3"/>
        <v>16.761904761904763</v>
      </c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spans="1:29" s="18" customFormat="1" ht="21.95" customHeight="1" x14ac:dyDescent="0.2">
      <c r="A27" s="5">
        <f t="shared" si="4"/>
        <v>25</v>
      </c>
      <c r="B27" s="10"/>
      <c r="C27" s="61" t="s">
        <v>378</v>
      </c>
      <c r="D27" s="61"/>
      <c r="E27" s="8">
        <v>805806500</v>
      </c>
      <c r="F27" s="7" t="s">
        <v>103</v>
      </c>
      <c r="G27" s="9"/>
      <c r="H27" s="11">
        <v>0.185</v>
      </c>
      <c r="I27" s="10"/>
      <c r="J27" s="10" t="s">
        <v>232</v>
      </c>
      <c r="K27" s="10" t="s">
        <v>284</v>
      </c>
      <c r="L27" s="10">
        <v>4</v>
      </c>
      <c r="M27" s="10">
        <f t="shared" si="0"/>
        <v>8.8000000000000007</v>
      </c>
      <c r="N27" s="10">
        <v>22</v>
      </c>
      <c r="O27" s="10">
        <f>2.2*2.2*0.66</f>
        <v>3.1944000000000008</v>
      </c>
      <c r="P27" s="41">
        <f t="shared" si="1"/>
        <v>28.110720000000008</v>
      </c>
      <c r="Q27" s="17">
        <v>120000</v>
      </c>
      <c r="R27" s="17">
        <f t="shared" si="2"/>
        <v>3373.2864000000009</v>
      </c>
      <c r="S27" s="6">
        <f t="shared" si="3"/>
        <v>86.828478764478788</v>
      </c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spans="1:29" s="18" customFormat="1" ht="21.95" customHeight="1" x14ac:dyDescent="0.2">
      <c r="A28" s="5">
        <f t="shared" si="4"/>
        <v>26</v>
      </c>
      <c r="B28" s="10"/>
      <c r="C28" s="61" t="s">
        <v>378</v>
      </c>
      <c r="D28" s="61"/>
      <c r="E28" s="8">
        <v>741626800</v>
      </c>
      <c r="F28" s="7" t="s">
        <v>104</v>
      </c>
      <c r="G28" s="9"/>
      <c r="H28" s="11">
        <v>0.34910000000000002</v>
      </c>
      <c r="I28" s="10"/>
      <c r="J28" s="10" t="s">
        <v>232</v>
      </c>
      <c r="K28" s="10" t="s">
        <v>285</v>
      </c>
      <c r="L28" s="10">
        <v>4</v>
      </c>
      <c r="M28" s="10">
        <f t="shared" si="0"/>
        <v>8.8000000000000007</v>
      </c>
      <c r="N28" s="10">
        <v>9</v>
      </c>
      <c r="O28" s="10">
        <v>0.54</v>
      </c>
      <c r="P28" s="41">
        <f t="shared" si="1"/>
        <v>4.7520000000000007</v>
      </c>
      <c r="Q28" s="17">
        <v>120000</v>
      </c>
      <c r="R28" s="17">
        <f t="shared" si="2"/>
        <v>570.24000000000012</v>
      </c>
      <c r="S28" s="6">
        <f t="shared" si="3"/>
        <v>7.7783688668821878</v>
      </c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spans="1:29" s="18" customFormat="1" ht="21.95" customHeight="1" x14ac:dyDescent="0.2">
      <c r="A29" s="5">
        <f t="shared" si="4"/>
        <v>27</v>
      </c>
      <c r="B29" s="10"/>
      <c r="C29" s="61" t="s">
        <v>378</v>
      </c>
      <c r="D29" s="61"/>
      <c r="E29" s="8">
        <v>741627000</v>
      </c>
      <c r="F29" s="7" t="s">
        <v>105</v>
      </c>
      <c r="G29" s="9"/>
      <c r="H29" s="11">
        <v>0.44</v>
      </c>
      <c r="I29" s="10"/>
      <c r="J29" s="10" t="s">
        <v>232</v>
      </c>
      <c r="K29" s="10" t="s">
        <v>286</v>
      </c>
      <c r="L29" s="10">
        <v>5</v>
      </c>
      <c r="M29" s="10">
        <f t="shared" si="0"/>
        <v>9.9</v>
      </c>
      <c r="N29" s="10">
        <v>13.5</v>
      </c>
      <c r="O29" s="10">
        <f>1.35*1.35*0.66</f>
        <v>1.2028500000000002</v>
      </c>
      <c r="P29" s="41">
        <f t="shared" si="1"/>
        <v>11.908215000000002</v>
      </c>
      <c r="Q29" s="17">
        <v>120000</v>
      </c>
      <c r="R29" s="17">
        <f t="shared" si="2"/>
        <v>1428.9858000000002</v>
      </c>
      <c r="S29" s="6">
        <f t="shared" si="3"/>
        <v>15.465214285714287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spans="1:29" s="18" customFormat="1" ht="21.95" customHeight="1" x14ac:dyDescent="0.2">
      <c r="A30" s="5">
        <f t="shared" si="4"/>
        <v>28</v>
      </c>
      <c r="B30" s="10"/>
      <c r="C30" s="61" t="s">
        <v>378</v>
      </c>
      <c r="D30" s="61"/>
      <c r="E30" s="8">
        <v>741627010</v>
      </c>
      <c r="F30" s="19" t="s">
        <v>106</v>
      </c>
      <c r="G30" s="9"/>
      <c r="H30" s="11">
        <v>0.44</v>
      </c>
      <c r="I30" s="10"/>
      <c r="J30" s="10"/>
      <c r="K30" s="10"/>
      <c r="L30" s="10"/>
      <c r="M30" s="10">
        <f t="shared" si="0"/>
        <v>1.6500000000000001</v>
      </c>
      <c r="N30" s="10"/>
      <c r="O30" s="10"/>
      <c r="P30" s="41">
        <f t="shared" si="1"/>
        <v>0</v>
      </c>
      <c r="Q30" s="17"/>
      <c r="R30" s="17">
        <f t="shared" si="2"/>
        <v>0</v>
      </c>
      <c r="S30" s="6">
        <f t="shared" si="3"/>
        <v>0</v>
      </c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spans="1:29" s="18" customFormat="1" ht="21.95" customHeight="1" x14ac:dyDescent="0.2">
      <c r="A31" s="5">
        <f t="shared" si="4"/>
        <v>29</v>
      </c>
      <c r="B31" s="10"/>
      <c r="C31" s="61" t="s">
        <v>378</v>
      </c>
      <c r="D31" s="61"/>
      <c r="E31" s="8">
        <v>741627020</v>
      </c>
      <c r="F31" s="19" t="s">
        <v>107</v>
      </c>
      <c r="G31" s="9"/>
      <c r="H31" s="11">
        <v>0.44</v>
      </c>
      <c r="I31" s="10"/>
      <c r="J31" s="10"/>
      <c r="K31" s="10"/>
      <c r="L31" s="10"/>
      <c r="M31" s="10">
        <f t="shared" si="0"/>
        <v>1.6500000000000001</v>
      </c>
      <c r="N31" s="10"/>
      <c r="O31" s="10"/>
      <c r="P31" s="41">
        <f t="shared" si="1"/>
        <v>0</v>
      </c>
      <c r="Q31" s="17"/>
      <c r="R31" s="17">
        <f t="shared" si="2"/>
        <v>0</v>
      </c>
      <c r="S31" s="6">
        <f t="shared" si="3"/>
        <v>0</v>
      </c>
      <c r="T31" s="10"/>
      <c r="U31" s="10"/>
      <c r="V31" s="10"/>
      <c r="W31" s="10"/>
      <c r="X31" s="10"/>
      <c r="Y31" s="10"/>
      <c r="Z31" s="10"/>
      <c r="AA31" s="10"/>
      <c r="AB31" s="10"/>
      <c r="AC31" s="10"/>
    </row>
    <row r="32" spans="1:29" s="18" customFormat="1" ht="21.95" customHeight="1" x14ac:dyDescent="0.2">
      <c r="A32" s="5">
        <f t="shared" si="4"/>
        <v>30</v>
      </c>
      <c r="B32" s="10"/>
      <c r="C32" s="61" t="s">
        <v>378</v>
      </c>
      <c r="D32" s="61"/>
      <c r="E32" s="8">
        <v>741627400</v>
      </c>
      <c r="F32" s="7" t="s">
        <v>108</v>
      </c>
      <c r="G32" s="9"/>
      <c r="H32" s="11">
        <v>0.4</v>
      </c>
      <c r="I32" s="10"/>
      <c r="J32" s="10" t="s">
        <v>232</v>
      </c>
      <c r="K32" s="10" t="s">
        <v>288</v>
      </c>
      <c r="L32" s="10">
        <v>5</v>
      </c>
      <c r="M32" s="10">
        <f t="shared" si="0"/>
        <v>9.9</v>
      </c>
      <c r="N32" s="10">
        <v>14</v>
      </c>
      <c r="O32" s="10">
        <f>1.4*1.4*0.66</f>
        <v>1.2935999999999999</v>
      </c>
      <c r="P32" s="41">
        <f t="shared" si="1"/>
        <v>12.80664</v>
      </c>
      <c r="Q32" s="17">
        <v>120000</v>
      </c>
      <c r="R32" s="17">
        <f t="shared" si="2"/>
        <v>1536.7968000000001</v>
      </c>
      <c r="S32" s="6">
        <f t="shared" si="3"/>
        <v>18.295200000000001</v>
      </c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spans="1:29" s="18" customFormat="1" ht="21.95" customHeight="1" x14ac:dyDescent="0.2">
      <c r="A33" s="5">
        <f t="shared" si="4"/>
        <v>31</v>
      </c>
      <c r="B33" s="10"/>
      <c r="C33" s="61" t="s">
        <v>378</v>
      </c>
      <c r="D33" s="61"/>
      <c r="E33" s="8">
        <v>741627410</v>
      </c>
      <c r="F33" s="7" t="s">
        <v>109</v>
      </c>
      <c r="G33" s="9"/>
      <c r="H33" s="11">
        <v>0.39</v>
      </c>
      <c r="I33" s="10"/>
      <c r="J33" s="10" t="s">
        <v>232</v>
      </c>
      <c r="K33" s="10" t="s">
        <v>289</v>
      </c>
      <c r="L33" s="10">
        <v>5</v>
      </c>
      <c r="M33" s="10">
        <f t="shared" si="0"/>
        <v>9.9</v>
      </c>
      <c r="N33" s="10">
        <v>14</v>
      </c>
      <c r="O33" s="10">
        <f>1.4*1.4*0.66</f>
        <v>1.2935999999999999</v>
      </c>
      <c r="P33" s="41">
        <f t="shared" si="1"/>
        <v>12.80664</v>
      </c>
      <c r="Q33" s="17">
        <v>120000</v>
      </c>
      <c r="R33" s="17">
        <f t="shared" si="2"/>
        <v>1536.7968000000001</v>
      </c>
      <c r="S33" s="6">
        <f t="shared" si="3"/>
        <v>18.764307692307693</v>
      </c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spans="1:29" s="18" customFormat="1" ht="21.95" customHeight="1" x14ac:dyDescent="0.2">
      <c r="A34" s="5">
        <f t="shared" si="4"/>
        <v>32</v>
      </c>
      <c r="B34" s="10"/>
      <c r="C34" s="61" t="s">
        <v>378</v>
      </c>
      <c r="D34" s="61"/>
      <c r="E34" s="8">
        <v>741627600</v>
      </c>
      <c r="F34" s="7" t="s">
        <v>110</v>
      </c>
      <c r="G34" s="9"/>
      <c r="H34" s="11">
        <v>0.3105</v>
      </c>
      <c r="I34" s="10"/>
      <c r="J34" s="10" t="s">
        <v>232</v>
      </c>
      <c r="K34" s="10" t="s">
        <v>287</v>
      </c>
      <c r="L34" s="10">
        <v>5</v>
      </c>
      <c r="M34" s="10">
        <f t="shared" si="0"/>
        <v>9.9</v>
      </c>
      <c r="N34" s="10">
        <v>16.5</v>
      </c>
      <c r="O34" s="10">
        <f>1.65*1.65*0.66</f>
        <v>1.7968499999999998</v>
      </c>
      <c r="P34" s="41">
        <f t="shared" si="1"/>
        <v>17.788815</v>
      </c>
      <c r="Q34" s="17">
        <v>120000</v>
      </c>
      <c r="R34" s="17">
        <f t="shared" si="2"/>
        <v>2134.6578</v>
      </c>
      <c r="S34" s="6">
        <f t="shared" si="3"/>
        <v>32.737639751552791</v>
      </c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spans="1:29" s="18" customFormat="1" ht="21.95" customHeight="1" x14ac:dyDescent="0.2">
      <c r="A35" s="5">
        <f t="shared" si="4"/>
        <v>33</v>
      </c>
      <c r="B35" s="10"/>
      <c r="C35" s="61" t="s">
        <v>378</v>
      </c>
      <c r="D35" s="61"/>
      <c r="E35" s="8">
        <v>741497830</v>
      </c>
      <c r="F35" s="7" t="s">
        <v>111</v>
      </c>
      <c r="G35" s="9"/>
      <c r="H35" s="11">
        <v>0.40439999999999998</v>
      </c>
      <c r="I35" s="10"/>
      <c r="J35" s="10" t="s">
        <v>232</v>
      </c>
      <c r="K35" s="10" t="s">
        <v>290</v>
      </c>
      <c r="L35" s="10">
        <v>5</v>
      </c>
      <c r="M35" s="10">
        <f t="shared" si="0"/>
        <v>9.9</v>
      </c>
      <c r="N35" s="10">
        <v>17</v>
      </c>
      <c r="O35" s="10">
        <f>1.7*1.7*0.66</f>
        <v>1.9074</v>
      </c>
      <c r="P35" s="41">
        <f t="shared" si="1"/>
        <v>18.88326</v>
      </c>
      <c r="Q35" s="17">
        <v>120000</v>
      </c>
      <c r="R35" s="17">
        <f t="shared" si="2"/>
        <v>2265.9911999999999</v>
      </c>
      <c r="S35" s="6">
        <f t="shared" si="3"/>
        <v>26.682577363289528</v>
      </c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spans="1:29" s="18" customFormat="1" ht="21.95" customHeight="1" x14ac:dyDescent="0.2">
      <c r="A36" s="5">
        <f t="shared" si="4"/>
        <v>34</v>
      </c>
      <c r="B36" s="10"/>
      <c r="C36" s="61" t="s">
        <v>378</v>
      </c>
      <c r="D36" s="61"/>
      <c r="E36" s="8">
        <v>741488100</v>
      </c>
      <c r="F36" s="7" t="s">
        <v>112</v>
      </c>
      <c r="G36" s="9"/>
      <c r="H36" s="11">
        <v>0.5756</v>
      </c>
      <c r="I36" s="10"/>
      <c r="J36" s="10" t="s">
        <v>232</v>
      </c>
      <c r="K36" s="10" t="s">
        <v>291</v>
      </c>
      <c r="L36" s="10">
        <v>4</v>
      </c>
      <c r="M36" s="10">
        <f t="shared" si="0"/>
        <v>8.8000000000000007</v>
      </c>
      <c r="N36" s="10"/>
      <c r="O36" s="10">
        <f>2.38*2.38*0.66</f>
        <v>3.7385039999999998</v>
      </c>
      <c r="P36" s="41">
        <f t="shared" si="1"/>
        <v>32.898835200000001</v>
      </c>
      <c r="Q36" s="17">
        <v>120000</v>
      </c>
      <c r="R36" s="17">
        <f t="shared" si="2"/>
        <v>3947.860224</v>
      </c>
      <c r="S36" s="6">
        <f t="shared" si="3"/>
        <v>32.660414176511466</v>
      </c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spans="1:29" s="18" customFormat="1" ht="21.95" customHeight="1" x14ac:dyDescent="0.2">
      <c r="A37" s="5">
        <f t="shared" si="4"/>
        <v>35</v>
      </c>
      <c r="B37" s="10"/>
      <c r="C37" s="61" t="s">
        <v>378</v>
      </c>
      <c r="D37" s="61"/>
      <c r="E37" s="8">
        <v>741628600</v>
      </c>
      <c r="F37" s="7" t="s">
        <v>113</v>
      </c>
      <c r="G37" s="9"/>
      <c r="H37" s="11">
        <v>0.3332</v>
      </c>
      <c r="I37" s="10"/>
      <c r="J37" s="10" t="s">
        <v>232</v>
      </c>
      <c r="K37" s="10" t="s">
        <v>292</v>
      </c>
      <c r="L37" s="10">
        <v>3</v>
      </c>
      <c r="M37" s="10">
        <f t="shared" si="0"/>
        <v>7.7000000000000011</v>
      </c>
      <c r="N37" s="10">
        <v>15</v>
      </c>
      <c r="O37" s="10">
        <f>1.5*1.5*0.66</f>
        <v>1.4850000000000001</v>
      </c>
      <c r="P37" s="41">
        <f t="shared" si="1"/>
        <v>11.434500000000002</v>
      </c>
      <c r="Q37" s="17">
        <v>120000</v>
      </c>
      <c r="R37" s="17">
        <f t="shared" si="2"/>
        <v>1372.14</v>
      </c>
      <c r="S37" s="6">
        <f t="shared" si="3"/>
        <v>19.609843937575032</v>
      </c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spans="1:29" s="18" customFormat="1" ht="21.95" customHeight="1" x14ac:dyDescent="0.2">
      <c r="A38" s="5">
        <f t="shared" si="4"/>
        <v>36</v>
      </c>
      <c r="B38" s="10"/>
      <c r="C38" s="61" t="s">
        <v>378</v>
      </c>
      <c r="D38" s="61"/>
      <c r="E38" s="8">
        <v>741499020</v>
      </c>
      <c r="F38" s="7" t="s">
        <v>114</v>
      </c>
      <c r="G38" s="9"/>
      <c r="H38" s="11">
        <v>0.4</v>
      </c>
      <c r="I38" s="10"/>
      <c r="J38" s="10" t="s">
        <v>232</v>
      </c>
      <c r="K38" s="10" t="s">
        <v>293</v>
      </c>
      <c r="L38" s="10">
        <v>3</v>
      </c>
      <c r="M38" s="10">
        <f t="shared" si="0"/>
        <v>7.7000000000000011</v>
      </c>
      <c r="N38" s="10">
        <v>15</v>
      </c>
      <c r="O38" s="10">
        <f>1.5*1.5*0.66</f>
        <v>1.4850000000000001</v>
      </c>
      <c r="P38" s="41">
        <f t="shared" si="1"/>
        <v>11.434500000000002</v>
      </c>
      <c r="Q38" s="17">
        <v>120000</v>
      </c>
      <c r="R38" s="17">
        <f t="shared" si="2"/>
        <v>1372.14</v>
      </c>
      <c r="S38" s="6">
        <f t="shared" si="3"/>
        <v>16.335000000000001</v>
      </c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spans="1:29" s="18" customFormat="1" ht="21.95" customHeight="1" x14ac:dyDescent="0.2">
      <c r="A39" s="5">
        <f t="shared" si="4"/>
        <v>37</v>
      </c>
      <c r="B39" s="10"/>
      <c r="C39" s="61" t="s">
        <v>378</v>
      </c>
      <c r="D39" s="61"/>
      <c r="E39" s="8">
        <v>741499030</v>
      </c>
      <c r="F39" s="7" t="s">
        <v>115</v>
      </c>
      <c r="G39" s="9"/>
      <c r="H39" s="11">
        <v>0.4</v>
      </c>
      <c r="I39" s="10"/>
      <c r="J39" s="10" t="s">
        <v>232</v>
      </c>
      <c r="K39" s="10" t="s">
        <v>294</v>
      </c>
      <c r="L39" s="10">
        <v>3</v>
      </c>
      <c r="M39" s="10">
        <f t="shared" si="0"/>
        <v>7.7000000000000011</v>
      </c>
      <c r="N39" s="10">
        <v>15</v>
      </c>
      <c r="O39" s="10">
        <f>1.5*1.5*0.66</f>
        <v>1.4850000000000001</v>
      </c>
      <c r="P39" s="41">
        <f t="shared" si="1"/>
        <v>11.434500000000002</v>
      </c>
      <c r="Q39" s="17">
        <v>120000</v>
      </c>
      <c r="R39" s="17">
        <f t="shared" si="2"/>
        <v>1372.14</v>
      </c>
      <c r="S39" s="6">
        <f t="shared" si="3"/>
        <v>16.335000000000001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spans="1:29" s="18" customFormat="1" ht="21.95" customHeight="1" x14ac:dyDescent="0.2">
      <c r="A40" s="5">
        <f t="shared" si="4"/>
        <v>38</v>
      </c>
      <c r="B40" s="10"/>
      <c r="C40" s="61" t="s">
        <v>378</v>
      </c>
      <c r="D40" s="61"/>
      <c r="E40" s="8">
        <v>741619200</v>
      </c>
      <c r="F40" s="7" t="s">
        <v>116</v>
      </c>
      <c r="G40" s="9"/>
      <c r="H40" s="11">
        <v>0.52</v>
      </c>
      <c r="I40" s="10"/>
      <c r="J40" s="10" t="s">
        <v>232</v>
      </c>
      <c r="K40" s="10" t="s">
        <v>295</v>
      </c>
      <c r="L40" s="10">
        <v>2</v>
      </c>
      <c r="M40" s="10">
        <f t="shared" si="0"/>
        <v>6.6000000000000005</v>
      </c>
      <c r="N40" s="10"/>
      <c r="O40" s="10">
        <f>2.53*2.53*0.66</f>
        <v>4.2245939999999997</v>
      </c>
      <c r="P40" s="41">
        <f t="shared" si="1"/>
        <v>27.882320400000001</v>
      </c>
      <c r="Q40" s="17">
        <v>120000</v>
      </c>
      <c r="R40" s="17">
        <f t="shared" si="2"/>
        <v>3345.8784479999999</v>
      </c>
      <c r="S40" s="6">
        <f t="shared" si="3"/>
        <v>30.639912527472529</v>
      </c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spans="1:29" s="18" customFormat="1" ht="21.95" customHeight="1" x14ac:dyDescent="0.2">
      <c r="A41" s="5">
        <f t="shared" si="4"/>
        <v>39</v>
      </c>
      <c r="B41" s="10"/>
      <c r="C41" s="61" t="s">
        <v>378</v>
      </c>
      <c r="D41" s="61"/>
      <c r="E41" s="8">
        <v>741619201</v>
      </c>
      <c r="F41" s="7" t="s">
        <v>117</v>
      </c>
      <c r="G41" s="9"/>
      <c r="H41" s="11">
        <v>0.52</v>
      </c>
      <c r="I41" s="10"/>
      <c r="J41" s="10" t="s">
        <v>232</v>
      </c>
      <c r="K41" s="10" t="s">
        <v>295</v>
      </c>
      <c r="L41" s="10">
        <v>2</v>
      </c>
      <c r="M41" s="10">
        <f t="shared" si="0"/>
        <v>6.6000000000000005</v>
      </c>
      <c r="N41" s="10"/>
      <c r="O41" s="10">
        <f>2.53*2.53*0.66</f>
        <v>4.2245939999999997</v>
      </c>
      <c r="P41" s="41">
        <f t="shared" si="1"/>
        <v>27.882320400000001</v>
      </c>
      <c r="Q41" s="17">
        <v>120000</v>
      </c>
      <c r="R41" s="17">
        <f t="shared" si="2"/>
        <v>3345.8784479999999</v>
      </c>
      <c r="S41" s="6">
        <f t="shared" si="3"/>
        <v>30.639912527472529</v>
      </c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spans="1:29" s="18" customFormat="1" ht="21.95" customHeight="1" x14ac:dyDescent="0.2">
      <c r="A42" s="5">
        <f t="shared" si="4"/>
        <v>40</v>
      </c>
      <c r="B42" s="10"/>
      <c r="C42" s="61" t="s">
        <v>378</v>
      </c>
      <c r="D42" s="61"/>
      <c r="E42" s="38">
        <v>741619300</v>
      </c>
      <c r="F42" s="37" t="s">
        <v>368</v>
      </c>
      <c r="G42" s="9"/>
      <c r="H42" s="11">
        <v>0.24299999999999999</v>
      </c>
      <c r="I42" s="10"/>
      <c r="J42" s="10" t="s">
        <v>232</v>
      </c>
      <c r="K42" s="10" t="s">
        <v>296</v>
      </c>
      <c r="L42" s="10">
        <v>4</v>
      </c>
      <c r="M42" s="10">
        <f t="shared" si="0"/>
        <v>8.8000000000000007</v>
      </c>
      <c r="N42" s="10">
        <v>13</v>
      </c>
      <c r="O42" s="10">
        <f>1.3*1.3*0.66</f>
        <v>1.1154000000000002</v>
      </c>
      <c r="P42" s="41">
        <f t="shared" si="1"/>
        <v>9.8155200000000029</v>
      </c>
      <c r="Q42" s="17">
        <v>120000</v>
      </c>
      <c r="R42" s="17">
        <f t="shared" si="2"/>
        <v>1177.8624000000004</v>
      </c>
      <c r="S42" s="6">
        <f t="shared" si="3"/>
        <v>23.081763668430344</v>
      </c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spans="1:29" s="18" customFormat="1" ht="21.95" customHeight="1" x14ac:dyDescent="0.2">
      <c r="A43" s="5">
        <f t="shared" si="4"/>
        <v>41</v>
      </c>
      <c r="B43" s="10"/>
      <c r="C43" s="61" t="s">
        <v>378</v>
      </c>
      <c r="D43" s="61"/>
      <c r="E43" s="8">
        <v>741619310</v>
      </c>
      <c r="F43" s="7" t="s">
        <v>118</v>
      </c>
      <c r="G43" s="9"/>
      <c r="H43" s="11">
        <v>0.27600000000000002</v>
      </c>
      <c r="I43" s="10"/>
      <c r="J43" s="10" t="s">
        <v>232</v>
      </c>
      <c r="K43" s="10" t="s">
        <v>296</v>
      </c>
      <c r="L43" s="10">
        <v>4</v>
      </c>
      <c r="M43" s="10">
        <f t="shared" si="0"/>
        <v>8.8000000000000007</v>
      </c>
      <c r="N43" s="10">
        <v>13</v>
      </c>
      <c r="O43" s="10">
        <f>1.3*1.3*0.66</f>
        <v>1.1154000000000002</v>
      </c>
      <c r="P43" s="41">
        <f t="shared" si="1"/>
        <v>9.8155200000000029</v>
      </c>
      <c r="Q43" s="17">
        <v>120000</v>
      </c>
      <c r="R43" s="17">
        <f t="shared" si="2"/>
        <v>1177.8624000000004</v>
      </c>
      <c r="S43" s="6">
        <f t="shared" si="3"/>
        <v>20.321987577639756</v>
      </c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spans="1:29" s="18" customFormat="1" ht="21.95" customHeight="1" x14ac:dyDescent="0.2">
      <c r="A44" s="5">
        <f t="shared" si="4"/>
        <v>42</v>
      </c>
      <c r="B44" s="10"/>
      <c r="C44" s="61" t="s">
        <v>378</v>
      </c>
      <c r="D44" s="61"/>
      <c r="E44" s="8">
        <v>741619400</v>
      </c>
      <c r="F44" s="7" t="s">
        <v>119</v>
      </c>
      <c r="G44" s="9"/>
      <c r="H44" s="11">
        <v>0.27500000000000002</v>
      </c>
      <c r="I44" s="10"/>
      <c r="J44" s="10" t="s">
        <v>232</v>
      </c>
      <c r="K44" s="10" t="s">
        <v>297</v>
      </c>
      <c r="L44" s="10">
        <v>4</v>
      </c>
      <c r="M44" s="10">
        <f t="shared" si="0"/>
        <v>8.8000000000000007</v>
      </c>
      <c r="N44" s="10">
        <v>16</v>
      </c>
      <c r="O44" s="10">
        <f>1.6*1.6*0.66</f>
        <v>1.6896000000000004</v>
      </c>
      <c r="P44" s="41">
        <f t="shared" si="1"/>
        <v>14.868480000000005</v>
      </c>
      <c r="Q44" s="17">
        <v>120000</v>
      </c>
      <c r="R44" s="17">
        <f t="shared" si="2"/>
        <v>1784.2176000000006</v>
      </c>
      <c r="S44" s="6">
        <f t="shared" si="3"/>
        <v>30.895542857142864</v>
      </c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 s="18" customFormat="1" ht="21.95" customHeight="1" x14ac:dyDescent="0.2">
      <c r="A45" s="5">
        <f t="shared" si="4"/>
        <v>43</v>
      </c>
      <c r="B45" s="10"/>
      <c r="C45" s="61" t="s">
        <v>378</v>
      </c>
      <c r="D45" s="61"/>
      <c r="E45" s="8" t="s">
        <v>120</v>
      </c>
      <c r="F45" s="7" t="s">
        <v>121</v>
      </c>
      <c r="G45" s="9"/>
      <c r="H45" s="11">
        <v>0.35</v>
      </c>
      <c r="I45" s="10"/>
      <c r="J45" s="10" t="s">
        <v>232</v>
      </c>
      <c r="K45" s="10" t="s">
        <v>298</v>
      </c>
      <c r="L45" s="10">
        <v>4</v>
      </c>
      <c r="M45" s="10">
        <f t="shared" si="0"/>
        <v>8.8000000000000007</v>
      </c>
      <c r="N45" s="10"/>
      <c r="O45" s="10">
        <f>2.05*2.05*0.66</f>
        <v>2.7736499999999999</v>
      </c>
      <c r="P45" s="41">
        <f t="shared" si="1"/>
        <v>24.40812</v>
      </c>
      <c r="Q45" s="17">
        <v>120000</v>
      </c>
      <c r="R45" s="17">
        <f t="shared" si="2"/>
        <v>2928.9744000000001</v>
      </c>
      <c r="S45" s="6">
        <f t="shared" si="3"/>
        <v>39.849991836734702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spans="1:29" s="18" customFormat="1" ht="21.95" customHeight="1" x14ac:dyDescent="0.2">
      <c r="A46" s="5">
        <f t="shared" si="4"/>
        <v>44</v>
      </c>
      <c r="B46" s="10"/>
      <c r="C46" s="61" t="s">
        <v>378</v>
      </c>
      <c r="D46" s="61"/>
      <c r="E46" s="8" t="s">
        <v>122</v>
      </c>
      <c r="F46" s="7" t="s">
        <v>123</v>
      </c>
      <c r="G46" s="9"/>
      <c r="H46" s="11">
        <v>0.41</v>
      </c>
      <c r="I46" s="10"/>
      <c r="J46" s="10" t="s">
        <v>232</v>
      </c>
      <c r="K46" s="10" t="s">
        <v>299</v>
      </c>
      <c r="L46" s="10">
        <v>2</v>
      </c>
      <c r="M46" s="10">
        <f t="shared" si="0"/>
        <v>6.6000000000000005</v>
      </c>
      <c r="N46" s="10">
        <v>23.5</v>
      </c>
      <c r="O46" s="10">
        <f>2.35*2.35*0.66</f>
        <v>3.6448500000000008</v>
      </c>
      <c r="P46" s="41">
        <f t="shared" si="1"/>
        <v>24.056010000000008</v>
      </c>
      <c r="Q46" s="17">
        <v>120000</v>
      </c>
      <c r="R46" s="17">
        <f t="shared" si="2"/>
        <v>2886.7212000000009</v>
      </c>
      <c r="S46" s="6">
        <f t="shared" si="3"/>
        <v>33.527540069686424</v>
      </c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spans="1:29" s="18" customFormat="1" ht="21.95" customHeight="1" x14ac:dyDescent="0.2">
      <c r="A47" s="5">
        <f t="shared" si="4"/>
        <v>45</v>
      </c>
      <c r="B47" s="10"/>
      <c r="C47" s="61" t="s">
        <v>378</v>
      </c>
      <c r="D47" s="61"/>
      <c r="E47" s="8" t="s">
        <v>124</v>
      </c>
      <c r="F47" s="7" t="s">
        <v>125</v>
      </c>
      <c r="G47" s="9"/>
      <c r="H47" s="11">
        <v>0.16</v>
      </c>
      <c r="I47" s="10"/>
      <c r="J47" s="10" t="s">
        <v>232</v>
      </c>
      <c r="K47" s="10" t="s">
        <v>300</v>
      </c>
      <c r="L47" s="10">
        <v>10</v>
      </c>
      <c r="M47" s="10">
        <f t="shared" si="0"/>
        <v>15.400000000000002</v>
      </c>
      <c r="N47" s="10">
        <v>23</v>
      </c>
      <c r="O47" s="10">
        <f>2.3*2.3*0.66</f>
        <v>3.4913999999999996</v>
      </c>
      <c r="P47" s="41">
        <f t="shared" si="1"/>
        <v>53.767560000000003</v>
      </c>
      <c r="Q47" s="17">
        <v>120000</v>
      </c>
      <c r="R47" s="17">
        <f t="shared" si="2"/>
        <v>6452.1072000000004</v>
      </c>
      <c r="S47" s="6">
        <f t="shared" si="3"/>
        <v>192.02700000000002</v>
      </c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spans="1:29" s="18" customFormat="1" ht="21.95" customHeight="1" x14ac:dyDescent="0.2">
      <c r="A48" s="5">
        <f t="shared" si="4"/>
        <v>46</v>
      </c>
      <c r="B48" s="10"/>
      <c r="C48" s="61" t="s">
        <v>378</v>
      </c>
      <c r="D48" s="61"/>
      <c r="E48" s="8" t="s">
        <v>126</v>
      </c>
      <c r="F48" s="7" t="s">
        <v>127</v>
      </c>
      <c r="G48" s="9"/>
      <c r="H48" s="11">
        <v>0.16</v>
      </c>
      <c r="I48" s="10"/>
      <c r="J48" s="10" t="s">
        <v>232</v>
      </c>
      <c r="K48" s="10" t="s">
        <v>301</v>
      </c>
      <c r="L48" s="10">
        <v>10</v>
      </c>
      <c r="M48" s="10">
        <f t="shared" si="0"/>
        <v>15.400000000000002</v>
      </c>
      <c r="N48" s="10">
        <v>23</v>
      </c>
      <c r="O48" s="10">
        <f>2.3*2.3*0.66</f>
        <v>3.4913999999999996</v>
      </c>
      <c r="P48" s="41">
        <f t="shared" si="1"/>
        <v>53.767560000000003</v>
      </c>
      <c r="Q48" s="17">
        <v>120000</v>
      </c>
      <c r="R48" s="17">
        <f t="shared" si="2"/>
        <v>6452.1072000000004</v>
      </c>
      <c r="S48" s="6">
        <f t="shared" si="3"/>
        <v>192.02700000000002</v>
      </c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spans="1:29" s="18" customFormat="1" ht="21.95" customHeight="1" x14ac:dyDescent="0.2">
      <c r="A49" s="5">
        <f t="shared" si="4"/>
        <v>47</v>
      </c>
      <c r="B49" s="10"/>
      <c r="C49" s="61" t="s">
        <v>378</v>
      </c>
      <c r="D49" s="61"/>
      <c r="E49" s="8" t="s">
        <v>128</v>
      </c>
      <c r="F49" s="7" t="s">
        <v>129</v>
      </c>
      <c r="G49" s="9"/>
      <c r="H49" s="11">
        <v>0.16</v>
      </c>
      <c r="I49" s="10"/>
      <c r="J49" s="10" t="s">
        <v>232</v>
      </c>
      <c r="K49" s="10" t="s">
        <v>302</v>
      </c>
      <c r="L49" s="10">
        <v>10</v>
      </c>
      <c r="M49" s="10">
        <f t="shared" si="0"/>
        <v>15.400000000000002</v>
      </c>
      <c r="N49" s="10">
        <v>23</v>
      </c>
      <c r="O49" s="10">
        <f>2.3*2.3*0.66</f>
        <v>3.4913999999999996</v>
      </c>
      <c r="P49" s="41">
        <f t="shared" si="1"/>
        <v>53.767560000000003</v>
      </c>
      <c r="Q49" s="17">
        <v>120000</v>
      </c>
      <c r="R49" s="17">
        <f t="shared" si="2"/>
        <v>6452.1072000000004</v>
      </c>
      <c r="S49" s="6">
        <f t="shared" si="3"/>
        <v>192.02700000000002</v>
      </c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spans="1:29" s="18" customFormat="1" ht="21.95" customHeight="1" x14ac:dyDescent="0.2">
      <c r="A50" s="5">
        <f t="shared" si="4"/>
        <v>48</v>
      </c>
      <c r="B50" s="10"/>
      <c r="C50" s="61" t="s">
        <v>378</v>
      </c>
      <c r="D50" s="61"/>
      <c r="E50" s="8" t="s">
        <v>130</v>
      </c>
      <c r="F50" s="7" t="s">
        <v>131</v>
      </c>
      <c r="G50" s="9"/>
      <c r="H50" s="11">
        <v>0.16</v>
      </c>
      <c r="I50" s="10"/>
      <c r="J50" s="10" t="s">
        <v>232</v>
      </c>
      <c r="K50" s="10" t="s">
        <v>303</v>
      </c>
      <c r="L50" s="10">
        <v>10</v>
      </c>
      <c r="M50" s="10">
        <f t="shared" si="0"/>
        <v>15.400000000000002</v>
      </c>
      <c r="N50" s="10">
        <v>23</v>
      </c>
      <c r="O50" s="10">
        <f>2.3*2.3*0.66</f>
        <v>3.4913999999999996</v>
      </c>
      <c r="P50" s="41">
        <f t="shared" si="1"/>
        <v>53.767560000000003</v>
      </c>
      <c r="Q50" s="17">
        <v>120000</v>
      </c>
      <c r="R50" s="17">
        <f t="shared" si="2"/>
        <v>6452.1072000000004</v>
      </c>
      <c r="S50" s="6">
        <f t="shared" si="3"/>
        <v>192.02700000000002</v>
      </c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spans="1:29" s="18" customFormat="1" ht="21.95" customHeight="1" x14ac:dyDescent="0.2">
      <c r="A51" s="5">
        <f t="shared" si="4"/>
        <v>49</v>
      </c>
      <c r="B51" s="10"/>
      <c r="C51" s="61" t="s">
        <v>378</v>
      </c>
      <c r="D51" s="61"/>
      <c r="E51" s="8" t="s">
        <v>132</v>
      </c>
      <c r="F51" s="7" t="s">
        <v>133</v>
      </c>
      <c r="G51" s="9"/>
      <c r="H51" s="11">
        <v>0.56999999999999995</v>
      </c>
      <c r="I51" s="10"/>
      <c r="J51" s="10" t="s">
        <v>232</v>
      </c>
      <c r="K51" s="10" t="s">
        <v>304</v>
      </c>
      <c r="L51" s="10">
        <v>10</v>
      </c>
      <c r="M51" s="10">
        <f t="shared" si="0"/>
        <v>15.400000000000002</v>
      </c>
      <c r="N51" s="10">
        <v>25.5</v>
      </c>
      <c r="O51" s="10">
        <f>2.55*2.55*0.66</f>
        <v>4.2916499999999997</v>
      </c>
      <c r="P51" s="41">
        <f t="shared" si="1"/>
        <v>66.09141000000001</v>
      </c>
      <c r="Q51" s="17">
        <v>120000</v>
      </c>
      <c r="R51" s="17">
        <f t="shared" si="2"/>
        <v>7930.9692000000014</v>
      </c>
      <c r="S51" s="6">
        <f t="shared" si="3"/>
        <v>66.257052631578972</v>
      </c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spans="1:29" s="18" customFormat="1" ht="21.95" customHeight="1" x14ac:dyDescent="0.2">
      <c r="A52" s="5">
        <f t="shared" si="4"/>
        <v>50</v>
      </c>
      <c r="B52" s="10"/>
      <c r="C52" s="61" t="s">
        <v>378</v>
      </c>
      <c r="D52" s="61"/>
      <c r="E52" s="8" t="s">
        <v>134</v>
      </c>
      <c r="F52" s="7" t="s">
        <v>135</v>
      </c>
      <c r="G52" s="9"/>
      <c r="H52" s="11">
        <v>0.56999999999999995</v>
      </c>
      <c r="I52" s="10"/>
      <c r="J52" s="10" t="s">
        <v>232</v>
      </c>
      <c r="K52" s="10" t="s">
        <v>305</v>
      </c>
      <c r="L52" s="10">
        <v>10</v>
      </c>
      <c r="M52" s="10">
        <f t="shared" si="0"/>
        <v>15.400000000000002</v>
      </c>
      <c r="N52" s="10">
        <v>25.5</v>
      </c>
      <c r="O52" s="10">
        <f>2.55*2.55*0.66</f>
        <v>4.2916499999999997</v>
      </c>
      <c r="P52" s="41">
        <f t="shared" si="1"/>
        <v>66.09141000000001</v>
      </c>
      <c r="Q52" s="17">
        <v>120000</v>
      </c>
      <c r="R52" s="17">
        <f t="shared" si="2"/>
        <v>7930.9692000000014</v>
      </c>
      <c r="S52" s="6">
        <f t="shared" si="3"/>
        <v>66.257052631578972</v>
      </c>
      <c r="T52" s="10"/>
      <c r="U52" s="10"/>
      <c r="V52" s="10"/>
      <c r="W52" s="10"/>
      <c r="X52" s="10"/>
      <c r="Y52" s="10"/>
      <c r="Z52" s="10"/>
      <c r="AA52" s="10"/>
      <c r="AB52" s="10"/>
      <c r="AC52" s="10"/>
    </row>
    <row r="53" spans="1:29" s="18" customFormat="1" ht="21.95" customHeight="1" x14ac:dyDescent="0.2">
      <c r="A53" s="5">
        <f t="shared" si="4"/>
        <v>51</v>
      </c>
      <c r="B53" s="10"/>
      <c r="C53" s="61" t="s">
        <v>378</v>
      </c>
      <c r="D53" s="61"/>
      <c r="E53" s="8" t="s">
        <v>136</v>
      </c>
      <c r="F53" s="7" t="s">
        <v>137</v>
      </c>
      <c r="G53" s="9"/>
      <c r="H53" s="11">
        <v>0.28000000000000003</v>
      </c>
      <c r="I53" s="10"/>
      <c r="J53" s="10" t="s">
        <v>232</v>
      </c>
      <c r="K53" s="10" t="s">
        <v>306</v>
      </c>
      <c r="L53" s="10">
        <v>4</v>
      </c>
      <c r="M53" s="10">
        <f t="shared" si="0"/>
        <v>8.8000000000000007</v>
      </c>
      <c r="N53" s="10"/>
      <c r="O53" s="10">
        <f>2.5*2.5*0.66</f>
        <v>4.125</v>
      </c>
      <c r="P53" s="41">
        <f t="shared" si="1"/>
        <v>36.300000000000004</v>
      </c>
      <c r="Q53" s="17">
        <v>120000</v>
      </c>
      <c r="R53" s="17">
        <f t="shared" si="2"/>
        <v>4356.0000000000009</v>
      </c>
      <c r="S53" s="6">
        <f t="shared" si="3"/>
        <v>74.08163265306122</v>
      </c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spans="1:29" s="18" customFormat="1" ht="21.95" customHeight="1" x14ac:dyDescent="0.2">
      <c r="A54" s="5">
        <f t="shared" si="4"/>
        <v>52</v>
      </c>
      <c r="B54" s="10"/>
      <c r="C54" s="61" t="s">
        <v>378</v>
      </c>
      <c r="D54" s="61"/>
      <c r="E54" s="8" t="s">
        <v>138</v>
      </c>
      <c r="F54" s="7" t="s">
        <v>139</v>
      </c>
      <c r="G54" s="9"/>
      <c r="H54" s="11">
        <v>0.28000000000000003</v>
      </c>
      <c r="I54" s="10"/>
      <c r="J54" s="10" t="s">
        <v>232</v>
      </c>
      <c r="K54" s="10" t="s">
        <v>307</v>
      </c>
      <c r="L54" s="10">
        <v>4</v>
      </c>
      <c r="M54" s="10">
        <f t="shared" si="0"/>
        <v>8.8000000000000007</v>
      </c>
      <c r="N54" s="10"/>
      <c r="O54" s="10">
        <f>2.5*2.5*0.66</f>
        <v>4.125</v>
      </c>
      <c r="P54" s="41">
        <f t="shared" si="1"/>
        <v>36.300000000000004</v>
      </c>
      <c r="Q54" s="17">
        <v>120000</v>
      </c>
      <c r="R54" s="17">
        <f t="shared" si="2"/>
        <v>4356.0000000000009</v>
      </c>
      <c r="S54" s="6">
        <f t="shared" si="3"/>
        <v>74.08163265306122</v>
      </c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spans="1:29" s="18" customFormat="1" ht="21.95" customHeight="1" x14ac:dyDescent="0.2">
      <c r="A55" s="5">
        <f t="shared" si="4"/>
        <v>53</v>
      </c>
      <c r="B55" s="10"/>
      <c r="C55" s="61" t="s">
        <v>378</v>
      </c>
      <c r="D55" s="61"/>
      <c r="E55" s="8" t="s">
        <v>140</v>
      </c>
      <c r="F55" s="7" t="s">
        <v>141</v>
      </c>
      <c r="G55" s="9"/>
      <c r="H55" s="11">
        <v>0.42</v>
      </c>
      <c r="I55" s="10"/>
      <c r="J55" s="10" t="s">
        <v>232</v>
      </c>
      <c r="K55" s="10" t="s">
        <v>308</v>
      </c>
      <c r="L55" s="10">
        <v>4</v>
      </c>
      <c r="M55" s="10">
        <f t="shared" si="0"/>
        <v>8.8000000000000007</v>
      </c>
      <c r="N55" s="10"/>
      <c r="O55" s="10">
        <f>2.75*2.75*0.66</f>
        <v>4.99125</v>
      </c>
      <c r="P55" s="41">
        <f t="shared" si="1"/>
        <v>43.923000000000002</v>
      </c>
      <c r="Q55" s="17">
        <v>120000</v>
      </c>
      <c r="R55" s="17">
        <f t="shared" si="2"/>
        <v>5270.76</v>
      </c>
      <c r="S55" s="6">
        <f t="shared" si="3"/>
        <v>59.759183673469387</v>
      </c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spans="1:29" s="18" customFormat="1" ht="21.95" customHeight="1" x14ac:dyDescent="0.2">
      <c r="A56" s="5">
        <f t="shared" si="4"/>
        <v>54</v>
      </c>
      <c r="B56" s="10"/>
      <c r="C56" s="61" t="s">
        <v>378</v>
      </c>
      <c r="D56" s="61"/>
      <c r="E56" s="8" t="s">
        <v>142</v>
      </c>
      <c r="F56" s="7" t="s">
        <v>143</v>
      </c>
      <c r="G56" s="9"/>
      <c r="H56" s="11">
        <v>0.23499999999999999</v>
      </c>
      <c r="I56" s="10"/>
      <c r="J56" s="10" t="s">
        <v>232</v>
      </c>
      <c r="K56" s="10" t="s">
        <v>309</v>
      </c>
      <c r="L56" s="10">
        <v>5</v>
      </c>
      <c r="M56" s="10">
        <f t="shared" si="0"/>
        <v>9.9</v>
      </c>
      <c r="N56" s="10">
        <v>18</v>
      </c>
      <c r="O56" s="10">
        <f>1.8*1.8*0.66</f>
        <v>2.1384000000000003</v>
      </c>
      <c r="P56" s="41">
        <f t="shared" si="1"/>
        <v>21.170160000000003</v>
      </c>
      <c r="Q56" s="17">
        <v>120000</v>
      </c>
      <c r="R56" s="17">
        <f t="shared" si="2"/>
        <v>2540.4192000000003</v>
      </c>
      <c r="S56" s="6">
        <f t="shared" si="3"/>
        <v>51.477592705167176</v>
      </c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spans="1:29" s="18" customFormat="1" ht="21.95" customHeight="1" x14ac:dyDescent="0.2">
      <c r="A57" s="5">
        <f t="shared" si="4"/>
        <v>55</v>
      </c>
      <c r="B57" s="10"/>
      <c r="C57" s="61" t="s">
        <v>378</v>
      </c>
      <c r="D57" s="61"/>
      <c r="E57" s="8" t="s">
        <v>144</v>
      </c>
      <c r="F57" s="7" t="s">
        <v>145</v>
      </c>
      <c r="G57" s="9"/>
      <c r="H57" s="11">
        <v>0.17499999999999999</v>
      </c>
      <c r="I57" s="10"/>
      <c r="J57" s="10" t="s">
        <v>232</v>
      </c>
      <c r="K57" s="10" t="s">
        <v>310</v>
      </c>
      <c r="L57" s="10">
        <v>4</v>
      </c>
      <c r="M57" s="10">
        <f t="shared" si="0"/>
        <v>8.8000000000000007</v>
      </c>
      <c r="N57" s="10">
        <v>25</v>
      </c>
      <c r="O57" s="10">
        <f>2.5*2.5*0.66</f>
        <v>4.125</v>
      </c>
      <c r="P57" s="41">
        <f t="shared" si="1"/>
        <v>36.300000000000004</v>
      </c>
      <c r="Q57" s="17">
        <v>120000</v>
      </c>
      <c r="R57" s="17">
        <f t="shared" si="2"/>
        <v>4356.0000000000009</v>
      </c>
      <c r="S57" s="6">
        <f t="shared" si="3"/>
        <v>118.53061224489801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</row>
    <row r="58" spans="1:29" s="18" customFormat="1" ht="21.95" customHeight="1" x14ac:dyDescent="0.2">
      <c r="A58" s="5">
        <f t="shared" si="4"/>
        <v>56</v>
      </c>
      <c r="B58" s="10"/>
      <c r="C58" s="61" t="s">
        <v>378</v>
      </c>
      <c r="D58" s="61"/>
      <c r="E58" s="8" t="s">
        <v>146</v>
      </c>
      <c r="F58" s="7" t="s">
        <v>147</v>
      </c>
      <c r="G58" s="9"/>
      <c r="H58" s="11">
        <v>0.18</v>
      </c>
      <c r="I58" s="10"/>
      <c r="J58" s="10" t="s">
        <v>232</v>
      </c>
      <c r="K58" s="10" t="s">
        <v>311</v>
      </c>
      <c r="L58" s="10">
        <v>3</v>
      </c>
      <c r="M58" s="10">
        <f t="shared" si="0"/>
        <v>7.7000000000000011</v>
      </c>
      <c r="N58" s="10">
        <v>23</v>
      </c>
      <c r="O58" s="10">
        <f>2.3*2.3*0.66</f>
        <v>3.4913999999999996</v>
      </c>
      <c r="P58" s="41">
        <f t="shared" si="1"/>
        <v>26.883780000000002</v>
      </c>
      <c r="Q58" s="17">
        <v>120000</v>
      </c>
      <c r="R58" s="17">
        <f t="shared" si="2"/>
        <v>3226.0536000000002</v>
      </c>
      <c r="S58" s="6">
        <f t="shared" si="3"/>
        <v>85.345333333333343</v>
      </c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spans="1:29" s="18" customFormat="1" ht="21.95" customHeight="1" x14ac:dyDescent="0.2">
      <c r="A59" s="5">
        <f t="shared" si="4"/>
        <v>57</v>
      </c>
      <c r="B59" s="10"/>
      <c r="C59" s="61" t="s">
        <v>378</v>
      </c>
      <c r="D59" s="61"/>
      <c r="E59" s="8" t="s">
        <v>148</v>
      </c>
      <c r="F59" s="7" t="s">
        <v>149</v>
      </c>
      <c r="G59" s="9"/>
      <c r="H59" s="11">
        <v>0.18</v>
      </c>
      <c r="I59" s="10"/>
      <c r="J59" s="10" t="s">
        <v>232</v>
      </c>
      <c r="K59" s="10" t="s">
        <v>312</v>
      </c>
      <c r="L59" s="10">
        <v>3</v>
      </c>
      <c r="M59" s="10">
        <f t="shared" si="0"/>
        <v>7.7000000000000011</v>
      </c>
      <c r="N59" s="10">
        <v>23</v>
      </c>
      <c r="O59" s="10">
        <f>2.3*2.3*0.66</f>
        <v>3.4913999999999996</v>
      </c>
      <c r="P59" s="41">
        <f t="shared" si="1"/>
        <v>26.883780000000002</v>
      </c>
      <c r="Q59" s="17">
        <v>120000</v>
      </c>
      <c r="R59" s="17">
        <f t="shared" si="2"/>
        <v>3226.0536000000002</v>
      </c>
      <c r="S59" s="6">
        <f t="shared" si="3"/>
        <v>85.345333333333343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spans="1:29" s="18" customFormat="1" ht="21.95" customHeight="1" x14ac:dyDescent="0.2">
      <c r="A60" s="5">
        <f t="shared" si="4"/>
        <v>58</v>
      </c>
      <c r="B60" s="10"/>
      <c r="C60" s="61" t="s">
        <v>378</v>
      </c>
      <c r="D60" s="61"/>
      <c r="E60" s="8" t="s">
        <v>150</v>
      </c>
      <c r="F60" s="7" t="s">
        <v>151</v>
      </c>
      <c r="G60" s="9"/>
      <c r="H60" s="11">
        <v>0.18</v>
      </c>
      <c r="I60" s="10"/>
      <c r="J60" s="10" t="s">
        <v>232</v>
      </c>
      <c r="K60" s="10" t="s">
        <v>313</v>
      </c>
      <c r="L60" s="10">
        <v>3</v>
      </c>
      <c r="M60" s="10">
        <f t="shared" si="0"/>
        <v>7.7000000000000011</v>
      </c>
      <c r="N60" s="10">
        <v>23</v>
      </c>
      <c r="O60" s="10">
        <f>2.3*2.3*0.66</f>
        <v>3.4913999999999996</v>
      </c>
      <c r="P60" s="41">
        <f t="shared" si="1"/>
        <v>26.883780000000002</v>
      </c>
      <c r="Q60" s="17">
        <v>120000</v>
      </c>
      <c r="R60" s="17">
        <f t="shared" si="2"/>
        <v>3226.0536000000002</v>
      </c>
      <c r="S60" s="6">
        <f t="shared" si="3"/>
        <v>85.345333333333343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</row>
    <row r="61" spans="1:29" s="18" customFormat="1" ht="21.95" customHeight="1" x14ac:dyDescent="0.2">
      <c r="A61" s="5">
        <f t="shared" si="4"/>
        <v>59</v>
      </c>
      <c r="B61" s="10"/>
      <c r="C61" s="61" t="s">
        <v>378</v>
      </c>
      <c r="D61" s="61"/>
      <c r="E61" s="8" t="s">
        <v>152</v>
      </c>
      <c r="F61" s="7" t="s">
        <v>153</v>
      </c>
      <c r="G61" s="9"/>
      <c r="H61" s="11">
        <v>0.18</v>
      </c>
      <c r="I61" s="10"/>
      <c r="J61" s="10" t="s">
        <v>232</v>
      </c>
      <c r="K61" s="10" t="s">
        <v>314</v>
      </c>
      <c r="L61" s="10">
        <v>3</v>
      </c>
      <c r="M61" s="10">
        <f t="shared" si="0"/>
        <v>7.7000000000000011</v>
      </c>
      <c r="N61" s="10">
        <v>19</v>
      </c>
      <c r="O61" s="10">
        <f>1.9*1.9*0.66</f>
        <v>2.3826000000000001</v>
      </c>
      <c r="P61" s="41">
        <f t="shared" si="1"/>
        <v>18.346020000000003</v>
      </c>
      <c r="Q61" s="17">
        <v>120000</v>
      </c>
      <c r="R61" s="17">
        <f t="shared" si="2"/>
        <v>2201.5224000000003</v>
      </c>
      <c r="S61" s="6">
        <f t="shared" si="3"/>
        <v>58.241333333333344</v>
      </c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spans="1:29" s="18" customFormat="1" ht="21.95" customHeight="1" x14ac:dyDescent="0.2">
      <c r="A62" s="5">
        <f t="shared" si="4"/>
        <v>60</v>
      </c>
      <c r="B62" s="10"/>
      <c r="C62" s="61" t="s">
        <v>378</v>
      </c>
      <c r="D62" s="61"/>
      <c r="E62" s="8" t="s">
        <v>154</v>
      </c>
      <c r="F62" s="7" t="s">
        <v>155</v>
      </c>
      <c r="G62" s="9"/>
      <c r="H62" s="11">
        <v>0.18</v>
      </c>
      <c r="I62" s="10"/>
      <c r="J62" s="10" t="s">
        <v>232</v>
      </c>
      <c r="K62" s="10" t="s">
        <v>315</v>
      </c>
      <c r="L62" s="10">
        <v>3</v>
      </c>
      <c r="M62" s="10">
        <f t="shared" si="0"/>
        <v>7.7000000000000011</v>
      </c>
      <c r="N62" s="10">
        <v>23</v>
      </c>
      <c r="O62" s="10">
        <f>2.3*2.3*0.66</f>
        <v>3.4913999999999996</v>
      </c>
      <c r="P62" s="41">
        <f t="shared" si="1"/>
        <v>26.883780000000002</v>
      </c>
      <c r="Q62" s="17">
        <v>120000</v>
      </c>
      <c r="R62" s="17">
        <f t="shared" si="2"/>
        <v>3226.0536000000002</v>
      </c>
      <c r="S62" s="6">
        <f t="shared" si="3"/>
        <v>85.345333333333343</v>
      </c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spans="1:29" s="18" customFormat="1" ht="21.95" customHeight="1" x14ac:dyDescent="0.2">
      <c r="A63" s="5">
        <f t="shared" si="4"/>
        <v>61</v>
      </c>
      <c r="B63" s="10"/>
      <c r="C63" s="61" t="s">
        <v>378</v>
      </c>
      <c r="D63" s="61"/>
      <c r="E63" s="8" t="s">
        <v>156</v>
      </c>
      <c r="F63" s="7" t="s">
        <v>157</v>
      </c>
      <c r="G63" s="9"/>
      <c r="H63" s="11">
        <v>0.18</v>
      </c>
      <c r="I63" s="10"/>
      <c r="J63" s="10" t="s">
        <v>232</v>
      </c>
      <c r="K63" s="10" t="s">
        <v>316</v>
      </c>
      <c r="L63" s="10">
        <v>3</v>
      </c>
      <c r="M63" s="10">
        <f t="shared" si="0"/>
        <v>7.7000000000000011</v>
      </c>
      <c r="N63" s="10">
        <v>23</v>
      </c>
      <c r="O63" s="10">
        <f>2.3*2.3*0.66</f>
        <v>3.4913999999999996</v>
      </c>
      <c r="P63" s="41">
        <f t="shared" si="1"/>
        <v>26.883780000000002</v>
      </c>
      <c r="Q63" s="17">
        <v>120000</v>
      </c>
      <c r="R63" s="17">
        <f t="shared" si="2"/>
        <v>3226.0536000000002</v>
      </c>
      <c r="S63" s="6">
        <f t="shared" si="3"/>
        <v>85.345333333333343</v>
      </c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spans="1:29" s="18" customFormat="1" ht="21.95" customHeight="1" x14ac:dyDescent="0.2">
      <c r="A64" s="5">
        <f t="shared" si="4"/>
        <v>62</v>
      </c>
      <c r="B64" s="10"/>
      <c r="C64" s="61" t="s">
        <v>378</v>
      </c>
      <c r="D64" s="61"/>
      <c r="E64" s="8" t="s">
        <v>158</v>
      </c>
      <c r="F64" s="7" t="s">
        <v>159</v>
      </c>
      <c r="G64" s="9"/>
      <c r="H64" s="11">
        <v>0.185</v>
      </c>
      <c r="I64" s="10"/>
      <c r="J64" s="10" t="s">
        <v>232</v>
      </c>
      <c r="K64" s="10" t="s">
        <v>317</v>
      </c>
      <c r="L64" s="10">
        <v>3</v>
      </c>
      <c r="M64" s="10">
        <f t="shared" si="0"/>
        <v>7.7000000000000011</v>
      </c>
      <c r="N64" s="10">
        <v>25</v>
      </c>
      <c r="O64" s="10">
        <f>2.5*2.5*0.66</f>
        <v>4.125</v>
      </c>
      <c r="P64" s="41">
        <f t="shared" si="1"/>
        <v>31.762500000000003</v>
      </c>
      <c r="Q64" s="17">
        <v>120000</v>
      </c>
      <c r="R64" s="17">
        <f t="shared" si="2"/>
        <v>3811.5000000000005</v>
      </c>
      <c r="S64" s="6">
        <f t="shared" si="3"/>
        <v>98.108108108108112</v>
      </c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spans="1:29" s="18" customFormat="1" ht="21.95" customHeight="1" x14ac:dyDescent="0.2">
      <c r="A65" s="5">
        <f t="shared" si="4"/>
        <v>63</v>
      </c>
      <c r="B65" s="10"/>
      <c r="C65" s="61" t="s">
        <v>378</v>
      </c>
      <c r="D65" s="61"/>
      <c r="E65" s="8" t="s">
        <v>160</v>
      </c>
      <c r="F65" s="7" t="s">
        <v>161</v>
      </c>
      <c r="G65" s="9"/>
      <c r="H65" s="11">
        <v>0.185</v>
      </c>
      <c r="I65" s="10"/>
      <c r="J65" s="10" t="s">
        <v>232</v>
      </c>
      <c r="K65" s="10" t="s">
        <v>318</v>
      </c>
      <c r="L65" s="10">
        <v>3</v>
      </c>
      <c r="M65" s="10">
        <f t="shared" si="0"/>
        <v>7.7000000000000011</v>
      </c>
      <c r="N65" s="10">
        <v>25</v>
      </c>
      <c r="O65" s="10">
        <f>2.5*2.5*0.66</f>
        <v>4.125</v>
      </c>
      <c r="P65" s="41">
        <f t="shared" si="1"/>
        <v>31.762500000000003</v>
      </c>
      <c r="Q65" s="17">
        <v>120000</v>
      </c>
      <c r="R65" s="17">
        <f t="shared" si="2"/>
        <v>3811.5000000000005</v>
      </c>
      <c r="S65" s="6">
        <f t="shared" si="3"/>
        <v>98.108108108108112</v>
      </c>
      <c r="T65" s="10"/>
      <c r="U65" s="10"/>
      <c r="V65" s="10"/>
      <c r="W65" s="10"/>
      <c r="X65" s="10"/>
      <c r="Y65" s="10"/>
      <c r="Z65" s="10"/>
      <c r="AA65" s="10"/>
      <c r="AB65" s="10"/>
      <c r="AC65" s="10"/>
    </row>
    <row r="66" spans="1:29" s="18" customFormat="1" ht="21.95" customHeight="1" x14ac:dyDescent="0.2">
      <c r="A66" s="5">
        <f t="shared" si="4"/>
        <v>64</v>
      </c>
      <c r="B66" s="10"/>
      <c r="C66" s="61" t="s">
        <v>378</v>
      </c>
      <c r="D66" s="61"/>
      <c r="E66" s="8" t="s">
        <v>162</v>
      </c>
      <c r="F66" s="7" t="s">
        <v>163</v>
      </c>
      <c r="G66" s="9"/>
      <c r="H66" s="11">
        <v>0.185</v>
      </c>
      <c r="I66" s="10"/>
      <c r="J66" s="10" t="s">
        <v>232</v>
      </c>
      <c r="K66" s="10" t="s">
        <v>319</v>
      </c>
      <c r="L66" s="10">
        <v>3</v>
      </c>
      <c r="M66" s="10">
        <f t="shared" si="0"/>
        <v>7.7000000000000011</v>
      </c>
      <c r="N66" s="10">
        <v>25</v>
      </c>
      <c r="O66" s="10">
        <f>2.5*2.5*0.66</f>
        <v>4.125</v>
      </c>
      <c r="P66" s="41">
        <f t="shared" si="1"/>
        <v>31.762500000000003</v>
      </c>
      <c r="Q66" s="17">
        <v>120000</v>
      </c>
      <c r="R66" s="17">
        <f t="shared" si="2"/>
        <v>3811.5000000000005</v>
      </c>
      <c r="S66" s="6">
        <f t="shared" si="3"/>
        <v>98.108108108108112</v>
      </c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 s="18" customFormat="1" ht="21.95" customHeight="1" x14ac:dyDescent="0.2">
      <c r="A67" s="5">
        <f t="shared" si="4"/>
        <v>65</v>
      </c>
      <c r="B67" s="10"/>
      <c r="C67" s="61" t="s">
        <v>378</v>
      </c>
      <c r="D67" s="61"/>
      <c r="E67" s="8" t="s">
        <v>406</v>
      </c>
      <c r="F67" s="7" t="s">
        <v>369</v>
      </c>
      <c r="G67" s="9"/>
      <c r="H67" s="11"/>
      <c r="I67" s="10"/>
      <c r="J67" s="10" t="s">
        <v>227</v>
      </c>
      <c r="K67" s="10" t="s">
        <v>320</v>
      </c>
      <c r="L67" s="10">
        <v>5</v>
      </c>
      <c r="M67" s="10">
        <f t="shared" ref="M67:M96" si="6">(L67+(IF(K67&lt;=4,1.5,IF(K67&lt;=7,2,IF(K67&lt;=11,2.5,IF(K67&lt;=19,3,IF(K67&lt;=25,3.5,4)))))))*1.1</f>
        <v>9.9</v>
      </c>
      <c r="N67" s="10"/>
      <c r="O67" s="10">
        <f>1.53*1.53*0.66</f>
        <v>1.544994</v>
      </c>
      <c r="P67" s="41">
        <f t="shared" ref="P67:P96" si="7">M67*O67</f>
        <v>15.295440600000001</v>
      </c>
      <c r="Q67" s="17"/>
      <c r="R67" s="17">
        <f t="shared" ref="R67:R96" si="8">Q67/1000*P67</f>
        <v>0</v>
      </c>
      <c r="S67" s="6" t="e">
        <f t="shared" ref="S67:S96" si="9">IF(G67&lt;&gt;0,R67/G67*100,R67/(H67*21000)*100)</f>
        <v>#DIV/0!</v>
      </c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spans="1:29" s="18" customFormat="1" ht="21.95" customHeight="1" x14ac:dyDescent="0.2">
      <c r="A68" s="5">
        <f t="shared" si="4"/>
        <v>66</v>
      </c>
      <c r="B68" s="10"/>
      <c r="C68" s="61" t="s">
        <v>378</v>
      </c>
      <c r="D68" s="61"/>
      <c r="E68" s="8" t="s">
        <v>164</v>
      </c>
      <c r="F68" s="7" t="s">
        <v>165</v>
      </c>
      <c r="G68" s="9"/>
      <c r="H68" s="11">
        <v>0.27</v>
      </c>
      <c r="I68" s="10"/>
      <c r="J68" s="10" t="s">
        <v>232</v>
      </c>
      <c r="K68" s="10" t="s">
        <v>321</v>
      </c>
      <c r="L68" s="10">
        <v>4</v>
      </c>
      <c r="M68" s="10">
        <f t="shared" si="6"/>
        <v>8.8000000000000007</v>
      </c>
      <c r="N68" s="10"/>
      <c r="O68" s="10">
        <f>1.44*1.44*0.66</f>
        <v>1.368576</v>
      </c>
      <c r="P68" s="41">
        <f t="shared" si="7"/>
        <v>12.043468800000001</v>
      </c>
      <c r="Q68" s="17">
        <v>120000</v>
      </c>
      <c r="R68" s="17">
        <f t="shared" si="8"/>
        <v>1445.2162560000002</v>
      </c>
      <c r="S68" s="6">
        <f t="shared" si="9"/>
        <v>25.488822857142861</v>
      </c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spans="1:29" s="18" customFormat="1" ht="21.95" customHeight="1" x14ac:dyDescent="0.2">
      <c r="A69" s="5">
        <f t="shared" ref="A69:A96" si="10">1+A68</f>
        <v>67</v>
      </c>
      <c r="B69" s="10"/>
      <c r="C69" s="61" t="s">
        <v>378</v>
      </c>
      <c r="D69" s="61"/>
      <c r="E69" s="8" t="s">
        <v>166</v>
      </c>
      <c r="F69" s="7" t="s">
        <v>167</v>
      </c>
      <c r="G69" s="9"/>
      <c r="H69" s="11">
        <v>0.8</v>
      </c>
      <c r="I69" s="10"/>
      <c r="J69" s="10" t="s">
        <v>232</v>
      </c>
      <c r="K69" s="10" t="s">
        <v>322</v>
      </c>
      <c r="L69" s="10">
        <v>25</v>
      </c>
      <c r="M69" s="10">
        <f t="shared" si="6"/>
        <v>31.900000000000002</v>
      </c>
      <c r="N69" s="10">
        <v>25.5</v>
      </c>
      <c r="O69" s="10">
        <f>2.55*2.55*0.66</f>
        <v>4.2916499999999997</v>
      </c>
      <c r="P69" s="41">
        <f t="shared" si="7"/>
        <v>136.90363500000001</v>
      </c>
      <c r="Q69" s="17">
        <v>120000</v>
      </c>
      <c r="R69" s="17">
        <f t="shared" si="8"/>
        <v>16428.4362</v>
      </c>
      <c r="S69" s="6">
        <f t="shared" si="9"/>
        <v>97.788310714285714</v>
      </c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spans="1:29" s="18" customFormat="1" ht="21.95" customHeight="1" x14ac:dyDescent="0.2">
      <c r="A70" s="5">
        <f t="shared" si="10"/>
        <v>68</v>
      </c>
      <c r="B70" s="10"/>
      <c r="C70" s="61" t="s">
        <v>378</v>
      </c>
      <c r="D70" s="61"/>
      <c r="E70" s="8" t="s">
        <v>168</v>
      </c>
      <c r="F70" s="7" t="s">
        <v>169</v>
      </c>
      <c r="G70" s="9"/>
      <c r="H70" s="11">
        <v>0.8</v>
      </c>
      <c r="I70" s="10"/>
      <c r="J70" s="10" t="s">
        <v>232</v>
      </c>
      <c r="K70" s="10" t="s">
        <v>323</v>
      </c>
      <c r="L70" s="10">
        <v>13</v>
      </c>
      <c r="M70" s="10">
        <f t="shared" si="6"/>
        <v>18.700000000000003</v>
      </c>
      <c r="N70" s="10">
        <v>25.5</v>
      </c>
      <c r="O70" s="10">
        <f>2.55*2.55*0.66</f>
        <v>4.2916499999999997</v>
      </c>
      <c r="P70" s="41">
        <f t="shared" si="7"/>
        <v>80.253855000000001</v>
      </c>
      <c r="Q70" s="17">
        <v>120000</v>
      </c>
      <c r="R70" s="17">
        <f t="shared" si="8"/>
        <v>9630.4626000000007</v>
      </c>
      <c r="S70" s="6">
        <f t="shared" si="9"/>
        <v>57.324182142857147</v>
      </c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spans="1:29" s="18" customFormat="1" ht="21.95" customHeight="1" x14ac:dyDescent="0.2">
      <c r="A71" s="5">
        <f t="shared" si="10"/>
        <v>69</v>
      </c>
      <c r="B71" s="10"/>
      <c r="C71" s="61" t="s">
        <v>378</v>
      </c>
      <c r="D71" s="61"/>
      <c r="E71" s="8" t="s">
        <v>170</v>
      </c>
      <c r="F71" s="7" t="s">
        <v>171</v>
      </c>
      <c r="G71" s="9"/>
      <c r="H71" s="11">
        <v>0.35</v>
      </c>
      <c r="I71" s="10"/>
      <c r="J71" s="10" t="s">
        <v>232</v>
      </c>
      <c r="K71" s="10" t="s">
        <v>324</v>
      </c>
      <c r="L71" s="10">
        <v>7</v>
      </c>
      <c r="M71" s="10">
        <f t="shared" si="6"/>
        <v>12.100000000000001</v>
      </c>
      <c r="N71" s="10">
        <v>17</v>
      </c>
      <c r="O71" s="10">
        <f>1.7*1.7*0.66</f>
        <v>1.9074</v>
      </c>
      <c r="P71" s="41">
        <f t="shared" si="7"/>
        <v>23.079540000000001</v>
      </c>
      <c r="Q71" s="17">
        <v>120000</v>
      </c>
      <c r="R71" s="17">
        <f t="shared" si="8"/>
        <v>2769.5448000000001</v>
      </c>
      <c r="S71" s="6">
        <f t="shared" si="9"/>
        <v>37.680881632653069</v>
      </c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spans="1:29" s="18" customFormat="1" ht="21.95" customHeight="1" x14ac:dyDescent="0.2">
      <c r="A72" s="5">
        <f t="shared" si="10"/>
        <v>70</v>
      </c>
      <c r="B72" s="10"/>
      <c r="C72" s="61" t="s">
        <v>378</v>
      </c>
      <c r="D72" s="61"/>
      <c r="E72" s="8" t="s">
        <v>172</v>
      </c>
      <c r="F72" s="7" t="s">
        <v>173</v>
      </c>
      <c r="G72" s="9"/>
      <c r="H72" s="11"/>
      <c r="I72" s="10"/>
      <c r="J72" s="10" t="s">
        <v>232</v>
      </c>
      <c r="K72" s="10" t="s">
        <v>325</v>
      </c>
      <c r="L72" s="10">
        <v>2</v>
      </c>
      <c r="M72" s="10">
        <f t="shared" si="6"/>
        <v>6.6000000000000005</v>
      </c>
      <c r="N72" s="10">
        <v>27</v>
      </c>
      <c r="O72" s="10">
        <f>2.7*2.7*0.66</f>
        <v>4.8114000000000008</v>
      </c>
      <c r="P72" s="41">
        <f t="shared" si="7"/>
        <v>31.755240000000008</v>
      </c>
      <c r="Q72" s="17">
        <v>120000</v>
      </c>
      <c r="R72" s="17">
        <f t="shared" si="8"/>
        <v>3810.6288000000009</v>
      </c>
      <c r="S72" s="6" t="e">
        <f t="shared" si="9"/>
        <v>#DIV/0!</v>
      </c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spans="1:29" s="18" customFormat="1" ht="21.95" customHeight="1" x14ac:dyDescent="0.2">
      <c r="A73" s="5">
        <f t="shared" si="10"/>
        <v>71</v>
      </c>
      <c r="B73" s="10"/>
      <c r="C73" s="61" t="s">
        <v>378</v>
      </c>
      <c r="D73" s="61"/>
      <c r="E73" s="8" t="s">
        <v>174</v>
      </c>
      <c r="F73" s="7" t="s">
        <v>175</v>
      </c>
      <c r="G73" s="9"/>
      <c r="H73" s="11">
        <v>0.1</v>
      </c>
      <c r="I73" s="10"/>
      <c r="J73" s="10" t="s">
        <v>232</v>
      </c>
      <c r="K73" s="10" t="s">
        <v>326</v>
      </c>
      <c r="L73" s="10">
        <v>3.5</v>
      </c>
      <c r="M73" s="10">
        <f t="shared" si="6"/>
        <v>8.25</v>
      </c>
      <c r="N73" s="10"/>
      <c r="O73" s="10">
        <f>1.58*1.58*0.66</f>
        <v>1.6476240000000004</v>
      </c>
      <c r="P73" s="41">
        <f t="shared" si="7"/>
        <v>13.592898000000003</v>
      </c>
      <c r="Q73" s="17">
        <v>120000</v>
      </c>
      <c r="R73" s="17">
        <f t="shared" si="8"/>
        <v>1631.1477600000005</v>
      </c>
      <c r="S73" s="6">
        <f t="shared" si="9"/>
        <v>77.673702857142885</v>
      </c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spans="1:29" s="18" customFormat="1" ht="21.95" customHeight="1" x14ac:dyDescent="0.2">
      <c r="A74" s="5">
        <f t="shared" si="10"/>
        <v>72</v>
      </c>
      <c r="B74" s="10"/>
      <c r="C74" s="61" t="s">
        <v>378</v>
      </c>
      <c r="D74" s="61"/>
      <c r="E74" s="8" t="s">
        <v>176</v>
      </c>
      <c r="F74" s="7" t="s">
        <v>177</v>
      </c>
      <c r="G74" s="9"/>
      <c r="H74" s="11">
        <v>0.1</v>
      </c>
      <c r="I74" s="10"/>
      <c r="J74" s="10" t="s">
        <v>232</v>
      </c>
      <c r="K74" s="10" t="s">
        <v>327</v>
      </c>
      <c r="L74" s="10">
        <v>3.5</v>
      </c>
      <c r="M74" s="10">
        <f t="shared" si="6"/>
        <v>8.25</v>
      </c>
      <c r="N74" s="10"/>
      <c r="O74" s="10">
        <f>1.58*1.58*0.66</f>
        <v>1.6476240000000004</v>
      </c>
      <c r="P74" s="41">
        <f t="shared" si="7"/>
        <v>13.592898000000003</v>
      </c>
      <c r="Q74" s="17">
        <v>120000</v>
      </c>
      <c r="R74" s="17">
        <f t="shared" si="8"/>
        <v>1631.1477600000005</v>
      </c>
      <c r="S74" s="6">
        <f t="shared" si="9"/>
        <v>77.673702857142885</v>
      </c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spans="1:29" s="18" customFormat="1" ht="21.95" customHeight="1" x14ac:dyDescent="0.2">
      <c r="A75" s="5">
        <f t="shared" si="10"/>
        <v>73</v>
      </c>
      <c r="B75" s="10"/>
      <c r="C75" s="61" t="s">
        <v>378</v>
      </c>
      <c r="D75" s="61"/>
      <c r="E75" s="8" t="s">
        <v>178</v>
      </c>
      <c r="F75" s="7" t="s">
        <v>179</v>
      </c>
      <c r="G75" s="9"/>
      <c r="H75" s="11">
        <v>0.1</v>
      </c>
      <c r="I75" s="10"/>
      <c r="J75" s="10" t="s">
        <v>232</v>
      </c>
      <c r="K75" s="10" t="s">
        <v>328</v>
      </c>
      <c r="L75" s="10">
        <v>3.5</v>
      </c>
      <c r="M75" s="10">
        <f t="shared" si="6"/>
        <v>8.25</v>
      </c>
      <c r="N75" s="10"/>
      <c r="O75" s="10">
        <f>1.58*1.58*0.66</f>
        <v>1.6476240000000004</v>
      </c>
      <c r="P75" s="41">
        <f t="shared" si="7"/>
        <v>13.592898000000003</v>
      </c>
      <c r="Q75" s="17">
        <v>120000</v>
      </c>
      <c r="R75" s="17">
        <f t="shared" si="8"/>
        <v>1631.1477600000005</v>
      </c>
      <c r="S75" s="6">
        <f t="shared" si="9"/>
        <v>77.673702857142885</v>
      </c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spans="1:29" s="18" customFormat="1" ht="21.95" customHeight="1" x14ac:dyDescent="0.2">
      <c r="A76" s="5">
        <f t="shared" si="10"/>
        <v>74</v>
      </c>
      <c r="B76" s="10"/>
      <c r="C76" s="61" t="s">
        <v>378</v>
      </c>
      <c r="D76" s="61"/>
      <c r="E76" s="8" t="s">
        <v>180</v>
      </c>
      <c r="F76" s="7" t="s">
        <v>181</v>
      </c>
      <c r="G76" s="9"/>
      <c r="H76" s="11">
        <v>0.1</v>
      </c>
      <c r="I76" s="10"/>
      <c r="J76" s="10" t="s">
        <v>232</v>
      </c>
      <c r="K76" s="10" t="s">
        <v>329</v>
      </c>
      <c r="L76" s="10">
        <v>3.5</v>
      </c>
      <c r="M76" s="10">
        <f t="shared" si="6"/>
        <v>8.25</v>
      </c>
      <c r="N76" s="10"/>
      <c r="O76" s="10">
        <f>1.58*1.58*0.66</f>
        <v>1.6476240000000004</v>
      </c>
      <c r="P76" s="41">
        <f t="shared" si="7"/>
        <v>13.592898000000003</v>
      </c>
      <c r="Q76" s="17">
        <v>120000</v>
      </c>
      <c r="R76" s="17">
        <f t="shared" si="8"/>
        <v>1631.1477600000005</v>
      </c>
      <c r="S76" s="6">
        <f t="shared" si="9"/>
        <v>77.673702857142885</v>
      </c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spans="1:29" s="18" customFormat="1" ht="21.95" customHeight="1" x14ac:dyDescent="0.2">
      <c r="A77" s="5">
        <f t="shared" si="10"/>
        <v>75</v>
      </c>
      <c r="B77" s="10"/>
      <c r="C77" s="61" t="s">
        <v>378</v>
      </c>
      <c r="D77" s="61"/>
      <c r="E77" s="8" t="s">
        <v>182</v>
      </c>
      <c r="F77" s="7" t="s">
        <v>183</v>
      </c>
      <c r="G77" s="9"/>
      <c r="H77" s="11">
        <v>0.112</v>
      </c>
      <c r="I77" s="10"/>
      <c r="J77" s="10" t="s">
        <v>232</v>
      </c>
      <c r="K77" s="10" t="s">
        <v>330</v>
      </c>
      <c r="L77" s="10">
        <v>3.5</v>
      </c>
      <c r="M77" s="10">
        <f t="shared" si="6"/>
        <v>8.25</v>
      </c>
      <c r="N77" s="10">
        <v>22</v>
      </c>
      <c r="O77" s="10">
        <f>2.2*2.2*0.66</f>
        <v>3.1944000000000008</v>
      </c>
      <c r="P77" s="41">
        <f t="shared" si="7"/>
        <v>26.353800000000007</v>
      </c>
      <c r="Q77" s="17">
        <v>120000</v>
      </c>
      <c r="R77" s="17">
        <f t="shared" si="8"/>
        <v>3162.456000000001</v>
      </c>
      <c r="S77" s="6">
        <f t="shared" si="9"/>
        <v>134.45816326530618</v>
      </c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spans="1:29" s="18" customFormat="1" ht="21.95" customHeight="1" x14ac:dyDescent="0.2">
      <c r="A78" s="5">
        <f t="shared" si="10"/>
        <v>76</v>
      </c>
      <c r="B78" s="10"/>
      <c r="C78" s="61" t="s">
        <v>378</v>
      </c>
      <c r="D78" s="61"/>
      <c r="E78" s="8" t="s">
        <v>184</v>
      </c>
      <c r="F78" s="7" t="s">
        <v>185</v>
      </c>
      <c r="G78" s="9"/>
      <c r="H78" s="11">
        <v>0.28000000000000003</v>
      </c>
      <c r="I78" s="10"/>
      <c r="J78" s="10" t="s">
        <v>232</v>
      </c>
      <c r="K78" s="10" t="s">
        <v>331</v>
      </c>
      <c r="L78" s="10">
        <v>4.5</v>
      </c>
      <c r="M78" s="10">
        <f t="shared" si="6"/>
        <v>9.3500000000000014</v>
      </c>
      <c r="N78" s="10"/>
      <c r="O78" s="10">
        <f>2.72*2.72*0.66</f>
        <v>4.8829440000000011</v>
      </c>
      <c r="P78" s="41">
        <f t="shared" si="7"/>
        <v>45.655526400000014</v>
      </c>
      <c r="Q78" s="17">
        <v>120000</v>
      </c>
      <c r="R78" s="17">
        <f t="shared" si="8"/>
        <v>5478.6631680000019</v>
      </c>
      <c r="S78" s="6">
        <f t="shared" si="9"/>
        <v>93.174543673469401</v>
      </c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spans="1:29" s="18" customFormat="1" ht="21.95" customHeight="1" x14ac:dyDescent="0.2">
      <c r="A79" s="5">
        <f t="shared" si="10"/>
        <v>77</v>
      </c>
      <c r="B79" s="10"/>
      <c r="C79" s="61" t="s">
        <v>378</v>
      </c>
      <c r="D79" s="61"/>
      <c r="E79" s="8" t="s">
        <v>186</v>
      </c>
      <c r="F79" s="7" t="s">
        <v>187</v>
      </c>
      <c r="G79" s="9"/>
      <c r="H79" s="11"/>
      <c r="I79" s="10"/>
      <c r="J79" s="10" t="s">
        <v>232</v>
      </c>
      <c r="K79" s="10"/>
      <c r="L79" s="10"/>
      <c r="M79" s="10">
        <f t="shared" si="6"/>
        <v>1.6500000000000001</v>
      </c>
      <c r="N79" s="10"/>
      <c r="O79" s="10"/>
      <c r="P79" s="41">
        <f t="shared" si="7"/>
        <v>0</v>
      </c>
      <c r="Q79" s="17">
        <v>120000</v>
      </c>
      <c r="R79" s="17">
        <f t="shared" si="8"/>
        <v>0</v>
      </c>
      <c r="S79" s="6" t="e">
        <f t="shared" si="9"/>
        <v>#DIV/0!</v>
      </c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spans="1:29" s="18" customFormat="1" ht="21.95" customHeight="1" x14ac:dyDescent="0.2">
      <c r="A80" s="5">
        <f t="shared" si="10"/>
        <v>78</v>
      </c>
      <c r="B80" s="10"/>
      <c r="C80" s="61" t="s">
        <v>378</v>
      </c>
      <c r="D80" s="61"/>
      <c r="E80" s="8" t="s">
        <v>188</v>
      </c>
      <c r="F80" s="7" t="s">
        <v>189</v>
      </c>
      <c r="G80" s="9"/>
      <c r="H80" s="11">
        <v>0.69</v>
      </c>
      <c r="I80" s="10"/>
      <c r="J80" s="10" t="s">
        <v>232</v>
      </c>
      <c r="K80" s="10"/>
      <c r="L80" s="10"/>
      <c r="M80" s="10">
        <f t="shared" si="6"/>
        <v>1.6500000000000001</v>
      </c>
      <c r="N80" s="10"/>
      <c r="O80" s="10"/>
      <c r="P80" s="41">
        <f t="shared" si="7"/>
        <v>0</v>
      </c>
      <c r="Q80" s="17">
        <v>120000</v>
      </c>
      <c r="R80" s="17">
        <f t="shared" si="8"/>
        <v>0</v>
      </c>
      <c r="S80" s="6">
        <f t="shared" si="9"/>
        <v>0</v>
      </c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spans="1:29" s="18" customFormat="1" ht="21.95" customHeight="1" x14ac:dyDescent="0.2">
      <c r="A81" s="5">
        <f t="shared" si="10"/>
        <v>79</v>
      </c>
      <c r="B81" s="10"/>
      <c r="C81" s="61" t="s">
        <v>378</v>
      </c>
      <c r="D81" s="61"/>
      <c r="E81" s="8" t="s">
        <v>190</v>
      </c>
      <c r="F81" s="7" t="s">
        <v>191</v>
      </c>
      <c r="G81" s="9"/>
      <c r="H81" s="11">
        <v>1.42</v>
      </c>
      <c r="I81" s="10"/>
      <c r="J81" s="10" t="s">
        <v>232</v>
      </c>
      <c r="K81" s="10"/>
      <c r="L81" s="10"/>
      <c r="M81" s="10">
        <f t="shared" si="6"/>
        <v>1.6500000000000001</v>
      </c>
      <c r="N81" s="10"/>
      <c r="O81" s="10"/>
      <c r="P81" s="41">
        <f t="shared" si="7"/>
        <v>0</v>
      </c>
      <c r="Q81" s="17">
        <v>120000</v>
      </c>
      <c r="R81" s="17">
        <f t="shared" si="8"/>
        <v>0</v>
      </c>
      <c r="S81" s="6">
        <f t="shared" si="9"/>
        <v>0</v>
      </c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spans="1:29" s="18" customFormat="1" ht="21.95" customHeight="1" x14ac:dyDescent="0.2">
      <c r="A82" s="5">
        <f t="shared" si="10"/>
        <v>80</v>
      </c>
      <c r="B82" s="10"/>
      <c r="C82" s="61" t="s">
        <v>378</v>
      </c>
      <c r="D82" s="61"/>
      <c r="E82" s="8" t="s">
        <v>192</v>
      </c>
      <c r="F82" s="7" t="s">
        <v>193</v>
      </c>
      <c r="G82" s="9"/>
      <c r="H82" s="11">
        <v>1.4</v>
      </c>
      <c r="I82" s="10"/>
      <c r="J82" s="10" t="s">
        <v>232</v>
      </c>
      <c r="K82" s="10"/>
      <c r="L82" s="10"/>
      <c r="M82" s="10">
        <f t="shared" si="6"/>
        <v>1.6500000000000001</v>
      </c>
      <c r="N82" s="10"/>
      <c r="O82" s="10"/>
      <c r="P82" s="41">
        <f t="shared" si="7"/>
        <v>0</v>
      </c>
      <c r="Q82" s="17">
        <v>120000</v>
      </c>
      <c r="R82" s="17">
        <f t="shared" si="8"/>
        <v>0</v>
      </c>
      <c r="S82" s="6">
        <f t="shared" si="9"/>
        <v>0</v>
      </c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spans="1:29" s="18" customFormat="1" ht="21.95" customHeight="1" x14ac:dyDescent="0.2">
      <c r="A83" s="5">
        <f t="shared" si="10"/>
        <v>81</v>
      </c>
      <c r="B83" s="10"/>
      <c r="C83" s="61" t="s">
        <v>378</v>
      </c>
      <c r="D83" s="61"/>
      <c r="E83" s="8" t="s">
        <v>195</v>
      </c>
      <c r="F83" s="19" t="s">
        <v>194</v>
      </c>
      <c r="G83" s="9"/>
      <c r="H83" s="11">
        <v>1.38</v>
      </c>
      <c r="I83" s="10"/>
      <c r="J83" s="10"/>
      <c r="K83" s="10"/>
      <c r="L83" s="10"/>
      <c r="M83" s="10">
        <f t="shared" si="6"/>
        <v>1.6500000000000001</v>
      </c>
      <c r="N83" s="10"/>
      <c r="O83" s="10"/>
      <c r="P83" s="41">
        <f t="shared" si="7"/>
        <v>0</v>
      </c>
      <c r="Q83" s="17"/>
      <c r="R83" s="17">
        <f t="shared" si="8"/>
        <v>0</v>
      </c>
      <c r="S83" s="6">
        <f t="shared" si="9"/>
        <v>0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</row>
    <row r="84" spans="1:29" s="18" customFormat="1" ht="21.95" customHeight="1" x14ac:dyDescent="0.2">
      <c r="A84" s="5">
        <f t="shared" si="10"/>
        <v>82</v>
      </c>
      <c r="B84" s="10"/>
      <c r="C84" s="61" t="s">
        <v>378</v>
      </c>
      <c r="D84" s="61"/>
      <c r="E84" s="8" t="s">
        <v>196</v>
      </c>
      <c r="F84" s="7" t="s">
        <v>197</v>
      </c>
      <c r="G84" s="9"/>
      <c r="H84" s="11">
        <v>0.16</v>
      </c>
      <c r="I84" s="10"/>
      <c r="J84" s="10" t="s">
        <v>232</v>
      </c>
      <c r="K84" s="10"/>
      <c r="L84" s="10"/>
      <c r="M84" s="10">
        <f t="shared" si="6"/>
        <v>1.6500000000000001</v>
      </c>
      <c r="N84" s="10"/>
      <c r="O84" s="10"/>
      <c r="P84" s="41">
        <f t="shared" si="7"/>
        <v>0</v>
      </c>
      <c r="Q84" s="17">
        <v>120000</v>
      </c>
      <c r="R84" s="17">
        <f t="shared" si="8"/>
        <v>0</v>
      </c>
      <c r="S84" s="6">
        <f t="shared" si="9"/>
        <v>0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spans="1:29" s="18" customFormat="1" ht="21.95" customHeight="1" x14ac:dyDescent="0.2">
      <c r="A85" s="5">
        <f t="shared" si="10"/>
        <v>83</v>
      </c>
      <c r="B85" s="10"/>
      <c r="C85" s="61" t="s">
        <v>378</v>
      </c>
      <c r="D85" s="61"/>
      <c r="E85" s="8" t="s">
        <v>198</v>
      </c>
      <c r="F85" s="7" t="s">
        <v>199</v>
      </c>
      <c r="G85" s="9"/>
      <c r="H85" s="11">
        <v>0.24</v>
      </c>
      <c r="I85" s="10"/>
      <c r="J85" s="10" t="s">
        <v>232</v>
      </c>
      <c r="K85" s="10" t="s">
        <v>332</v>
      </c>
      <c r="L85" s="10">
        <v>2.5</v>
      </c>
      <c r="M85" s="10">
        <f t="shared" si="6"/>
        <v>7.15</v>
      </c>
      <c r="N85" s="10">
        <v>28</v>
      </c>
      <c r="O85" s="10">
        <f>2.8*2.8*0.66</f>
        <v>5.1743999999999994</v>
      </c>
      <c r="P85" s="41">
        <f t="shared" si="7"/>
        <v>36.996960000000001</v>
      </c>
      <c r="Q85" s="17">
        <v>120000</v>
      </c>
      <c r="R85" s="17">
        <f t="shared" si="8"/>
        <v>4439.6352000000006</v>
      </c>
      <c r="S85" s="6">
        <f t="shared" si="9"/>
        <v>88.088000000000008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spans="1:29" s="18" customFormat="1" ht="21.95" customHeight="1" x14ac:dyDescent="0.2">
      <c r="A86" s="5">
        <f t="shared" si="10"/>
        <v>84</v>
      </c>
      <c r="B86" s="10"/>
      <c r="C86" s="61" t="s">
        <v>378</v>
      </c>
      <c r="D86" s="61"/>
      <c r="E86" s="8" t="s">
        <v>200</v>
      </c>
      <c r="F86" s="7" t="s">
        <v>201</v>
      </c>
      <c r="G86" s="9"/>
      <c r="H86" s="11">
        <v>0.24</v>
      </c>
      <c r="I86" s="10"/>
      <c r="J86" s="10" t="s">
        <v>232</v>
      </c>
      <c r="K86" s="10" t="s">
        <v>332</v>
      </c>
      <c r="L86" s="10">
        <v>2.5</v>
      </c>
      <c r="M86" s="10">
        <f t="shared" si="6"/>
        <v>7.15</v>
      </c>
      <c r="N86" s="10">
        <v>28</v>
      </c>
      <c r="O86" s="10">
        <f>2.8*2.8*0.66</f>
        <v>5.1743999999999994</v>
      </c>
      <c r="P86" s="41">
        <f t="shared" si="7"/>
        <v>36.996960000000001</v>
      </c>
      <c r="Q86" s="17">
        <v>120000</v>
      </c>
      <c r="R86" s="17">
        <f t="shared" si="8"/>
        <v>4439.6352000000006</v>
      </c>
      <c r="S86" s="6">
        <f t="shared" si="9"/>
        <v>88.088000000000008</v>
      </c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 s="18" customFormat="1" ht="21.95" customHeight="1" x14ac:dyDescent="0.2">
      <c r="A87" s="5">
        <f t="shared" si="10"/>
        <v>85</v>
      </c>
      <c r="B87" s="10"/>
      <c r="C87" s="61" t="s">
        <v>378</v>
      </c>
      <c r="D87" s="61"/>
      <c r="E87" s="8" t="s">
        <v>202</v>
      </c>
      <c r="F87" s="7" t="s">
        <v>203</v>
      </c>
      <c r="G87" s="9"/>
      <c r="H87" s="11">
        <v>0.22</v>
      </c>
      <c r="I87" s="10"/>
      <c r="J87" s="10" t="s">
        <v>232</v>
      </c>
      <c r="K87" s="10"/>
      <c r="L87" s="10"/>
      <c r="M87" s="10">
        <f t="shared" si="6"/>
        <v>1.6500000000000001</v>
      </c>
      <c r="N87" s="10"/>
      <c r="O87" s="10"/>
      <c r="P87" s="41">
        <f t="shared" si="7"/>
        <v>0</v>
      </c>
      <c r="Q87" s="17">
        <v>120000</v>
      </c>
      <c r="R87" s="17">
        <f t="shared" si="8"/>
        <v>0</v>
      </c>
      <c r="S87" s="6">
        <f t="shared" si="9"/>
        <v>0</v>
      </c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spans="1:29" s="18" customFormat="1" ht="21.95" customHeight="1" x14ac:dyDescent="0.2">
      <c r="A88" s="5">
        <f t="shared" si="10"/>
        <v>86</v>
      </c>
      <c r="B88" s="10"/>
      <c r="C88" s="61" t="s">
        <v>378</v>
      </c>
      <c r="D88" s="61"/>
      <c r="E88" s="8" t="s">
        <v>204</v>
      </c>
      <c r="F88" s="7" t="s">
        <v>205</v>
      </c>
      <c r="G88" s="9"/>
      <c r="H88" s="11">
        <v>0.3</v>
      </c>
      <c r="I88" s="10"/>
      <c r="J88" s="10" t="s">
        <v>232</v>
      </c>
      <c r="K88" s="10"/>
      <c r="L88" s="10"/>
      <c r="M88" s="10">
        <f t="shared" si="6"/>
        <v>1.6500000000000001</v>
      </c>
      <c r="N88" s="10"/>
      <c r="O88" s="10"/>
      <c r="P88" s="41">
        <f t="shared" si="7"/>
        <v>0</v>
      </c>
      <c r="Q88" s="17">
        <v>120000</v>
      </c>
      <c r="R88" s="17">
        <f t="shared" si="8"/>
        <v>0</v>
      </c>
      <c r="S88" s="6">
        <f t="shared" si="9"/>
        <v>0</v>
      </c>
      <c r="T88" s="10"/>
      <c r="U88" s="10"/>
      <c r="V88" s="10"/>
      <c r="W88" s="10"/>
      <c r="X88" s="10"/>
      <c r="Y88" s="10"/>
      <c r="Z88" s="10"/>
      <c r="AA88" s="10"/>
      <c r="AB88" s="10"/>
      <c r="AC88" s="10"/>
    </row>
    <row r="89" spans="1:29" s="18" customFormat="1" ht="21.95" customHeight="1" x14ac:dyDescent="0.2">
      <c r="A89" s="5">
        <f t="shared" si="10"/>
        <v>87</v>
      </c>
      <c r="B89" s="10"/>
      <c r="C89" s="61" t="s">
        <v>378</v>
      </c>
      <c r="D89" s="61"/>
      <c r="E89" s="8" t="s">
        <v>206</v>
      </c>
      <c r="F89" s="7" t="s">
        <v>207</v>
      </c>
      <c r="G89" s="9"/>
      <c r="H89" s="11">
        <v>0.25800000000000001</v>
      </c>
      <c r="I89" s="10"/>
      <c r="J89" s="10" t="s">
        <v>232</v>
      </c>
      <c r="K89" s="10" t="s">
        <v>333</v>
      </c>
      <c r="L89" s="10">
        <v>4</v>
      </c>
      <c r="M89" s="10">
        <f t="shared" si="6"/>
        <v>8.8000000000000007</v>
      </c>
      <c r="N89" s="10">
        <v>15</v>
      </c>
      <c r="O89" s="10">
        <f>1.5*1.5*0.66</f>
        <v>1.4850000000000001</v>
      </c>
      <c r="P89" s="41">
        <f t="shared" si="7"/>
        <v>13.068000000000001</v>
      </c>
      <c r="Q89" s="17">
        <v>120000</v>
      </c>
      <c r="R89" s="17">
        <f t="shared" si="8"/>
        <v>1568.16</v>
      </c>
      <c r="S89" s="6">
        <f t="shared" si="9"/>
        <v>28.943521594684384</v>
      </c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spans="1:29" s="18" customFormat="1" ht="21.95" customHeight="1" x14ac:dyDescent="0.2">
      <c r="A90" s="5">
        <f t="shared" si="10"/>
        <v>88</v>
      </c>
      <c r="B90" s="10"/>
      <c r="C90" s="61" t="s">
        <v>378</v>
      </c>
      <c r="D90" s="61"/>
      <c r="E90" s="8" t="s">
        <v>208</v>
      </c>
      <c r="F90" s="7" t="s">
        <v>209</v>
      </c>
      <c r="G90" s="9"/>
      <c r="H90" s="11">
        <v>0.5</v>
      </c>
      <c r="I90" s="10"/>
      <c r="J90" s="10" t="s">
        <v>232</v>
      </c>
      <c r="K90" s="10"/>
      <c r="L90" s="10"/>
      <c r="M90" s="10">
        <f t="shared" si="6"/>
        <v>1.6500000000000001</v>
      </c>
      <c r="N90" s="10"/>
      <c r="O90" s="10"/>
      <c r="P90" s="41">
        <f t="shared" si="7"/>
        <v>0</v>
      </c>
      <c r="Q90" s="17">
        <v>120000</v>
      </c>
      <c r="R90" s="17">
        <f t="shared" si="8"/>
        <v>0</v>
      </c>
      <c r="S90" s="6">
        <f t="shared" si="9"/>
        <v>0</v>
      </c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spans="1:29" s="18" customFormat="1" ht="21.95" customHeight="1" x14ac:dyDescent="0.2">
      <c r="A91" s="5">
        <f t="shared" si="10"/>
        <v>89</v>
      </c>
      <c r="B91" s="10"/>
      <c r="C91" s="61" t="s">
        <v>378</v>
      </c>
      <c r="D91" s="61"/>
      <c r="E91" s="8" t="s">
        <v>210</v>
      </c>
      <c r="F91" s="7" t="s">
        <v>211</v>
      </c>
      <c r="G91" s="9"/>
      <c r="H91" s="11">
        <v>0.51</v>
      </c>
      <c r="I91" s="10"/>
      <c r="J91" s="10" t="s">
        <v>232</v>
      </c>
      <c r="K91" s="10"/>
      <c r="L91" s="10"/>
      <c r="M91" s="10">
        <f t="shared" si="6"/>
        <v>1.6500000000000001</v>
      </c>
      <c r="N91" s="10"/>
      <c r="O91" s="10"/>
      <c r="P91" s="41">
        <f t="shared" si="7"/>
        <v>0</v>
      </c>
      <c r="Q91" s="17">
        <v>120000</v>
      </c>
      <c r="R91" s="17">
        <f t="shared" si="8"/>
        <v>0</v>
      </c>
      <c r="S91" s="6">
        <f t="shared" si="9"/>
        <v>0</v>
      </c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spans="1:29" s="18" customFormat="1" ht="21.95" customHeight="1" x14ac:dyDescent="0.2">
      <c r="A92" s="5">
        <f t="shared" si="10"/>
        <v>90</v>
      </c>
      <c r="B92" s="10"/>
      <c r="C92" s="61" t="s">
        <v>378</v>
      </c>
      <c r="D92" s="61"/>
      <c r="E92" s="8" t="s">
        <v>212</v>
      </c>
      <c r="F92" s="7" t="s">
        <v>213</v>
      </c>
      <c r="G92" s="9"/>
      <c r="H92" s="11">
        <v>0.5</v>
      </c>
      <c r="I92" s="10"/>
      <c r="J92" s="10" t="s">
        <v>232</v>
      </c>
      <c r="K92" s="10"/>
      <c r="L92" s="10"/>
      <c r="M92" s="10">
        <f t="shared" si="6"/>
        <v>1.6500000000000001</v>
      </c>
      <c r="N92" s="10"/>
      <c r="O92" s="10"/>
      <c r="P92" s="41">
        <f t="shared" si="7"/>
        <v>0</v>
      </c>
      <c r="Q92" s="17">
        <v>120000</v>
      </c>
      <c r="R92" s="17">
        <f t="shared" si="8"/>
        <v>0</v>
      </c>
      <c r="S92" s="6">
        <f t="shared" si="9"/>
        <v>0</v>
      </c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spans="1:29" s="18" customFormat="1" ht="21.95" customHeight="1" x14ac:dyDescent="0.2">
      <c r="A93" s="5">
        <f t="shared" si="10"/>
        <v>91</v>
      </c>
      <c r="B93" s="10"/>
      <c r="C93" s="61" t="s">
        <v>378</v>
      </c>
      <c r="D93" s="61"/>
      <c r="E93" s="8" t="s">
        <v>214</v>
      </c>
      <c r="F93" s="7" t="s">
        <v>215</v>
      </c>
      <c r="G93" s="9"/>
      <c r="H93" s="11">
        <v>0.41</v>
      </c>
      <c r="I93" s="10"/>
      <c r="J93" s="10" t="s">
        <v>232</v>
      </c>
      <c r="K93" s="10"/>
      <c r="L93" s="10"/>
      <c r="M93" s="10">
        <f t="shared" si="6"/>
        <v>1.6500000000000001</v>
      </c>
      <c r="N93" s="10"/>
      <c r="O93" s="10"/>
      <c r="P93" s="41">
        <f t="shared" si="7"/>
        <v>0</v>
      </c>
      <c r="Q93" s="17">
        <v>120000</v>
      </c>
      <c r="R93" s="17">
        <f t="shared" si="8"/>
        <v>0</v>
      </c>
      <c r="S93" s="6">
        <f t="shared" si="9"/>
        <v>0</v>
      </c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spans="1:29" s="18" customFormat="1" ht="21.95" customHeight="1" x14ac:dyDescent="0.2">
      <c r="A94" s="5">
        <f t="shared" si="10"/>
        <v>92</v>
      </c>
      <c r="B94" s="10"/>
      <c r="C94" s="61" t="s">
        <v>378</v>
      </c>
      <c r="D94" s="61"/>
      <c r="E94" s="8" t="s">
        <v>216</v>
      </c>
      <c r="F94" s="7" t="s">
        <v>217</v>
      </c>
      <c r="G94" s="9"/>
      <c r="H94" s="11">
        <v>0.41</v>
      </c>
      <c r="I94" s="10"/>
      <c r="J94" s="10" t="s">
        <v>232</v>
      </c>
      <c r="K94" s="10"/>
      <c r="L94" s="10"/>
      <c r="M94" s="10">
        <f t="shared" si="6"/>
        <v>1.6500000000000001</v>
      </c>
      <c r="N94" s="10"/>
      <c r="O94" s="10"/>
      <c r="P94" s="41">
        <f t="shared" si="7"/>
        <v>0</v>
      </c>
      <c r="Q94" s="17">
        <v>120000</v>
      </c>
      <c r="R94" s="17">
        <f t="shared" si="8"/>
        <v>0</v>
      </c>
      <c r="S94" s="6">
        <f t="shared" si="9"/>
        <v>0</v>
      </c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spans="1:29" s="18" customFormat="1" ht="21.95" customHeight="1" x14ac:dyDescent="0.2">
      <c r="A95" s="5">
        <f t="shared" si="10"/>
        <v>93</v>
      </c>
      <c r="B95" s="10"/>
      <c r="C95" s="61" t="s">
        <v>378</v>
      </c>
      <c r="D95" s="61"/>
      <c r="E95" s="8" t="s">
        <v>218</v>
      </c>
      <c r="F95" s="7" t="s">
        <v>219</v>
      </c>
      <c r="G95" s="9"/>
      <c r="H95" s="11">
        <v>0.56999999999999995</v>
      </c>
      <c r="I95" s="10"/>
      <c r="J95" s="10" t="s">
        <v>232</v>
      </c>
      <c r="K95" s="10"/>
      <c r="L95" s="10"/>
      <c r="M95" s="10">
        <f t="shared" si="6"/>
        <v>1.6500000000000001</v>
      </c>
      <c r="N95" s="10"/>
      <c r="O95" s="10"/>
      <c r="P95" s="41">
        <f t="shared" si="7"/>
        <v>0</v>
      </c>
      <c r="Q95" s="17">
        <v>120000</v>
      </c>
      <c r="R95" s="17">
        <f t="shared" si="8"/>
        <v>0</v>
      </c>
      <c r="S95" s="6">
        <f t="shared" si="9"/>
        <v>0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spans="1:29" s="18" customFormat="1" ht="21.95" customHeight="1" x14ac:dyDescent="0.2">
      <c r="A96" s="5">
        <f t="shared" si="10"/>
        <v>94</v>
      </c>
      <c r="B96" s="10"/>
      <c r="C96" s="61" t="s">
        <v>378</v>
      </c>
      <c r="D96" s="61"/>
      <c r="E96" s="8" t="s">
        <v>220</v>
      </c>
      <c r="F96" s="7" t="s">
        <v>221</v>
      </c>
      <c r="G96" s="9"/>
      <c r="H96" s="11">
        <v>0.35</v>
      </c>
      <c r="I96" s="10"/>
      <c r="J96" s="10" t="s">
        <v>232</v>
      </c>
      <c r="K96" s="10"/>
      <c r="L96" s="10"/>
      <c r="M96" s="10">
        <f t="shared" si="6"/>
        <v>1.6500000000000001</v>
      </c>
      <c r="N96" s="10"/>
      <c r="O96" s="10"/>
      <c r="P96" s="41">
        <f t="shared" si="7"/>
        <v>0</v>
      </c>
      <c r="Q96" s="17">
        <v>120000</v>
      </c>
      <c r="R96" s="17">
        <f t="shared" si="8"/>
        <v>0</v>
      </c>
      <c r="S96" s="6">
        <f t="shared" si="9"/>
        <v>0</v>
      </c>
      <c r="T96" s="10"/>
      <c r="U96" s="10"/>
      <c r="V96" s="10"/>
      <c r="W96" s="10"/>
      <c r="X96" s="10"/>
      <c r="Y96" s="10"/>
      <c r="Z96" s="10"/>
      <c r="AA96" s="10"/>
      <c r="AB96" s="10"/>
      <c r="AC96" s="10"/>
    </row>
    <row r="97" spans="1:29" x14ac:dyDescent="0.2">
      <c r="A97" s="12"/>
      <c r="B97" s="22"/>
      <c r="C97" s="23"/>
      <c r="D97" s="23"/>
      <c r="E97" s="24"/>
      <c r="F97" s="25"/>
      <c r="G97" s="26"/>
      <c r="H97" s="27"/>
      <c r="I97" s="28"/>
      <c r="J97" s="28"/>
      <c r="K97" s="28"/>
      <c r="L97" s="28"/>
      <c r="M97" s="28"/>
      <c r="N97" s="28"/>
      <c r="O97" s="28"/>
      <c r="P97" s="42"/>
      <c r="Q97" s="29"/>
      <c r="R97" s="29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14"/>
    </row>
    <row r="98" spans="1:29" x14ac:dyDescent="0.2">
      <c r="A98" s="12"/>
      <c r="B98" s="22"/>
      <c r="C98" s="23"/>
      <c r="D98" s="23"/>
      <c r="E98" s="24"/>
      <c r="F98" s="25"/>
      <c r="G98" s="26"/>
      <c r="H98" s="27"/>
      <c r="I98" s="28"/>
      <c r="J98" s="28"/>
      <c r="K98" s="28"/>
      <c r="L98" s="28"/>
      <c r="M98" s="28"/>
      <c r="N98" s="28"/>
      <c r="O98" s="28"/>
      <c r="P98" s="42"/>
      <c r="Q98" s="29"/>
      <c r="R98" s="29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14"/>
    </row>
    <row r="99" spans="1:29" x14ac:dyDescent="0.2">
      <c r="A99" s="12"/>
      <c r="B99" s="22"/>
      <c r="C99" s="23"/>
      <c r="D99" s="23"/>
      <c r="E99" s="24"/>
      <c r="F99" s="25"/>
      <c r="G99" s="26"/>
      <c r="H99" s="27"/>
      <c r="I99" s="28"/>
      <c r="J99" s="28"/>
      <c r="K99" s="28"/>
      <c r="L99" s="28"/>
      <c r="M99" s="28"/>
      <c r="N99" s="28"/>
      <c r="O99" s="28"/>
      <c r="P99" s="42"/>
      <c r="Q99" s="29"/>
      <c r="R99" s="29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14"/>
    </row>
    <row r="100" spans="1:29" x14ac:dyDescent="0.2">
      <c r="A100" s="12"/>
      <c r="B100" s="22"/>
      <c r="C100" s="23"/>
      <c r="D100" s="23"/>
      <c r="E100" s="24"/>
      <c r="F100" s="25"/>
      <c r="G100" s="26"/>
      <c r="H100" s="27"/>
      <c r="I100" s="28"/>
      <c r="J100" s="28"/>
      <c r="K100" s="28"/>
      <c r="L100" s="28"/>
      <c r="M100" s="28"/>
      <c r="N100" s="28"/>
      <c r="O100" s="28"/>
      <c r="P100" s="42"/>
      <c r="Q100" s="29"/>
      <c r="R100" s="29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14"/>
    </row>
    <row r="101" spans="1:29" x14ac:dyDescent="0.2">
      <c r="A101" s="12"/>
      <c r="B101" s="22"/>
      <c r="C101" s="23"/>
      <c r="D101" s="23"/>
      <c r="E101" s="24"/>
      <c r="F101" s="25"/>
      <c r="G101" s="26"/>
      <c r="H101" s="27"/>
      <c r="I101" s="28"/>
      <c r="J101" s="28"/>
      <c r="K101" s="28"/>
      <c r="L101" s="28"/>
      <c r="M101" s="28"/>
      <c r="N101" s="28"/>
      <c r="O101" s="28"/>
      <c r="P101" s="42"/>
      <c r="Q101" s="29"/>
      <c r="R101" s="29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14"/>
    </row>
    <row r="102" spans="1:29" x14ac:dyDescent="0.2">
      <c r="A102" s="12"/>
      <c r="B102" s="22"/>
      <c r="C102" s="23"/>
      <c r="D102" s="23"/>
      <c r="E102" s="24"/>
      <c r="F102" s="25"/>
      <c r="G102" s="26"/>
      <c r="H102" s="27"/>
      <c r="I102" s="28"/>
      <c r="J102" s="28"/>
      <c r="K102" s="28"/>
      <c r="L102" s="28"/>
      <c r="M102" s="28"/>
      <c r="N102" s="28"/>
      <c r="O102" s="28"/>
      <c r="P102" s="42"/>
      <c r="Q102" s="29"/>
      <c r="R102" s="29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14"/>
    </row>
    <row r="103" spans="1:29" x14ac:dyDescent="0.2">
      <c r="A103" s="12"/>
      <c r="B103" s="22"/>
      <c r="C103" s="23"/>
      <c r="D103" s="23"/>
      <c r="E103" s="24"/>
      <c r="F103" s="25"/>
      <c r="G103" s="26"/>
      <c r="H103" s="27"/>
      <c r="I103" s="28"/>
      <c r="J103" s="28"/>
      <c r="K103" s="28"/>
      <c r="L103" s="28"/>
      <c r="M103" s="28"/>
      <c r="N103" s="28"/>
      <c r="O103" s="28"/>
      <c r="P103" s="42"/>
      <c r="Q103" s="29"/>
      <c r="R103" s="29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14"/>
    </row>
    <row r="104" spans="1:29" x14ac:dyDescent="0.2">
      <c r="A104" s="12"/>
      <c r="B104" s="22"/>
      <c r="C104" s="23"/>
      <c r="D104" s="23"/>
      <c r="E104" s="24"/>
      <c r="F104" s="25"/>
      <c r="G104" s="26"/>
      <c r="H104" s="27"/>
      <c r="I104" s="28"/>
      <c r="J104" s="28"/>
      <c r="K104" s="28"/>
      <c r="L104" s="28"/>
      <c r="M104" s="28"/>
      <c r="N104" s="28"/>
      <c r="O104" s="28"/>
      <c r="P104" s="42"/>
      <c r="Q104" s="29"/>
      <c r="R104" s="29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14"/>
    </row>
    <row r="105" spans="1:29" x14ac:dyDescent="0.2">
      <c r="A105" s="12"/>
      <c r="B105" s="22"/>
      <c r="C105" s="23"/>
      <c r="D105" s="23"/>
      <c r="E105" s="24"/>
      <c r="F105" s="25"/>
      <c r="G105" s="26"/>
      <c r="H105" s="27"/>
      <c r="I105" s="28"/>
      <c r="J105" s="28"/>
      <c r="K105" s="28"/>
      <c r="L105" s="28"/>
      <c r="M105" s="28"/>
      <c r="N105" s="28"/>
      <c r="O105" s="28"/>
      <c r="P105" s="42"/>
      <c r="Q105" s="29"/>
      <c r="R105" s="29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14"/>
    </row>
    <row r="106" spans="1:29" x14ac:dyDescent="0.2">
      <c r="A106" s="12"/>
      <c r="B106" s="22"/>
      <c r="C106" s="23"/>
      <c r="D106" s="23"/>
      <c r="E106" s="24"/>
      <c r="F106" s="25"/>
      <c r="G106" s="26"/>
      <c r="H106" s="27"/>
      <c r="I106" s="28"/>
      <c r="J106" s="28"/>
      <c r="K106" s="28"/>
      <c r="L106" s="28"/>
      <c r="M106" s="28"/>
      <c r="N106" s="28"/>
      <c r="O106" s="28"/>
      <c r="P106" s="42"/>
      <c r="Q106" s="29"/>
      <c r="R106" s="29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14"/>
    </row>
    <row r="107" spans="1:29" x14ac:dyDescent="0.2">
      <c r="A107" s="12"/>
      <c r="B107" s="22"/>
      <c r="C107" s="23"/>
      <c r="D107" s="23"/>
      <c r="E107" s="24"/>
      <c r="F107" s="25"/>
      <c r="G107" s="26"/>
      <c r="H107" s="27"/>
      <c r="I107" s="28"/>
      <c r="J107" s="28"/>
      <c r="K107" s="28"/>
      <c r="L107" s="28"/>
      <c r="M107" s="28"/>
      <c r="N107" s="28"/>
      <c r="O107" s="28"/>
      <c r="P107" s="42"/>
      <c r="Q107" s="29"/>
      <c r="R107" s="29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14"/>
    </row>
    <row r="108" spans="1:29" x14ac:dyDescent="0.2">
      <c r="A108" s="12"/>
      <c r="B108" s="22"/>
      <c r="C108" s="23"/>
      <c r="D108" s="23"/>
      <c r="E108" s="24"/>
      <c r="F108" s="25"/>
      <c r="G108" s="26"/>
      <c r="H108" s="27"/>
      <c r="I108" s="28"/>
      <c r="J108" s="28"/>
      <c r="K108" s="28"/>
      <c r="L108" s="28"/>
      <c r="M108" s="28"/>
      <c r="N108" s="28"/>
      <c r="O108" s="28"/>
      <c r="P108" s="42"/>
      <c r="Q108" s="29"/>
      <c r="R108" s="29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14"/>
    </row>
    <row r="109" spans="1:29" x14ac:dyDescent="0.2">
      <c r="A109" s="12"/>
      <c r="B109" s="22"/>
      <c r="C109" s="23"/>
      <c r="D109" s="23"/>
      <c r="E109" s="24"/>
      <c r="F109" s="25"/>
      <c r="G109" s="26"/>
      <c r="H109" s="27"/>
      <c r="I109" s="28"/>
      <c r="J109" s="28"/>
      <c r="K109" s="28"/>
      <c r="L109" s="28"/>
      <c r="M109" s="28"/>
      <c r="N109" s="28"/>
      <c r="O109" s="28"/>
      <c r="P109" s="42"/>
      <c r="Q109" s="29"/>
      <c r="R109" s="29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14"/>
    </row>
    <row r="110" spans="1:29" x14ac:dyDescent="0.2">
      <c r="A110" s="12"/>
      <c r="B110" s="22"/>
      <c r="C110" s="23"/>
      <c r="D110" s="23"/>
      <c r="E110" s="24"/>
      <c r="F110" s="25"/>
      <c r="G110" s="26"/>
      <c r="H110" s="27"/>
      <c r="I110" s="28"/>
      <c r="J110" s="28"/>
      <c r="K110" s="28"/>
      <c r="L110" s="28"/>
      <c r="M110" s="28"/>
      <c r="N110" s="28"/>
      <c r="O110" s="28"/>
      <c r="P110" s="42"/>
      <c r="Q110" s="29"/>
      <c r="R110" s="29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14"/>
    </row>
    <row r="111" spans="1:29" x14ac:dyDescent="0.2">
      <c r="A111" s="12"/>
      <c r="B111" s="22"/>
      <c r="C111" s="23"/>
      <c r="D111" s="23"/>
      <c r="E111" s="24"/>
      <c r="F111" s="25"/>
      <c r="G111" s="26"/>
      <c r="H111" s="27"/>
      <c r="I111" s="28"/>
      <c r="J111" s="28"/>
      <c r="K111" s="28"/>
      <c r="L111" s="28"/>
      <c r="M111" s="28"/>
      <c r="N111" s="28"/>
      <c r="O111" s="28"/>
      <c r="P111" s="42"/>
      <c r="Q111" s="29"/>
      <c r="R111" s="29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14"/>
    </row>
    <row r="112" spans="1:29" x14ac:dyDescent="0.2">
      <c r="A112" s="12"/>
      <c r="B112" s="22"/>
      <c r="C112" s="23"/>
      <c r="D112" s="23"/>
      <c r="E112" s="24"/>
      <c r="F112" s="25"/>
      <c r="G112" s="26"/>
      <c r="H112" s="27"/>
      <c r="I112" s="28"/>
      <c r="J112" s="28"/>
      <c r="K112" s="28"/>
      <c r="L112" s="28"/>
      <c r="M112" s="28"/>
      <c r="N112" s="28"/>
      <c r="O112" s="28"/>
      <c r="P112" s="42"/>
      <c r="Q112" s="29"/>
      <c r="R112" s="29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14"/>
    </row>
    <row r="113" spans="1:29" x14ac:dyDescent="0.2">
      <c r="A113" s="12"/>
      <c r="B113" s="22"/>
      <c r="C113" s="23"/>
      <c r="D113" s="23"/>
      <c r="E113" s="24"/>
      <c r="F113" s="25"/>
      <c r="G113" s="26"/>
      <c r="H113" s="27"/>
      <c r="I113" s="28"/>
      <c r="J113" s="28"/>
      <c r="K113" s="28"/>
      <c r="L113" s="28"/>
      <c r="M113" s="28"/>
      <c r="N113" s="28"/>
      <c r="O113" s="28"/>
      <c r="P113" s="42"/>
      <c r="Q113" s="29"/>
      <c r="R113" s="29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14"/>
    </row>
    <row r="114" spans="1:29" x14ac:dyDescent="0.2">
      <c r="A114" s="12"/>
      <c r="B114" s="22"/>
      <c r="C114" s="23"/>
      <c r="D114" s="23"/>
      <c r="E114" s="24"/>
      <c r="F114" s="25"/>
      <c r="G114" s="26"/>
      <c r="H114" s="27"/>
      <c r="I114" s="28"/>
      <c r="J114" s="28"/>
      <c r="K114" s="28"/>
      <c r="L114" s="28"/>
      <c r="M114" s="28"/>
      <c r="N114" s="28"/>
      <c r="O114" s="28"/>
      <c r="P114" s="42"/>
      <c r="Q114" s="29"/>
      <c r="R114" s="29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14"/>
    </row>
    <row r="115" spans="1:29" x14ac:dyDescent="0.2">
      <c r="A115" s="12"/>
      <c r="B115" s="22"/>
      <c r="C115" s="23"/>
      <c r="D115" s="23"/>
      <c r="E115" s="24"/>
      <c r="F115" s="25"/>
      <c r="G115" s="26"/>
      <c r="H115" s="27"/>
      <c r="I115" s="28"/>
      <c r="J115" s="28"/>
      <c r="K115" s="28"/>
      <c r="L115" s="28"/>
      <c r="M115" s="28"/>
      <c r="N115" s="28"/>
      <c r="O115" s="28"/>
      <c r="P115" s="42"/>
      <c r="Q115" s="29"/>
      <c r="R115" s="29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14"/>
    </row>
    <row r="116" spans="1:29" x14ac:dyDescent="0.2">
      <c r="A116" s="12"/>
      <c r="B116" s="22"/>
      <c r="C116" s="23"/>
      <c r="D116" s="23"/>
      <c r="E116" s="24"/>
      <c r="F116" s="25"/>
      <c r="G116" s="26"/>
      <c r="H116" s="27"/>
      <c r="I116" s="28"/>
      <c r="J116" s="28"/>
      <c r="K116" s="28"/>
      <c r="L116" s="28"/>
      <c r="M116" s="28"/>
      <c r="N116" s="28"/>
      <c r="O116" s="28"/>
      <c r="P116" s="42"/>
      <c r="Q116" s="29"/>
      <c r="R116" s="29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14"/>
    </row>
    <row r="117" spans="1:29" x14ac:dyDescent="0.2">
      <c r="A117" s="12"/>
      <c r="B117" s="22"/>
      <c r="C117" s="23"/>
      <c r="D117" s="23"/>
      <c r="E117" s="24"/>
      <c r="F117" s="25"/>
      <c r="G117" s="26"/>
      <c r="H117" s="27"/>
      <c r="I117" s="28"/>
      <c r="J117" s="28"/>
      <c r="K117" s="28"/>
      <c r="L117" s="28"/>
      <c r="M117" s="28"/>
      <c r="N117" s="28"/>
      <c r="O117" s="28"/>
      <c r="P117" s="42"/>
      <c r="Q117" s="29"/>
      <c r="R117" s="29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14"/>
    </row>
    <row r="118" spans="1:29" x14ac:dyDescent="0.2">
      <c r="A118" s="12"/>
      <c r="B118" s="22"/>
      <c r="C118" s="23"/>
      <c r="D118" s="23"/>
      <c r="E118" s="24"/>
      <c r="F118" s="25"/>
      <c r="G118" s="26"/>
      <c r="H118" s="27"/>
      <c r="I118" s="28"/>
      <c r="J118" s="28"/>
      <c r="K118" s="28"/>
      <c r="L118" s="28"/>
      <c r="M118" s="28"/>
      <c r="N118" s="28"/>
      <c r="O118" s="28"/>
      <c r="P118" s="42"/>
      <c r="Q118" s="29"/>
      <c r="R118" s="29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14"/>
    </row>
    <row r="119" spans="1:29" x14ac:dyDescent="0.2">
      <c r="A119" s="12"/>
      <c r="B119" s="22"/>
      <c r="C119" s="23"/>
      <c r="D119" s="23"/>
      <c r="E119" s="24"/>
      <c r="F119" s="25"/>
      <c r="G119" s="26"/>
      <c r="H119" s="27"/>
      <c r="I119" s="28"/>
      <c r="J119" s="28"/>
      <c r="K119" s="28"/>
      <c r="L119" s="28"/>
      <c r="M119" s="28"/>
      <c r="N119" s="28"/>
      <c r="O119" s="28"/>
      <c r="P119" s="42"/>
      <c r="Q119" s="29"/>
      <c r="R119" s="29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14"/>
    </row>
    <row r="120" spans="1:29" x14ac:dyDescent="0.2">
      <c r="A120" s="12"/>
      <c r="B120" s="22"/>
      <c r="C120" s="23"/>
      <c r="D120" s="23"/>
      <c r="E120" s="24"/>
      <c r="F120" s="25"/>
      <c r="G120" s="26"/>
      <c r="H120" s="27"/>
      <c r="I120" s="28"/>
      <c r="J120" s="28"/>
      <c r="K120" s="28"/>
      <c r="L120" s="28"/>
      <c r="M120" s="28"/>
      <c r="N120" s="28"/>
      <c r="O120" s="28"/>
      <c r="P120" s="42"/>
      <c r="Q120" s="29"/>
      <c r="R120" s="29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14"/>
    </row>
    <row r="121" spans="1:29" x14ac:dyDescent="0.2">
      <c r="A121" s="12"/>
      <c r="B121" s="22"/>
      <c r="C121" s="23"/>
      <c r="D121" s="23"/>
      <c r="E121" s="24"/>
      <c r="F121" s="25"/>
      <c r="G121" s="26"/>
      <c r="H121" s="27"/>
      <c r="I121" s="28"/>
      <c r="J121" s="28"/>
      <c r="K121" s="28"/>
      <c r="L121" s="28"/>
      <c r="M121" s="28"/>
      <c r="N121" s="28"/>
      <c r="O121" s="28"/>
      <c r="P121" s="42"/>
      <c r="Q121" s="29"/>
      <c r="R121" s="29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14"/>
    </row>
    <row r="122" spans="1:29" x14ac:dyDescent="0.2">
      <c r="A122" s="12"/>
      <c r="B122" s="22"/>
      <c r="C122" s="23"/>
      <c r="D122" s="23"/>
      <c r="E122" s="24"/>
      <c r="F122" s="25"/>
      <c r="G122" s="26"/>
      <c r="H122" s="27"/>
      <c r="I122" s="28"/>
      <c r="J122" s="28"/>
      <c r="K122" s="28"/>
      <c r="L122" s="28"/>
      <c r="M122" s="28"/>
      <c r="N122" s="28"/>
      <c r="O122" s="28"/>
      <c r="P122" s="42"/>
      <c r="Q122" s="29"/>
      <c r="R122" s="29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14"/>
    </row>
    <row r="123" spans="1:29" x14ac:dyDescent="0.2">
      <c r="A123" s="12"/>
      <c r="B123" s="22"/>
      <c r="C123" s="23"/>
      <c r="D123" s="23"/>
      <c r="E123" s="24"/>
      <c r="F123" s="25"/>
      <c r="G123" s="26"/>
      <c r="H123" s="27"/>
      <c r="I123" s="28"/>
      <c r="J123" s="28"/>
      <c r="K123" s="28"/>
      <c r="L123" s="28"/>
      <c r="M123" s="28"/>
      <c r="N123" s="28"/>
      <c r="O123" s="28"/>
      <c r="P123" s="42"/>
      <c r="Q123" s="29"/>
      <c r="R123" s="29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14"/>
    </row>
    <row r="124" spans="1:29" x14ac:dyDescent="0.2">
      <c r="A124" s="12"/>
      <c r="B124" s="22"/>
      <c r="C124" s="23"/>
      <c r="D124" s="23"/>
      <c r="E124" s="24"/>
      <c r="F124" s="25"/>
      <c r="G124" s="26"/>
      <c r="H124" s="27"/>
      <c r="I124" s="28"/>
      <c r="J124" s="28"/>
      <c r="K124" s="28"/>
      <c r="L124" s="28"/>
      <c r="M124" s="28"/>
      <c r="N124" s="28"/>
      <c r="O124" s="28"/>
      <c r="P124" s="42"/>
      <c r="Q124" s="29"/>
      <c r="R124" s="29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14"/>
    </row>
    <row r="125" spans="1:29" x14ac:dyDescent="0.2">
      <c r="A125" s="12"/>
      <c r="B125" s="22"/>
      <c r="C125" s="23"/>
      <c r="D125" s="23"/>
      <c r="E125" s="24"/>
      <c r="F125" s="25"/>
      <c r="G125" s="26"/>
      <c r="H125" s="27"/>
      <c r="I125" s="28"/>
      <c r="J125" s="28"/>
      <c r="K125" s="28"/>
      <c r="L125" s="28"/>
      <c r="M125" s="28"/>
      <c r="N125" s="28"/>
      <c r="O125" s="28"/>
      <c r="P125" s="42"/>
      <c r="Q125" s="29"/>
      <c r="R125" s="29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14"/>
    </row>
    <row r="126" spans="1:29" x14ac:dyDescent="0.2">
      <c r="A126" s="12"/>
      <c r="B126" s="22"/>
      <c r="C126" s="23"/>
      <c r="D126" s="23"/>
      <c r="E126" s="24"/>
      <c r="F126" s="25"/>
      <c r="G126" s="26"/>
      <c r="H126" s="27"/>
      <c r="I126" s="28"/>
      <c r="J126" s="28"/>
      <c r="K126" s="28"/>
      <c r="L126" s="28"/>
      <c r="M126" s="28"/>
      <c r="N126" s="28"/>
      <c r="O126" s="28"/>
      <c r="P126" s="42"/>
      <c r="Q126" s="29"/>
      <c r="R126" s="29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14"/>
    </row>
    <row r="127" spans="1:29" x14ac:dyDescent="0.2">
      <c r="A127" s="12"/>
      <c r="B127" s="22"/>
      <c r="C127" s="23"/>
      <c r="D127" s="23"/>
      <c r="E127" s="24"/>
      <c r="F127" s="25"/>
      <c r="G127" s="26"/>
      <c r="H127" s="27"/>
      <c r="I127" s="28"/>
      <c r="J127" s="28"/>
      <c r="K127" s="28"/>
      <c r="L127" s="28"/>
      <c r="M127" s="28"/>
      <c r="N127" s="28"/>
      <c r="O127" s="28"/>
      <c r="P127" s="42"/>
      <c r="Q127" s="29"/>
      <c r="R127" s="29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14"/>
    </row>
    <row r="128" spans="1:29" x14ac:dyDescent="0.2">
      <c r="A128" s="12"/>
      <c r="B128" s="22"/>
      <c r="C128" s="23"/>
      <c r="D128" s="23"/>
      <c r="E128" s="24"/>
      <c r="F128" s="25"/>
      <c r="G128" s="26"/>
      <c r="H128" s="27"/>
      <c r="I128" s="28"/>
      <c r="J128" s="28"/>
      <c r="K128" s="28"/>
      <c r="L128" s="28"/>
      <c r="M128" s="28"/>
      <c r="N128" s="28"/>
      <c r="O128" s="28"/>
      <c r="P128" s="42"/>
      <c r="Q128" s="29"/>
      <c r="R128" s="29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14"/>
    </row>
    <row r="129" spans="1:29" x14ac:dyDescent="0.2">
      <c r="A129" s="12"/>
      <c r="B129" s="22"/>
      <c r="C129" s="23"/>
      <c r="D129" s="23"/>
      <c r="E129" s="24"/>
      <c r="F129" s="25"/>
      <c r="G129" s="26"/>
      <c r="H129" s="27"/>
      <c r="I129" s="28"/>
      <c r="J129" s="28"/>
      <c r="K129" s="28"/>
      <c r="L129" s="28"/>
      <c r="M129" s="28"/>
      <c r="N129" s="28"/>
      <c r="O129" s="28"/>
      <c r="P129" s="42"/>
      <c r="Q129" s="29"/>
      <c r="R129" s="29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14"/>
    </row>
    <row r="130" spans="1:29" x14ac:dyDescent="0.2">
      <c r="A130" s="12"/>
      <c r="B130" s="22"/>
      <c r="C130" s="23"/>
      <c r="D130" s="23"/>
      <c r="E130" s="24"/>
      <c r="F130" s="25"/>
      <c r="G130" s="26"/>
      <c r="H130" s="27"/>
      <c r="I130" s="28"/>
      <c r="J130" s="28"/>
      <c r="K130" s="28"/>
      <c r="L130" s="28"/>
      <c r="M130" s="28"/>
      <c r="N130" s="28"/>
      <c r="O130" s="28"/>
      <c r="P130" s="42"/>
      <c r="Q130" s="29"/>
      <c r="R130" s="29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14"/>
    </row>
    <row r="131" spans="1:29" x14ac:dyDescent="0.2">
      <c r="A131" s="12"/>
      <c r="B131" s="22"/>
      <c r="C131" s="23"/>
      <c r="D131" s="23"/>
      <c r="E131" s="24"/>
      <c r="F131" s="25"/>
      <c r="G131" s="26"/>
      <c r="H131" s="27"/>
      <c r="I131" s="28"/>
      <c r="J131" s="28"/>
      <c r="K131" s="28"/>
      <c r="L131" s="28"/>
      <c r="M131" s="28"/>
      <c r="N131" s="28"/>
      <c r="O131" s="28"/>
      <c r="P131" s="42"/>
      <c r="Q131" s="29"/>
      <c r="R131" s="29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14"/>
    </row>
    <row r="132" spans="1:29" x14ac:dyDescent="0.2">
      <c r="A132" s="12"/>
      <c r="B132" s="22"/>
      <c r="C132" s="23"/>
      <c r="D132" s="23"/>
      <c r="E132" s="24"/>
      <c r="F132" s="25"/>
      <c r="G132" s="26"/>
      <c r="H132" s="27"/>
      <c r="I132" s="28"/>
      <c r="J132" s="28"/>
      <c r="K132" s="28"/>
      <c r="L132" s="28"/>
      <c r="M132" s="28"/>
      <c r="N132" s="28"/>
      <c r="O132" s="28"/>
      <c r="P132" s="42"/>
      <c r="Q132" s="29"/>
      <c r="R132" s="29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14"/>
    </row>
    <row r="133" spans="1:29" x14ac:dyDescent="0.2">
      <c r="A133" s="12"/>
      <c r="B133" s="22"/>
      <c r="C133" s="23"/>
      <c r="D133" s="23"/>
      <c r="E133" s="24"/>
      <c r="F133" s="25"/>
      <c r="G133" s="26"/>
      <c r="H133" s="27"/>
      <c r="I133" s="28"/>
      <c r="J133" s="28"/>
      <c r="K133" s="28"/>
      <c r="L133" s="28"/>
      <c r="M133" s="28"/>
      <c r="N133" s="28"/>
      <c r="O133" s="28"/>
      <c r="P133" s="42"/>
      <c r="Q133" s="29"/>
      <c r="R133" s="29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14"/>
    </row>
    <row r="134" spans="1:29" x14ac:dyDescent="0.2">
      <c r="A134" s="12"/>
      <c r="B134" s="22"/>
      <c r="C134" s="23"/>
      <c r="D134" s="23"/>
      <c r="E134" s="24"/>
      <c r="F134" s="25"/>
      <c r="G134" s="26"/>
      <c r="H134" s="27"/>
      <c r="I134" s="28"/>
      <c r="J134" s="28"/>
      <c r="K134" s="28"/>
      <c r="L134" s="28"/>
      <c r="M134" s="28"/>
      <c r="N134" s="28"/>
      <c r="O134" s="28"/>
      <c r="P134" s="42"/>
      <c r="Q134" s="29"/>
      <c r="R134" s="29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14"/>
    </row>
    <row r="135" spans="1:29" x14ac:dyDescent="0.2">
      <c r="A135" s="12"/>
      <c r="B135" s="22"/>
      <c r="C135" s="23"/>
      <c r="D135" s="23"/>
      <c r="E135" s="24"/>
      <c r="F135" s="25"/>
      <c r="G135" s="26"/>
      <c r="H135" s="27"/>
      <c r="I135" s="28"/>
      <c r="J135" s="28"/>
      <c r="K135" s="28"/>
      <c r="L135" s="28"/>
      <c r="M135" s="28"/>
      <c r="N135" s="28"/>
      <c r="O135" s="28"/>
      <c r="P135" s="42"/>
      <c r="Q135" s="29"/>
      <c r="R135" s="29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14"/>
    </row>
    <row r="136" spans="1:29" x14ac:dyDescent="0.2">
      <c r="A136" s="12"/>
      <c r="B136" s="22"/>
      <c r="C136" s="23"/>
      <c r="D136" s="23"/>
      <c r="E136" s="24"/>
      <c r="F136" s="25"/>
      <c r="G136" s="26"/>
      <c r="H136" s="27"/>
      <c r="I136" s="28"/>
      <c r="J136" s="28"/>
      <c r="K136" s="28"/>
      <c r="L136" s="28"/>
      <c r="M136" s="28"/>
      <c r="N136" s="28"/>
      <c r="O136" s="28"/>
      <c r="P136" s="42"/>
      <c r="Q136" s="29"/>
      <c r="R136" s="29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14"/>
    </row>
    <row r="137" spans="1:29" x14ac:dyDescent="0.2">
      <c r="A137" s="12"/>
      <c r="B137" s="22"/>
      <c r="C137" s="23"/>
      <c r="D137" s="23"/>
      <c r="E137" s="24"/>
      <c r="F137" s="25"/>
      <c r="G137" s="26"/>
      <c r="H137" s="27"/>
      <c r="I137" s="28"/>
      <c r="J137" s="28"/>
      <c r="K137" s="28"/>
      <c r="L137" s="28"/>
      <c r="M137" s="28"/>
      <c r="N137" s="28"/>
      <c r="O137" s="28"/>
      <c r="P137" s="42"/>
      <c r="Q137" s="29"/>
      <c r="R137" s="29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14"/>
    </row>
    <row r="138" spans="1:29" x14ac:dyDescent="0.2">
      <c r="A138" s="12"/>
      <c r="B138" s="22"/>
      <c r="C138" s="23"/>
      <c r="D138" s="23"/>
      <c r="E138" s="24"/>
      <c r="F138" s="25"/>
      <c r="G138" s="26"/>
      <c r="H138" s="27"/>
      <c r="I138" s="28"/>
      <c r="J138" s="28"/>
      <c r="K138" s="28"/>
      <c r="L138" s="28"/>
      <c r="M138" s="28"/>
      <c r="N138" s="28"/>
      <c r="O138" s="28"/>
      <c r="P138" s="42"/>
      <c r="Q138" s="29"/>
      <c r="R138" s="29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14"/>
    </row>
    <row r="139" spans="1:29" x14ac:dyDescent="0.2">
      <c r="A139" s="12"/>
      <c r="B139" s="22"/>
      <c r="C139" s="23"/>
      <c r="D139" s="23"/>
      <c r="E139" s="24"/>
      <c r="F139" s="25"/>
      <c r="G139" s="26"/>
      <c r="H139" s="27"/>
      <c r="I139" s="28"/>
      <c r="J139" s="28"/>
      <c r="K139" s="28"/>
      <c r="L139" s="28"/>
      <c r="M139" s="28"/>
      <c r="N139" s="28"/>
      <c r="O139" s="28"/>
      <c r="P139" s="42"/>
      <c r="Q139" s="29"/>
      <c r="R139" s="29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14"/>
    </row>
    <row r="140" spans="1:29" x14ac:dyDescent="0.2">
      <c r="A140" s="12"/>
      <c r="B140" s="22"/>
      <c r="C140" s="23"/>
      <c r="D140" s="23"/>
      <c r="E140" s="24"/>
      <c r="F140" s="25"/>
      <c r="G140" s="26"/>
      <c r="H140" s="27"/>
      <c r="I140" s="28"/>
      <c r="J140" s="28"/>
      <c r="K140" s="28"/>
      <c r="L140" s="28"/>
      <c r="M140" s="28"/>
      <c r="N140" s="28"/>
      <c r="O140" s="28"/>
      <c r="P140" s="42"/>
      <c r="Q140" s="29"/>
      <c r="R140" s="29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14"/>
    </row>
    <row r="141" spans="1:29" x14ac:dyDescent="0.2">
      <c r="A141" s="12"/>
      <c r="B141" s="22"/>
      <c r="C141" s="23"/>
      <c r="D141" s="23"/>
      <c r="E141" s="24"/>
      <c r="F141" s="25"/>
      <c r="G141" s="26"/>
      <c r="H141" s="27"/>
      <c r="I141" s="28"/>
      <c r="J141" s="28"/>
      <c r="K141" s="28"/>
      <c r="L141" s="28"/>
      <c r="M141" s="28"/>
      <c r="N141" s="28"/>
      <c r="O141" s="28"/>
      <c r="P141" s="42"/>
      <c r="Q141" s="29"/>
      <c r="R141" s="29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14"/>
    </row>
    <row r="142" spans="1:29" x14ac:dyDescent="0.2">
      <c r="A142" s="12"/>
      <c r="B142" s="22"/>
      <c r="C142" s="23"/>
      <c r="D142" s="23"/>
      <c r="E142" s="24"/>
      <c r="F142" s="25"/>
      <c r="G142" s="26"/>
      <c r="H142" s="27"/>
      <c r="I142" s="28"/>
      <c r="J142" s="28"/>
      <c r="K142" s="28"/>
      <c r="L142" s="28"/>
      <c r="M142" s="28"/>
      <c r="N142" s="28"/>
      <c r="O142" s="28"/>
      <c r="P142" s="42"/>
      <c r="Q142" s="29"/>
      <c r="R142" s="29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14"/>
    </row>
    <row r="143" spans="1:29" x14ac:dyDescent="0.2">
      <c r="A143" s="12"/>
      <c r="B143" s="22"/>
      <c r="C143" s="23"/>
      <c r="D143" s="23"/>
      <c r="E143" s="24"/>
      <c r="F143" s="25"/>
      <c r="G143" s="26"/>
      <c r="H143" s="27"/>
      <c r="I143" s="28"/>
      <c r="J143" s="28"/>
      <c r="K143" s="28"/>
      <c r="L143" s="28"/>
      <c r="M143" s="28"/>
      <c r="N143" s="28"/>
      <c r="O143" s="28"/>
      <c r="P143" s="42"/>
      <c r="Q143" s="29"/>
      <c r="R143" s="29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14"/>
    </row>
    <row r="144" spans="1:29" x14ac:dyDescent="0.2">
      <c r="A144" s="12"/>
      <c r="B144" s="22"/>
      <c r="C144" s="23"/>
      <c r="D144" s="23"/>
      <c r="E144" s="24"/>
      <c r="F144" s="25"/>
      <c r="G144" s="26"/>
      <c r="H144" s="27"/>
      <c r="I144" s="28"/>
      <c r="J144" s="28"/>
      <c r="K144" s="28"/>
      <c r="L144" s="28"/>
      <c r="M144" s="28"/>
      <c r="N144" s="28"/>
      <c r="O144" s="28"/>
      <c r="P144" s="42"/>
      <c r="Q144" s="29"/>
      <c r="R144" s="29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14"/>
    </row>
    <row r="145" spans="1:29" x14ac:dyDescent="0.2">
      <c r="A145" s="12"/>
      <c r="B145" s="22"/>
      <c r="C145" s="23"/>
      <c r="D145" s="23"/>
      <c r="E145" s="24"/>
      <c r="F145" s="25"/>
      <c r="G145" s="26"/>
      <c r="H145" s="27"/>
      <c r="I145" s="28"/>
      <c r="J145" s="28"/>
      <c r="K145" s="28"/>
      <c r="L145" s="28"/>
      <c r="M145" s="28"/>
      <c r="N145" s="28"/>
      <c r="O145" s="28"/>
      <c r="P145" s="42"/>
      <c r="Q145" s="29"/>
      <c r="R145" s="29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14"/>
    </row>
    <row r="146" spans="1:29" x14ac:dyDescent="0.2">
      <c r="A146" s="12"/>
      <c r="B146" s="22"/>
      <c r="C146" s="23"/>
      <c r="D146" s="23"/>
      <c r="E146" s="24"/>
      <c r="F146" s="25"/>
      <c r="G146" s="26"/>
      <c r="H146" s="27"/>
      <c r="I146" s="28"/>
      <c r="J146" s="28"/>
      <c r="K146" s="28"/>
      <c r="L146" s="28"/>
      <c r="M146" s="28"/>
      <c r="N146" s="28"/>
      <c r="O146" s="28"/>
      <c r="P146" s="42"/>
      <c r="Q146" s="29"/>
      <c r="R146" s="29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14"/>
    </row>
    <row r="147" spans="1:29" x14ac:dyDescent="0.2">
      <c r="A147" s="12"/>
      <c r="B147" s="22"/>
      <c r="C147" s="23"/>
      <c r="D147" s="23"/>
      <c r="E147" s="24"/>
      <c r="F147" s="25"/>
      <c r="G147" s="26"/>
      <c r="H147" s="27"/>
      <c r="I147" s="28"/>
      <c r="J147" s="28"/>
      <c r="K147" s="28"/>
      <c r="L147" s="28"/>
      <c r="M147" s="28"/>
      <c r="N147" s="28"/>
      <c r="O147" s="28"/>
      <c r="P147" s="42"/>
      <c r="Q147" s="29"/>
      <c r="R147" s="29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14"/>
    </row>
    <row r="148" spans="1:29" x14ac:dyDescent="0.2">
      <c r="A148" s="12"/>
      <c r="B148" s="22"/>
      <c r="C148" s="23"/>
      <c r="D148" s="23"/>
      <c r="E148" s="24"/>
      <c r="F148" s="25"/>
      <c r="G148" s="26"/>
      <c r="H148" s="27"/>
      <c r="I148" s="28"/>
      <c r="J148" s="28"/>
      <c r="K148" s="28"/>
      <c r="L148" s="28"/>
      <c r="M148" s="28"/>
      <c r="N148" s="28"/>
      <c r="O148" s="28"/>
      <c r="P148" s="42"/>
      <c r="Q148" s="29"/>
      <c r="R148" s="29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14"/>
    </row>
    <row r="149" spans="1:29" x14ac:dyDescent="0.2">
      <c r="A149" s="12"/>
      <c r="B149" s="22"/>
      <c r="C149" s="23"/>
      <c r="D149" s="23"/>
      <c r="E149" s="24"/>
      <c r="F149" s="25"/>
      <c r="G149" s="26"/>
      <c r="H149" s="27"/>
      <c r="I149" s="28"/>
      <c r="J149" s="28"/>
      <c r="K149" s="28"/>
      <c r="L149" s="28"/>
      <c r="M149" s="28"/>
      <c r="N149" s="28"/>
      <c r="O149" s="28"/>
      <c r="P149" s="42"/>
      <c r="Q149" s="29"/>
      <c r="R149" s="29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14"/>
    </row>
    <row r="150" spans="1:29" x14ac:dyDescent="0.2">
      <c r="A150" s="12"/>
      <c r="B150" s="22"/>
      <c r="C150" s="23"/>
      <c r="D150" s="23"/>
      <c r="E150" s="24"/>
      <c r="F150" s="25"/>
      <c r="G150" s="26"/>
      <c r="H150" s="27"/>
      <c r="I150" s="28"/>
      <c r="J150" s="28"/>
      <c r="K150" s="28"/>
      <c r="L150" s="28"/>
      <c r="M150" s="28"/>
      <c r="N150" s="28"/>
      <c r="O150" s="28"/>
      <c r="P150" s="42"/>
      <c r="Q150" s="29"/>
      <c r="R150" s="29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14"/>
    </row>
    <row r="151" spans="1:29" x14ac:dyDescent="0.2">
      <c r="A151" s="12"/>
      <c r="B151" s="22"/>
      <c r="C151" s="23"/>
      <c r="D151" s="23"/>
      <c r="E151" s="24"/>
      <c r="F151" s="25"/>
      <c r="G151" s="26"/>
      <c r="H151" s="27"/>
      <c r="I151" s="28"/>
      <c r="J151" s="28"/>
      <c r="K151" s="28"/>
      <c r="L151" s="28"/>
      <c r="M151" s="28"/>
      <c r="N151" s="28"/>
      <c r="O151" s="28"/>
      <c r="P151" s="42"/>
      <c r="Q151" s="29"/>
      <c r="R151" s="29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14"/>
    </row>
    <row r="152" spans="1:29" x14ac:dyDescent="0.2">
      <c r="A152" s="12"/>
      <c r="B152" s="22"/>
      <c r="C152" s="23"/>
      <c r="D152" s="23"/>
      <c r="E152" s="24"/>
      <c r="F152" s="25"/>
      <c r="G152" s="26"/>
      <c r="H152" s="27"/>
      <c r="I152" s="28"/>
      <c r="J152" s="28"/>
      <c r="K152" s="28"/>
      <c r="L152" s="28"/>
      <c r="M152" s="28"/>
      <c r="N152" s="28"/>
      <c r="O152" s="28"/>
      <c r="P152" s="42"/>
      <c r="Q152" s="29"/>
      <c r="R152" s="29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14"/>
    </row>
    <row r="153" spans="1:29" x14ac:dyDescent="0.2">
      <c r="A153" s="12"/>
      <c r="B153" s="22"/>
      <c r="C153" s="23"/>
      <c r="D153" s="23"/>
      <c r="E153" s="24"/>
      <c r="F153" s="25"/>
      <c r="G153" s="26"/>
      <c r="H153" s="27"/>
      <c r="I153" s="28"/>
      <c r="J153" s="28"/>
      <c r="K153" s="28"/>
      <c r="L153" s="28"/>
      <c r="M153" s="28"/>
      <c r="N153" s="28"/>
      <c r="O153" s="28"/>
      <c r="P153" s="42"/>
      <c r="Q153" s="29"/>
      <c r="R153" s="29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14"/>
    </row>
    <row r="154" spans="1:29" x14ac:dyDescent="0.2">
      <c r="A154" s="12"/>
      <c r="B154" s="22"/>
      <c r="C154" s="23"/>
      <c r="D154" s="23"/>
      <c r="E154" s="24"/>
      <c r="F154" s="25"/>
      <c r="G154" s="26"/>
      <c r="H154" s="27"/>
      <c r="I154" s="28"/>
      <c r="J154" s="28"/>
      <c r="K154" s="28"/>
      <c r="L154" s="28"/>
      <c r="M154" s="28"/>
      <c r="N154" s="28"/>
      <c r="O154" s="28"/>
      <c r="P154" s="42"/>
      <c r="Q154" s="29"/>
      <c r="R154" s="29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14"/>
    </row>
    <row r="155" spans="1:29" x14ac:dyDescent="0.2">
      <c r="A155" s="12"/>
      <c r="B155" s="22"/>
      <c r="C155" s="23"/>
      <c r="D155" s="23"/>
      <c r="E155" s="24"/>
      <c r="F155" s="25"/>
      <c r="G155" s="26"/>
      <c r="H155" s="27"/>
      <c r="I155" s="28"/>
      <c r="J155" s="28"/>
      <c r="K155" s="28"/>
      <c r="L155" s="28"/>
      <c r="M155" s="28"/>
      <c r="N155" s="28"/>
      <c r="O155" s="28"/>
      <c r="P155" s="42"/>
      <c r="Q155" s="29"/>
      <c r="R155" s="29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14"/>
    </row>
    <row r="156" spans="1:29" x14ac:dyDescent="0.2">
      <c r="A156" s="12"/>
      <c r="B156" s="22"/>
      <c r="C156" s="23"/>
      <c r="D156" s="23"/>
      <c r="E156" s="24"/>
      <c r="F156" s="25"/>
      <c r="G156" s="26"/>
      <c r="H156" s="27"/>
      <c r="I156" s="28"/>
      <c r="J156" s="28"/>
      <c r="K156" s="28"/>
      <c r="L156" s="28"/>
      <c r="M156" s="28"/>
      <c r="N156" s="28"/>
      <c r="O156" s="28"/>
      <c r="P156" s="42"/>
      <c r="Q156" s="29"/>
      <c r="R156" s="29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14"/>
    </row>
    <row r="157" spans="1:29" x14ac:dyDescent="0.2">
      <c r="A157" s="12"/>
      <c r="B157" s="22"/>
      <c r="C157" s="23"/>
      <c r="D157" s="23"/>
      <c r="E157" s="24"/>
      <c r="F157" s="25"/>
      <c r="G157" s="26"/>
      <c r="H157" s="27"/>
      <c r="I157" s="28"/>
      <c r="J157" s="28"/>
      <c r="K157" s="28"/>
      <c r="L157" s="28"/>
      <c r="M157" s="28"/>
      <c r="N157" s="28"/>
      <c r="O157" s="28"/>
      <c r="P157" s="42"/>
      <c r="Q157" s="29"/>
      <c r="R157" s="29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14"/>
    </row>
    <row r="158" spans="1:29" x14ac:dyDescent="0.2">
      <c r="A158" s="12"/>
      <c r="B158" s="22"/>
      <c r="C158" s="23"/>
      <c r="D158" s="23"/>
      <c r="E158" s="24"/>
      <c r="F158" s="25"/>
      <c r="G158" s="26"/>
      <c r="H158" s="27"/>
      <c r="I158" s="28"/>
      <c r="J158" s="28"/>
      <c r="K158" s="28"/>
      <c r="L158" s="28"/>
      <c r="M158" s="28"/>
      <c r="N158" s="28"/>
      <c r="O158" s="28"/>
      <c r="P158" s="42"/>
      <c r="Q158" s="29"/>
      <c r="R158" s="29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14"/>
    </row>
    <row r="159" spans="1:29" x14ac:dyDescent="0.2">
      <c r="A159" s="12"/>
      <c r="B159" s="22"/>
      <c r="C159" s="23"/>
      <c r="D159" s="23"/>
      <c r="E159" s="24"/>
      <c r="F159" s="25"/>
      <c r="G159" s="26"/>
      <c r="H159" s="27"/>
      <c r="I159" s="28"/>
      <c r="J159" s="28"/>
      <c r="K159" s="28"/>
      <c r="L159" s="28"/>
      <c r="M159" s="28"/>
      <c r="N159" s="28"/>
      <c r="O159" s="28"/>
      <c r="P159" s="42"/>
      <c r="Q159" s="29"/>
      <c r="R159" s="29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14"/>
    </row>
    <row r="160" spans="1:29" x14ac:dyDescent="0.2">
      <c r="A160" s="12"/>
      <c r="B160" s="22"/>
      <c r="C160" s="23"/>
      <c r="D160" s="23"/>
      <c r="E160" s="24"/>
      <c r="F160" s="25"/>
      <c r="G160" s="26"/>
      <c r="H160" s="27"/>
      <c r="I160" s="28"/>
      <c r="J160" s="28"/>
      <c r="K160" s="28"/>
      <c r="L160" s="28"/>
      <c r="M160" s="28"/>
      <c r="N160" s="28"/>
      <c r="O160" s="28"/>
      <c r="P160" s="42"/>
      <c r="Q160" s="29"/>
      <c r="R160" s="29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14"/>
    </row>
    <row r="161" spans="1:29" x14ac:dyDescent="0.2">
      <c r="A161" s="12"/>
      <c r="B161" s="22"/>
      <c r="C161" s="23"/>
      <c r="D161" s="23"/>
      <c r="E161" s="24"/>
      <c r="F161" s="25"/>
      <c r="G161" s="26"/>
      <c r="H161" s="27"/>
      <c r="I161" s="28"/>
      <c r="J161" s="28"/>
      <c r="K161" s="28"/>
      <c r="L161" s="28"/>
      <c r="M161" s="28"/>
      <c r="N161" s="28"/>
      <c r="O161" s="28"/>
      <c r="P161" s="42"/>
      <c r="Q161" s="29"/>
      <c r="R161" s="29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14"/>
    </row>
    <row r="162" spans="1:29" x14ac:dyDescent="0.2">
      <c r="A162" s="12"/>
      <c r="B162" s="22"/>
      <c r="C162" s="23"/>
      <c r="D162" s="23"/>
      <c r="E162" s="24"/>
      <c r="F162" s="25"/>
      <c r="G162" s="26"/>
      <c r="H162" s="27"/>
      <c r="I162" s="28"/>
      <c r="J162" s="28"/>
      <c r="K162" s="28"/>
      <c r="L162" s="28"/>
      <c r="M162" s="28"/>
      <c r="N162" s="28"/>
      <c r="O162" s="28"/>
      <c r="P162" s="42"/>
      <c r="Q162" s="29"/>
      <c r="R162" s="29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14"/>
    </row>
    <row r="163" spans="1:29" x14ac:dyDescent="0.2">
      <c r="A163" s="12"/>
      <c r="B163" s="22"/>
      <c r="C163" s="23"/>
      <c r="D163" s="23"/>
      <c r="E163" s="24"/>
      <c r="F163" s="25"/>
      <c r="G163" s="26"/>
      <c r="H163" s="27"/>
      <c r="I163" s="28"/>
      <c r="J163" s="28"/>
      <c r="K163" s="28"/>
      <c r="L163" s="28"/>
      <c r="M163" s="28"/>
      <c r="N163" s="28"/>
      <c r="O163" s="28"/>
      <c r="P163" s="42"/>
      <c r="Q163" s="29"/>
      <c r="R163" s="29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14"/>
    </row>
    <row r="164" spans="1:29" x14ac:dyDescent="0.2">
      <c r="A164" s="12"/>
      <c r="B164" s="22"/>
      <c r="C164" s="23"/>
      <c r="D164" s="23"/>
      <c r="E164" s="24"/>
      <c r="F164" s="25"/>
      <c r="G164" s="26"/>
      <c r="H164" s="27"/>
      <c r="I164" s="28"/>
      <c r="J164" s="28"/>
      <c r="K164" s="28"/>
      <c r="L164" s="28"/>
      <c r="M164" s="28"/>
      <c r="N164" s="28"/>
      <c r="O164" s="28"/>
      <c r="P164" s="42"/>
      <c r="Q164" s="29"/>
      <c r="R164" s="29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14"/>
    </row>
    <row r="165" spans="1:29" x14ac:dyDescent="0.2">
      <c r="A165" s="12"/>
      <c r="B165" s="22"/>
      <c r="C165" s="23"/>
      <c r="D165" s="23"/>
      <c r="E165" s="24"/>
      <c r="F165" s="25"/>
      <c r="G165" s="26"/>
      <c r="H165" s="27"/>
      <c r="I165" s="28"/>
      <c r="J165" s="28"/>
      <c r="K165" s="28"/>
      <c r="L165" s="28"/>
      <c r="M165" s="28"/>
      <c r="N165" s="28"/>
      <c r="O165" s="28"/>
      <c r="P165" s="42"/>
      <c r="Q165" s="29"/>
      <c r="R165" s="29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14"/>
    </row>
    <row r="166" spans="1:29" x14ac:dyDescent="0.2">
      <c r="A166" s="12"/>
      <c r="B166" s="22"/>
      <c r="C166" s="23"/>
      <c r="D166" s="23"/>
      <c r="E166" s="24"/>
      <c r="F166" s="25"/>
      <c r="G166" s="26"/>
      <c r="H166" s="27"/>
      <c r="I166" s="28"/>
      <c r="J166" s="28"/>
      <c r="K166" s="28"/>
      <c r="L166" s="28"/>
      <c r="M166" s="28"/>
      <c r="N166" s="28"/>
      <c r="O166" s="28"/>
      <c r="P166" s="42"/>
      <c r="Q166" s="29"/>
      <c r="R166" s="29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14"/>
    </row>
    <row r="167" spans="1:29" x14ac:dyDescent="0.2">
      <c r="A167" s="12"/>
      <c r="B167" s="22"/>
      <c r="C167" s="23"/>
      <c r="D167" s="23"/>
      <c r="E167" s="24"/>
      <c r="F167" s="25"/>
      <c r="G167" s="26"/>
      <c r="H167" s="27"/>
      <c r="I167" s="28"/>
      <c r="J167" s="28"/>
      <c r="K167" s="28"/>
      <c r="L167" s="28"/>
      <c r="M167" s="28"/>
      <c r="N167" s="28"/>
      <c r="O167" s="28"/>
      <c r="P167" s="42"/>
      <c r="Q167" s="29"/>
      <c r="R167" s="29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14"/>
    </row>
    <row r="168" spans="1:29" x14ac:dyDescent="0.2">
      <c r="A168" s="12"/>
      <c r="B168" s="22"/>
      <c r="C168" s="23"/>
      <c r="D168" s="23"/>
      <c r="E168" s="24"/>
      <c r="F168" s="25"/>
      <c r="G168" s="26"/>
      <c r="H168" s="27"/>
      <c r="I168" s="28"/>
      <c r="J168" s="28"/>
      <c r="K168" s="28"/>
      <c r="L168" s="28"/>
      <c r="M168" s="28"/>
      <c r="N168" s="28"/>
      <c r="O168" s="28"/>
      <c r="P168" s="42"/>
      <c r="Q168" s="29"/>
      <c r="R168" s="29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14"/>
    </row>
    <row r="169" spans="1:29" x14ac:dyDescent="0.2">
      <c r="A169" s="12"/>
      <c r="B169" s="22"/>
      <c r="C169" s="23"/>
      <c r="D169" s="23"/>
      <c r="E169" s="24"/>
      <c r="F169" s="25"/>
      <c r="G169" s="26"/>
      <c r="H169" s="27"/>
      <c r="I169" s="28"/>
      <c r="J169" s="28"/>
      <c r="K169" s="28"/>
      <c r="L169" s="28"/>
      <c r="M169" s="28"/>
      <c r="N169" s="28"/>
      <c r="O169" s="28"/>
      <c r="P169" s="42"/>
      <c r="Q169" s="29"/>
      <c r="R169" s="29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14"/>
    </row>
    <row r="170" spans="1:29" x14ac:dyDescent="0.2">
      <c r="A170" s="12"/>
      <c r="B170" s="22"/>
      <c r="C170" s="23"/>
      <c r="D170" s="23"/>
      <c r="E170" s="24"/>
      <c r="F170" s="25"/>
      <c r="G170" s="26"/>
      <c r="H170" s="27"/>
      <c r="I170" s="28"/>
      <c r="J170" s="28"/>
      <c r="K170" s="28"/>
      <c r="L170" s="28"/>
      <c r="M170" s="28"/>
      <c r="N170" s="28"/>
      <c r="O170" s="28"/>
      <c r="P170" s="42"/>
      <c r="Q170" s="29"/>
      <c r="R170" s="29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14"/>
    </row>
    <row r="171" spans="1:29" x14ac:dyDescent="0.2">
      <c r="A171" s="12"/>
      <c r="B171" s="22"/>
      <c r="C171" s="23"/>
      <c r="D171" s="23"/>
      <c r="E171" s="24"/>
      <c r="F171" s="25"/>
      <c r="G171" s="26"/>
      <c r="H171" s="27"/>
      <c r="I171" s="28"/>
      <c r="J171" s="28"/>
      <c r="K171" s="28"/>
      <c r="L171" s="28"/>
      <c r="M171" s="28"/>
      <c r="N171" s="28"/>
      <c r="O171" s="28"/>
      <c r="P171" s="42"/>
      <c r="Q171" s="29"/>
      <c r="R171" s="29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14"/>
    </row>
    <row r="172" spans="1:29" x14ac:dyDescent="0.2">
      <c r="A172" s="12"/>
      <c r="B172" s="22"/>
      <c r="C172" s="23"/>
      <c r="D172" s="23"/>
      <c r="E172" s="24"/>
      <c r="F172" s="25"/>
      <c r="G172" s="26"/>
      <c r="H172" s="27"/>
      <c r="I172" s="28"/>
      <c r="J172" s="28"/>
      <c r="K172" s="28"/>
      <c r="L172" s="28"/>
      <c r="M172" s="28"/>
      <c r="N172" s="28"/>
      <c r="O172" s="28"/>
      <c r="P172" s="42"/>
      <c r="Q172" s="29"/>
      <c r="R172" s="29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14"/>
    </row>
    <row r="173" spans="1:29" x14ac:dyDescent="0.2">
      <c r="A173" s="12"/>
      <c r="B173" s="22"/>
      <c r="C173" s="23"/>
      <c r="D173" s="23"/>
      <c r="E173" s="24"/>
      <c r="F173" s="25"/>
      <c r="G173" s="26"/>
      <c r="H173" s="27"/>
      <c r="I173" s="28"/>
      <c r="J173" s="28"/>
      <c r="K173" s="28"/>
      <c r="L173" s="28"/>
      <c r="M173" s="28"/>
      <c r="N173" s="28"/>
      <c r="O173" s="28"/>
      <c r="P173" s="42"/>
      <c r="Q173" s="29"/>
      <c r="R173" s="29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14"/>
    </row>
    <row r="174" spans="1:29" x14ac:dyDescent="0.2">
      <c r="A174" s="12"/>
      <c r="B174" s="22"/>
      <c r="C174" s="23"/>
      <c r="D174" s="23"/>
      <c r="E174" s="24"/>
      <c r="F174" s="25"/>
      <c r="G174" s="26"/>
      <c r="H174" s="27"/>
      <c r="I174" s="28"/>
      <c r="J174" s="28"/>
      <c r="K174" s="28"/>
      <c r="L174" s="28"/>
      <c r="M174" s="28"/>
      <c r="N174" s="28"/>
      <c r="O174" s="28"/>
      <c r="P174" s="42"/>
      <c r="Q174" s="29"/>
      <c r="R174" s="29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14"/>
    </row>
    <row r="175" spans="1:29" x14ac:dyDescent="0.2">
      <c r="A175" s="12"/>
      <c r="B175" s="22"/>
      <c r="C175" s="23"/>
      <c r="D175" s="23"/>
      <c r="E175" s="24"/>
      <c r="F175" s="25"/>
      <c r="G175" s="26"/>
      <c r="H175" s="27"/>
      <c r="I175" s="28"/>
      <c r="J175" s="28"/>
      <c r="K175" s="28"/>
      <c r="L175" s="28"/>
      <c r="M175" s="28"/>
      <c r="N175" s="28"/>
      <c r="O175" s="28"/>
      <c r="P175" s="42"/>
      <c r="Q175" s="29"/>
      <c r="R175" s="29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14"/>
    </row>
    <row r="176" spans="1:29" x14ac:dyDescent="0.2">
      <c r="A176" s="12"/>
      <c r="B176" s="22"/>
      <c r="C176" s="23"/>
      <c r="D176" s="23"/>
      <c r="E176" s="24"/>
      <c r="F176" s="25"/>
      <c r="G176" s="26"/>
      <c r="H176" s="27"/>
      <c r="I176" s="28"/>
      <c r="J176" s="28"/>
      <c r="K176" s="28"/>
      <c r="L176" s="28"/>
      <c r="M176" s="28"/>
      <c r="N176" s="28"/>
      <c r="O176" s="28"/>
      <c r="P176" s="42"/>
      <c r="Q176" s="29"/>
      <c r="R176" s="29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14"/>
    </row>
    <row r="177" spans="1:29" x14ac:dyDescent="0.2">
      <c r="A177" s="12"/>
      <c r="B177" s="22"/>
      <c r="C177" s="23"/>
      <c r="D177" s="23"/>
      <c r="E177" s="24"/>
      <c r="F177" s="25"/>
      <c r="G177" s="26"/>
      <c r="H177" s="27"/>
      <c r="I177" s="28"/>
      <c r="J177" s="28"/>
      <c r="K177" s="28"/>
      <c r="L177" s="28"/>
      <c r="M177" s="28"/>
      <c r="N177" s="28"/>
      <c r="O177" s="28"/>
      <c r="P177" s="42"/>
      <c r="Q177" s="29"/>
      <c r="R177" s="29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14"/>
    </row>
    <row r="178" spans="1:29" x14ac:dyDescent="0.2">
      <c r="A178" s="12"/>
      <c r="B178" s="22"/>
      <c r="C178" s="23"/>
      <c r="D178" s="23"/>
      <c r="E178" s="24"/>
      <c r="F178" s="25"/>
      <c r="G178" s="26"/>
      <c r="H178" s="27"/>
      <c r="I178" s="28"/>
      <c r="J178" s="28"/>
      <c r="K178" s="28"/>
      <c r="L178" s="28"/>
      <c r="M178" s="28"/>
      <c r="N178" s="28"/>
      <c r="O178" s="28"/>
      <c r="P178" s="42"/>
      <c r="Q178" s="29"/>
      <c r="R178" s="29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14"/>
    </row>
    <row r="179" spans="1:29" x14ac:dyDescent="0.2">
      <c r="A179" s="12"/>
      <c r="B179" s="22"/>
      <c r="C179" s="23"/>
      <c r="D179" s="23"/>
      <c r="E179" s="24"/>
      <c r="F179" s="25"/>
      <c r="G179" s="26"/>
      <c r="H179" s="27"/>
      <c r="I179" s="28"/>
      <c r="J179" s="28"/>
      <c r="K179" s="28"/>
      <c r="L179" s="28"/>
      <c r="M179" s="28"/>
      <c r="N179" s="28"/>
      <c r="O179" s="28"/>
      <c r="P179" s="42"/>
      <c r="Q179" s="29"/>
      <c r="R179" s="29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14"/>
    </row>
    <row r="180" spans="1:29" x14ac:dyDescent="0.2">
      <c r="A180" s="12"/>
      <c r="B180" s="22"/>
      <c r="C180" s="23"/>
      <c r="D180" s="23"/>
      <c r="E180" s="24"/>
      <c r="F180" s="25"/>
      <c r="G180" s="26"/>
      <c r="H180" s="27"/>
      <c r="I180" s="28"/>
      <c r="J180" s="28"/>
      <c r="K180" s="28"/>
      <c r="L180" s="28"/>
      <c r="M180" s="28"/>
      <c r="N180" s="28"/>
      <c r="O180" s="28"/>
      <c r="P180" s="42"/>
      <c r="Q180" s="29"/>
      <c r="R180" s="29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14"/>
    </row>
    <row r="181" spans="1:29" x14ac:dyDescent="0.2">
      <c r="A181" s="12"/>
      <c r="B181" s="22"/>
      <c r="C181" s="23"/>
      <c r="D181" s="23"/>
      <c r="E181" s="24"/>
      <c r="F181" s="25"/>
      <c r="G181" s="26"/>
      <c r="H181" s="27"/>
      <c r="I181" s="28"/>
      <c r="J181" s="28"/>
      <c r="K181" s="28"/>
      <c r="L181" s="28"/>
      <c r="M181" s="28"/>
      <c r="N181" s="28"/>
      <c r="O181" s="28"/>
      <c r="P181" s="42"/>
      <c r="Q181" s="29"/>
      <c r="R181" s="29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14"/>
    </row>
    <row r="182" spans="1:29" x14ac:dyDescent="0.2">
      <c r="A182" s="12"/>
      <c r="B182" s="22"/>
      <c r="C182" s="23"/>
      <c r="D182" s="23"/>
      <c r="E182" s="24"/>
      <c r="F182" s="25"/>
      <c r="G182" s="26"/>
      <c r="H182" s="27"/>
      <c r="I182" s="28"/>
      <c r="J182" s="28"/>
      <c r="K182" s="28"/>
      <c r="L182" s="28"/>
      <c r="M182" s="28"/>
      <c r="N182" s="28"/>
      <c r="O182" s="28"/>
      <c r="P182" s="42"/>
      <c r="Q182" s="29"/>
      <c r="R182" s="29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14"/>
    </row>
    <row r="183" spans="1:29" x14ac:dyDescent="0.2">
      <c r="A183" s="12"/>
      <c r="B183" s="22"/>
      <c r="C183" s="23"/>
      <c r="D183" s="23"/>
      <c r="E183" s="24"/>
      <c r="F183" s="25"/>
      <c r="G183" s="26"/>
      <c r="H183" s="27"/>
      <c r="I183" s="28"/>
      <c r="J183" s="28"/>
      <c r="K183" s="28"/>
      <c r="L183" s="28"/>
      <c r="M183" s="28"/>
      <c r="N183" s="28"/>
      <c r="O183" s="28"/>
      <c r="P183" s="42"/>
      <c r="Q183" s="29"/>
      <c r="R183" s="29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14"/>
    </row>
    <row r="184" spans="1:29" x14ac:dyDescent="0.2">
      <c r="A184" s="12"/>
      <c r="B184" s="22"/>
      <c r="C184" s="23"/>
      <c r="D184" s="23"/>
      <c r="E184" s="24"/>
      <c r="F184" s="25"/>
      <c r="G184" s="26"/>
      <c r="H184" s="27"/>
      <c r="I184" s="28"/>
      <c r="J184" s="28"/>
      <c r="K184" s="28"/>
      <c r="L184" s="28"/>
      <c r="M184" s="28"/>
      <c r="N184" s="28"/>
      <c r="O184" s="28"/>
      <c r="P184" s="42"/>
      <c r="Q184" s="29"/>
      <c r="R184" s="29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14"/>
    </row>
    <row r="185" spans="1:29" x14ac:dyDescent="0.2">
      <c r="A185" s="12"/>
      <c r="B185" s="22"/>
      <c r="C185" s="23"/>
      <c r="D185" s="23"/>
      <c r="E185" s="24"/>
      <c r="F185" s="25"/>
      <c r="G185" s="26"/>
      <c r="H185" s="27"/>
      <c r="I185" s="28"/>
      <c r="J185" s="28"/>
      <c r="K185" s="28"/>
      <c r="L185" s="28"/>
      <c r="M185" s="28"/>
      <c r="N185" s="28"/>
      <c r="O185" s="28"/>
      <c r="P185" s="42"/>
      <c r="Q185" s="29"/>
      <c r="R185" s="29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14"/>
    </row>
    <row r="186" spans="1:29" x14ac:dyDescent="0.2">
      <c r="A186" s="12"/>
      <c r="B186" s="22"/>
      <c r="C186" s="23"/>
      <c r="D186" s="23"/>
      <c r="E186" s="24"/>
      <c r="F186" s="25"/>
      <c r="G186" s="26"/>
      <c r="H186" s="27"/>
      <c r="I186" s="28"/>
      <c r="J186" s="28"/>
      <c r="K186" s="28"/>
      <c r="L186" s="28"/>
      <c r="M186" s="28"/>
      <c r="N186" s="28"/>
      <c r="O186" s="28"/>
      <c r="P186" s="42"/>
      <c r="Q186" s="29"/>
      <c r="R186" s="29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14"/>
    </row>
    <row r="187" spans="1:29" x14ac:dyDescent="0.2">
      <c r="A187" s="12"/>
      <c r="B187" s="22"/>
      <c r="C187" s="23"/>
      <c r="D187" s="23"/>
      <c r="E187" s="24"/>
      <c r="F187" s="25"/>
      <c r="G187" s="26"/>
      <c r="H187" s="27"/>
      <c r="I187" s="28"/>
      <c r="J187" s="28"/>
      <c r="K187" s="28"/>
      <c r="L187" s="28"/>
      <c r="M187" s="28"/>
      <c r="N187" s="28"/>
      <c r="O187" s="28"/>
      <c r="P187" s="42"/>
      <c r="Q187" s="29"/>
      <c r="R187" s="29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14"/>
    </row>
    <row r="188" spans="1:29" x14ac:dyDescent="0.2">
      <c r="A188" s="12"/>
      <c r="B188" s="22"/>
      <c r="C188" s="23"/>
      <c r="D188" s="23"/>
      <c r="E188" s="24"/>
      <c r="F188" s="25"/>
      <c r="G188" s="26"/>
      <c r="H188" s="27"/>
      <c r="I188" s="28"/>
      <c r="J188" s="28"/>
      <c r="K188" s="28"/>
      <c r="L188" s="28"/>
      <c r="M188" s="28"/>
      <c r="N188" s="28"/>
      <c r="O188" s="28"/>
      <c r="P188" s="42"/>
      <c r="Q188" s="29"/>
      <c r="R188" s="29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14"/>
    </row>
    <row r="189" spans="1:29" x14ac:dyDescent="0.2">
      <c r="A189" s="12"/>
      <c r="B189" s="22"/>
      <c r="C189" s="23"/>
      <c r="D189" s="23"/>
      <c r="E189" s="24"/>
      <c r="F189" s="25"/>
      <c r="G189" s="26"/>
      <c r="H189" s="27"/>
      <c r="I189" s="28"/>
      <c r="J189" s="28"/>
      <c r="K189" s="28"/>
      <c r="L189" s="28"/>
      <c r="M189" s="28"/>
      <c r="N189" s="28"/>
      <c r="O189" s="28"/>
      <c r="P189" s="42"/>
      <c r="Q189" s="29"/>
      <c r="R189" s="29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14"/>
    </row>
    <row r="190" spans="1:29" x14ac:dyDescent="0.2">
      <c r="A190" s="12"/>
      <c r="B190" s="22"/>
      <c r="C190" s="23"/>
      <c r="D190" s="23"/>
      <c r="E190" s="24"/>
      <c r="F190" s="25"/>
      <c r="G190" s="26"/>
      <c r="H190" s="27"/>
      <c r="I190" s="28"/>
      <c r="J190" s="28"/>
      <c r="K190" s="28"/>
      <c r="L190" s="28"/>
      <c r="M190" s="28"/>
      <c r="N190" s="28"/>
      <c r="O190" s="28"/>
      <c r="P190" s="42"/>
      <c r="Q190" s="29"/>
      <c r="R190" s="29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14"/>
    </row>
    <row r="191" spans="1:29" x14ac:dyDescent="0.2">
      <c r="A191" s="12"/>
      <c r="B191" s="22"/>
      <c r="C191" s="23"/>
      <c r="D191" s="23"/>
      <c r="E191" s="24"/>
      <c r="F191" s="25"/>
      <c r="G191" s="26"/>
      <c r="H191" s="27"/>
      <c r="I191" s="28"/>
      <c r="J191" s="28"/>
      <c r="K191" s="28"/>
      <c r="L191" s="28"/>
      <c r="M191" s="28"/>
      <c r="N191" s="28"/>
      <c r="O191" s="28"/>
      <c r="P191" s="42"/>
      <c r="Q191" s="29"/>
      <c r="R191" s="29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14"/>
    </row>
    <row r="192" spans="1:29" x14ac:dyDescent="0.2">
      <c r="A192" s="12"/>
      <c r="B192" s="22"/>
      <c r="C192" s="23"/>
      <c r="D192" s="23"/>
      <c r="E192" s="24"/>
      <c r="F192" s="25"/>
      <c r="G192" s="26"/>
      <c r="H192" s="27"/>
      <c r="I192" s="28"/>
      <c r="J192" s="28"/>
      <c r="K192" s="28"/>
      <c r="L192" s="28"/>
      <c r="M192" s="28"/>
      <c r="N192" s="28"/>
      <c r="O192" s="28"/>
      <c r="P192" s="42"/>
      <c r="Q192" s="29"/>
      <c r="R192" s="29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14"/>
    </row>
    <row r="193" spans="1:29" x14ac:dyDescent="0.2">
      <c r="A193" s="12"/>
      <c r="B193" s="22"/>
      <c r="C193" s="23"/>
      <c r="D193" s="23"/>
      <c r="E193" s="24"/>
      <c r="F193" s="25"/>
      <c r="G193" s="26"/>
      <c r="H193" s="27"/>
      <c r="I193" s="28"/>
      <c r="J193" s="28"/>
      <c r="K193" s="28"/>
      <c r="L193" s="28"/>
      <c r="M193" s="28"/>
      <c r="N193" s="28"/>
      <c r="O193" s="28"/>
      <c r="P193" s="42"/>
      <c r="Q193" s="29"/>
      <c r="R193" s="29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14"/>
    </row>
    <row r="194" spans="1:29" x14ac:dyDescent="0.2">
      <c r="A194" s="12"/>
      <c r="B194" s="22"/>
      <c r="C194" s="23"/>
      <c r="D194" s="23"/>
      <c r="E194" s="24"/>
      <c r="F194" s="25"/>
      <c r="G194" s="26"/>
      <c r="H194" s="27"/>
      <c r="I194" s="28"/>
      <c r="J194" s="28"/>
      <c r="K194" s="28"/>
      <c r="L194" s="28"/>
      <c r="M194" s="28"/>
      <c r="N194" s="28"/>
      <c r="O194" s="28"/>
      <c r="P194" s="42"/>
      <c r="Q194" s="29"/>
      <c r="R194" s="29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14"/>
    </row>
    <row r="195" spans="1:29" x14ac:dyDescent="0.2">
      <c r="A195" s="12"/>
      <c r="B195" s="22"/>
      <c r="C195" s="23"/>
      <c r="D195" s="23"/>
      <c r="E195" s="24"/>
      <c r="F195" s="25"/>
      <c r="G195" s="26"/>
      <c r="H195" s="27"/>
      <c r="I195" s="28"/>
      <c r="J195" s="28"/>
      <c r="K195" s="28"/>
      <c r="L195" s="28"/>
      <c r="M195" s="28"/>
      <c r="N195" s="28"/>
      <c r="O195" s="28"/>
      <c r="P195" s="42"/>
      <c r="Q195" s="29"/>
      <c r="R195" s="29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14"/>
    </row>
    <row r="196" spans="1:29" x14ac:dyDescent="0.2">
      <c r="A196" s="12"/>
      <c r="B196" s="22"/>
      <c r="C196" s="23"/>
      <c r="D196" s="23"/>
      <c r="E196" s="24"/>
      <c r="F196" s="25"/>
      <c r="G196" s="26"/>
      <c r="H196" s="27"/>
      <c r="I196" s="28"/>
      <c r="J196" s="28"/>
      <c r="K196" s="28"/>
      <c r="L196" s="28"/>
      <c r="M196" s="28"/>
      <c r="N196" s="28"/>
      <c r="O196" s="28"/>
      <c r="P196" s="42"/>
      <c r="Q196" s="29"/>
      <c r="R196" s="29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14"/>
    </row>
    <row r="197" spans="1:29" x14ac:dyDescent="0.2">
      <c r="A197" s="12"/>
      <c r="B197" s="22"/>
      <c r="C197" s="23"/>
      <c r="D197" s="23"/>
      <c r="E197" s="24"/>
      <c r="F197" s="25"/>
      <c r="G197" s="26"/>
      <c r="H197" s="27"/>
      <c r="I197" s="28"/>
      <c r="J197" s="28"/>
      <c r="K197" s="28"/>
      <c r="L197" s="28"/>
      <c r="M197" s="28"/>
      <c r="N197" s="28"/>
      <c r="O197" s="28"/>
      <c r="P197" s="42"/>
      <c r="Q197" s="29"/>
      <c r="R197" s="29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14"/>
    </row>
    <row r="198" spans="1:29" x14ac:dyDescent="0.2">
      <c r="A198" s="12"/>
      <c r="B198" s="22"/>
      <c r="C198" s="23"/>
      <c r="D198" s="23"/>
      <c r="E198" s="24"/>
      <c r="F198" s="25"/>
      <c r="G198" s="26"/>
      <c r="H198" s="27"/>
      <c r="I198" s="28"/>
      <c r="J198" s="28"/>
      <c r="K198" s="28"/>
      <c r="L198" s="28"/>
      <c r="M198" s="28"/>
      <c r="N198" s="28"/>
      <c r="O198" s="28"/>
      <c r="P198" s="42"/>
      <c r="Q198" s="29"/>
      <c r="R198" s="29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14"/>
    </row>
    <row r="199" spans="1:29" x14ac:dyDescent="0.2">
      <c r="A199" s="12"/>
      <c r="B199" s="22"/>
      <c r="C199" s="23"/>
      <c r="D199" s="23"/>
      <c r="E199" s="24"/>
      <c r="F199" s="25"/>
      <c r="G199" s="26"/>
      <c r="H199" s="27"/>
      <c r="I199" s="28"/>
      <c r="J199" s="28"/>
      <c r="K199" s="28"/>
      <c r="L199" s="28"/>
      <c r="M199" s="28"/>
      <c r="N199" s="28"/>
      <c r="O199" s="28"/>
      <c r="P199" s="42"/>
      <c r="Q199" s="29"/>
      <c r="R199" s="29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14"/>
    </row>
    <row r="200" spans="1:29" x14ac:dyDescent="0.2">
      <c r="A200" s="12"/>
      <c r="B200" s="22"/>
      <c r="C200" s="23"/>
      <c r="D200" s="23"/>
      <c r="E200" s="24"/>
      <c r="F200" s="25"/>
      <c r="G200" s="26"/>
      <c r="H200" s="27"/>
      <c r="I200" s="28"/>
      <c r="J200" s="28"/>
      <c r="K200" s="28"/>
      <c r="L200" s="28"/>
      <c r="M200" s="28"/>
      <c r="N200" s="28"/>
      <c r="O200" s="28"/>
      <c r="P200" s="42"/>
      <c r="Q200" s="29"/>
      <c r="R200" s="29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14"/>
    </row>
    <row r="201" spans="1:29" x14ac:dyDescent="0.2">
      <c r="A201" s="12"/>
      <c r="B201" s="22"/>
      <c r="C201" s="23"/>
      <c r="D201" s="23"/>
      <c r="E201" s="24"/>
      <c r="F201" s="25"/>
      <c r="G201" s="26"/>
      <c r="H201" s="27"/>
      <c r="I201" s="28"/>
      <c r="J201" s="28"/>
      <c r="K201" s="28"/>
      <c r="L201" s="28"/>
      <c r="M201" s="28"/>
      <c r="N201" s="28"/>
      <c r="O201" s="28"/>
      <c r="P201" s="42"/>
      <c r="Q201" s="29"/>
      <c r="R201" s="29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14"/>
    </row>
    <row r="202" spans="1:29" x14ac:dyDescent="0.2">
      <c r="A202" s="12"/>
      <c r="B202" s="22"/>
      <c r="C202" s="23"/>
      <c r="D202" s="23"/>
      <c r="E202" s="24"/>
      <c r="F202" s="25"/>
      <c r="G202" s="26"/>
      <c r="H202" s="27"/>
      <c r="I202" s="28"/>
      <c r="J202" s="28"/>
      <c r="K202" s="28"/>
      <c r="L202" s="28"/>
      <c r="M202" s="28"/>
      <c r="N202" s="28"/>
      <c r="O202" s="28"/>
      <c r="P202" s="42"/>
      <c r="Q202" s="29"/>
      <c r="R202" s="29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14"/>
    </row>
    <row r="203" spans="1:29" x14ac:dyDescent="0.2">
      <c r="A203" s="12"/>
      <c r="B203" s="22"/>
      <c r="C203" s="23"/>
      <c r="D203" s="23"/>
      <c r="E203" s="24"/>
      <c r="F203" s="25"/>
      <c r="G203" s="26"/>
      <c r="H203" s="27"/>
      <c r="I203" s="28"/>
      <c r="J203" s="28"/>
      <c r="K203" s="28"/>
      <c r="L203" s="28"/>
      <c r="M203" s="28"/>
      <c r="N203" s="28"/>
      <c r="O203" s="28"/>
      <c r="P203" s="42"/>
      <c r="Q203" s="29"/>
      <c r="R203" s="29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14"/>
    </row>
    <row r="204" spans="1:29" x14ac:dyDescent="0.2">
      <c r="A204" s="12"/>
      <c r="B204" s="22"/>
      <c r="C204" s="23"/>
      <c r="D204" s="23"/>
      <c r="E204" s="24"/>
      <c r="F204" s="25"/>
      <c r="G204" s="26"/>
      <c r="H204" s="27"/>
      <c r="I204" s="28"/>
      <c r="J204" s="28"/>
      <c r="K204" s="28"/>
      <c r="L204" s="28"/>
      <c r="M204" s="28"/>
      <c r="N204" s="28"/>
      <c r="O204" s="28"/>
      <c r="P204" s="42"/>
      <c r="Q204" s="29"/>
      <c r="R204" s="29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14"/>
    </row>
    <row r="205" spans="1:29" x14ac:dyDescent="0.2">
      <c r="A205" s="12"/>
      <c r="B205" s="22"/>
      <c r="C205" s="23"/>
      <c r="D205" s="23"/>
      <c r="E205" s="24"/>
      <c r="F205" s="25"/>
      <c r="G205" s="26"/>
      <c r="H205" s="27"/>
      <c r="I205" s="28"/>
      <c r="J205" s="28"/>
      <c r="K205" s="28"/>
      <c r="L205" s="28"/>
      <c r="M205" s="28"/>
      <c r="N205" s="28"/>
      <c r="O205" s="28"/>
      <c r="P205" s="42"/>
      <c r="Q205" s="29"/>
      <c r="R205" s="29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14"/>
    </row>
    <row r="206" spans="1:29" x14ac:dyDescent="0.2">
      <c r="A206" s="12"/>
      <c r="B206" s="22"/>
      <c r="C206" s="23"/>
      <c r="D206" s="23"/>
      <c r="E206" s="24"/>
      <c r="F206" s="25"/>
      <c r="G206" s="26"/>
      <c r="H206" s="27"/>
      <c r="I206" s="28"/>
      <c r="J206" s="28"/>
      <c r="K206" s="28"/>
      <c r="L206" s="28"/>
      <c r="M206" s="28"/>
      <c r="N206" s="28"/>
      <c r="O206" s="28"/>
      <c r="P206" s="42"/>
      <c r="Q206" s="29"/>
      <c r="R206" s="29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14"/>
    </row>
    <row r="207" spans="1:29" x14ac:dyDescent="0.2">
      <c r="A207" s="12"/>
      <c r="B207" s="22"/>
      <c r="C207" s="23"/>
      <c r="D207" s="23"/>
      <c r="E207" s="24"/>
      <c r="F207" s="25"/>
      <c r="G207" s="26"/>
      <c r="H207" s="27"/>
      <c r="I207" s="28"/>
      <c r="J207" s="28"/>
      <c r="K207" s="28"/>
      <c r="L207" s="28"/>
      <c r="M207" s="28"/>
      <c r="N207" s="28"/>
      <c r="O207" s="28"/>
      <c r="P207" s="42"/>
      <c r="Q207" s="29"/>
      <c r="R207" s="29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14"/>
    </row>
    <row r="208" spans="1:29" x14ac:dyDescent="0.2">
      <c r="A208" s="12"/>
      <c r="B208" s="22"/>
      <c r="C208" s="23"/>
      <c r="D208" s="23"/>
      <c r="E208" s="24"/>
      <c r="F208" s="25"/>
      <c r="G208" s="26"/>
      <c r="H208" s="27"/>
      <c r="I208" s="28"/>
      <c r="J208" s="28"/>
      <c r="K208" s="28"/>
      <c r="L208" s="28"/>
      <c r="M208" s="28"/>
      <c r="N208" s="28"/>
      <c r="O208" s="28"/>
      <c r="P208" s="42"/>
      <c r="Q208" s="29"/>
      <c r="R208" s="29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14"/>
    </row>
    <row r="209" spans="1:29" x14ac:dyDescent="0.2">
      <c r="A209" s="12"/>
      <c r="B209" s="22"/>
      <c r="C209" s="23"/>
      <c r="D209" s="23"/>
      <c r="E209" s="24"/>
      <c r="F209" s="25"/>
      <c r="G209" s="26"/>
      <c r="H209" s="27"/>
      <c r="I209" s="28"/>
      <c r="J209" s="28"/>
      <c r="K209" s="28"/>
      <c r="L209" s="28"/>
      <c r="M209" s="28"/>
      <c r="N209" s="28"/>
      <c r="O209" s="28"/>
      <c r="P209" s="42"/>
      <c r="Q209" s="29"/>
      <c r="R209" s="29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14"/>
    </row>
    <row r="210" spans="1:29" x14ac:dyDescent="0.2">
      <c r="A210" s="12"/>
      <c r="B210" s="22"/>
      <c r="C210" s="23"/>
      <c r="D210" s="23"/>
      <c r="E210" s="24"/>
      <c r="F210" s="25"/>
      <c r="G210" s="26"/>
      <c r="H210" s="27"/>
      <c r="I210" s="28"/>
      <c r="J210" s="28"/>
      <c r="K210" s="28"/>
      <c r="L210" s="28"/>
      <c r="M210" s="28"/>
      <c r="N210" s="28"/>
      <c r="O210" s="28"/>
      <c r="P210" s="42"/>
      <c r="Q210" s="29"/>
      <c r="R210" s="29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14"/>
    </row>
    <row r="211" spans="1:29" x14ac:dyDescent="0.2">
      <c r="A211" s="12"/>
      <c r="B211" s="22"/>
      <c r="C211" s="23"/>
      <c r="D211" s="23"/>
      <c r="E211" s="24"/>
      <c r="F211" s="25"/>
      <c r="G211" s="26"/>
      <c r="H211" s="27"/>
      <c r="I211" s="28"/>
      <c r="J211" s="28"/>
      <c r="K211" s="28"/>
      <c r="L211" s="28"/>
      <c r="M211" s="28"/>
      <c r="N211" s="28"/>
      <c r="O211" s="28"/>
      <c r="P211" s="42"/>
      <c r="Q211" s="29"/>
      <c r="R211" s="29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14"/>
    </row>
    <row r="212" spans="1:29" x14ac:dyDescent="0.2">
      <c r="A212" s="12"/>
      <c r="B212" s="22"/>
      <c r="C212" s="23"/>
      <c r="D212" s="23"/>
      <c r="E212" s="24"/>
      <c r="F212" s="25"/>
      <c r="G212" s="26"/>
      <c r="H212" s="27"/>
      <c r="I212" s="28"/>
      <c r="J212" s="28"/>
      <c r="K212" s="28"/>
      <c r="L212" s="28"/>
      <c r="M212" s="28"/>
      <c r="N212" s="28"/>
      <c r="O212" s="28"/>
      <c r="P212" s="42"/>
      <c r="Q212" s="29"/>
      <c r="R212" s="29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14"/>
    </row>
    <row r="213" spans="1:29" x14ac:dyDescent="0.2">
      <c r="A213" s="12"/>
      <c r="B213" s="22"/>
      <c r="C213" s="23"/>
      <c r="D213" s="23"/>
      <c r="E213" s="24"/>
      <c r="F213" s="25"/>
      <c r="G213" s="26"/>
      <c r="H213" s="27"/>
      <c r="I213" s="28"/>
      <c r="J213" s="28"/>
      <c r="K213" s="28"/>
      <c r="L213" s="28"/>
      <c r="M213" s="28"/>
      <c r="N213" s="28"/>
      <c r="O213" s="28"/>
      <c r="P213" s="42"/>
      <c r="Q213" s="29"/>
      <c r="R213" s="29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14"/>
    </row>
    <row r="214" spans="1:29" x14ac:dyDescent="0.2">
      <c r="A214" s="12"/>
      <c r="B214" s="22"/>
      <c r="C214" s="23"/>
      <c r="D214" s="23"/>
      <c r="E214" s="24"/>
      <c r="F214" s="25"/>
      <c r="G214" s="26"/>
      <c r="H214" s="27"/>
      <c r="I214" s="28"/>
      <c r="J214" s="28"/>
      <c r="K214" s="28"/>
      <c r="L214" s="28"/>
      <c r="M214" s="28"/>
      <c r="N214" s="28"/>
      <c r="O214" s="28"/>
      <c r="P214" s="42"/>
      <c r="Q214" s="29"/>
      <c r="R214" s="29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14"/>
    </row>
    <row r="215" spans="1:29" x14ac:dyDescent="0.2">
      <c r="A215" s="12"/>
      <c r="B215" s="22"/>
      <c r="C215" s="23"/>
      <c r="D215" s="23"/>
      <c r="E215" s="24"/>
      <c r="F215" s="25"/>
      <c r="G215" s="26"/>
      <c r="H215" s="27"/>
      <c r="I215" s="28"/>
      <c r="J215" s="28"/>
      <c r="K215" s="28"/>
      <c r="L215" s="28"/>
      <c r="M215" s="28"/>
      <c r="N215" s="28"/>
      <c r="O215" s="28"/>
      <c r="P215" s="42"/>
      <c r="Q215" s="29"/>
      <c r="R215" s="29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14"/>
    </row>
    <row r="216" spans="1:29" x14ac:dyDescent="0.2">
      <c r="A216" s="12"/>
      <c r="B216" s="22"/>
      <c r="C216" s="23"/>
      <c r="D216" s="23"/>
      <c r="E216" s="24"/>
      <c r="F216" s="25"/>
      <c r="G216" s="26"/>
      <c r="H216" s="27"/>
      <c r="I216" s="28"/>
      <c r="J216" s="28"/>
      <c r="K216" s="28"/>
      <c r="L216" s="28"/>
      <c r="M216" s="28"/>
      <c r="N216" s="28"/>
      <c r="O216" s="28"/>
      <c r="P216" s="42"/>
      <c r="Q216" s="29"/>
      <c r="R216" s="29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14"/>
    </row>
    <row r="217" spans="1:29" x14ac:dyDescent="0.2">
      <c r="A217" s="12"/>
      <c r="B217" s="22"/>
      <c r="C217" s="23"/>
      <c r="D217" s="23"/>
      <c r="E217" s="24"/>
      <c r="F217" s="25"/>
      <c r="G217" s="26"/>
      <c r="H217" s="27"/>
      <c r="I217" s="28"/>
      <c r="J217" s="28"/>
      <c r="K217" s="28"/>
      <c r="L217" s="28"/>
      <c r="M217" s="28"/>
      <c r="N217" s="28"/>
      <c r="O217" s="28"/>
      <c r="P217" s="42"/>
      <c r="Q217" s="29"/>
      <c r="R217" s="29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14"/>
    </row>
    <row r="218" spans="1:29" x14ac:dyDescent="0.2">
      <c r="A218" s="12"/>
      <c r="B218" s="22"/>
      <c r="C218" s="23"/>
      <c r="D218" s="23"/>
      <c r="E218" s="24"/>
      <c r="F218" s="25"/>
      <c r="G218" s="26"/>
      <c r="H218" s="27"/>
      <c r="I218" s="28"/>
      <c r="J218" s="28"/>
      <c r="K218" s="28"/>
      <c r="L218" s="28"/>
      <c r="M218" s="28"/>
      <c r="N218" s="28"/>
      <c r="O218" s="28"/>
      <c r="P218" s="42"/>
      <c r="Q218" s="29"/>
      <c r="R218" s="29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14"/>
    </row>
    <row r="219" spans="1:29" x14ac:dyDescent="0.2">
      <c r="A219" s="12"/>
      <c r="B219" s="22"/>
      <c r="C219" s="23"/>
      <c r="D219" s="23"/>
      <c r="E219" s="24"/>
      <c r="F219" s="25"/>
      <c r="G219" s="26"/>
      <c r="H219" s="27"/>
      <c r="I219" s="28"/>
      <c r="J219" s="28"/>
      <c r="K219" s="28"/>
      <c r="L219" s="28"/>
      <c r="M219" s="28"/>
      <c r="N219" s="28"/>
      <c r="O219" s="28"/>
      <c r="P219" s="42"/>
      <c r="Q219" s="29"/>
      <c r="R219" s="29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14"/>
    </row>
    <row r="220" spans="1:29" x14ac:dyDescent="0.2">
      <c r="A220" s="12"/>
      <c r="B220" s="22"/>
      <c r="C220" s="23"/>
      <c r="D220" s="23"/>
      <c r="E220" s="24"/>
      <c r="F220" s="25"/>
      <c r="G220" s="26"/>
      <c r="H220" s="27"/>
      <c r="I220" s="28"/>
      <c r="J220" s="28"/>
      <c r="K220" s="28"/>
      <c r="L220" s="28"/>
      <c r="M220" s="28"/>
      <c r="N220" s="28"/>
      <c r="O220" s="28"/>
      <c r="P220" s="42"/>
      <c r="Q220" s="29"/>
      <c r="R220" s="29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14"/>
    </row>
    <row r="221" spans="1:29" x14ac:dyDescent="0.2">
      <c r="A221" s="12"/>
      <c r="B221" s="22"/>
      <c r="C221" s="23"/>
      <c r="D221" s="23"/>
      <c r="E221" s="24"/>
      <c r="F221" s="25"/>
      <c r="G221" s="26"/>
      <c r="H221" s="27"/>
      <c r="I221" s="28"/>
      <c r="J221" s="28"/>
      <c r="K221" s="28"/>
      <c r="L221" s="28"/>
      <c r="M221" s="28"/>
      <c r="N221" s="28"/>
      <c r="O221" s="28"/>
      <c r="P221" s="42"/>
      <c r="Q221" s="29"/>
      <c r="R221" s="29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14"/>
    </row>
    <row r="222" spans="1:29" x14ac:dyDescent="0.2">
      <c r="A222" s="12"/>
      <c r="B222" s="22"/>
      <c r="C222" s="23"/>
      <c r="D222" s="23"/>
      <c r="E222" s="24"/>
      <c r="F222" s="25"/>
      <c r="G222" s="26"/>
      <c r="H222" s="27"/>
      <c r="I222" s="28"/>
      <c r="J222" s="28"/>
      <c r="K222" s="28"/>
      <c r="L222" s="28"/>
      <c r="M222" s="28"/>
      <c r="N222" s="28"/>
      <c r="O222" s="28"/>
      <c r="P222" s="42"/>
      <c r="Q222" s="29"/>
      <c r="R222" s="29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14"/>
    </row>
    <row r="223" spans="1:29" x14ac:dyDescent="0.2">
      <c r="A223" s="12"/>
      <c r="B223" s="22"/>
      <c r="C223" s="23"/>
      <c r="D223" s="23"/>
      <c r="E223" s="24"/>
      <c r="F223" s="25"/>
      <c r="G223" s="26"/>
      <c r="H223" s="27"/>
      <c r="I223" s="28"/>
      <c r="J223" s="28"/>
      <c r="K223" s="28"/>
      <c r="L223" s="28"/>
      <c r="M223" s="28"/>
      <c r="N223" s="28"/>
      <c r="O223" s="28"/>
      <c r="P223" s="42"/>
      <c r="Q223" s="29"/>
      <c r="R223" s="29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14"/>
    </row>
    <row r="224" spans="1:29" x14ac:dyDescent="0.2">
      <c r="A224" s="12"/>
      <c r="B224" s="22"/>
      <c r="C224" s="23"/>
      <c r="D224" s="23"/>
      <c r="E224" s="24"/>
      <c r="F224" s="25"/>
      <c r="G224" s="26"/>
      <c r="H224" s="27"/>
      <c r="I224" s="28"/>
      <c r="J224" s="28"/>
      <c r="K224" s="28"/>
      <c r="L224" s="28"/>
      <c r="M224" s="28"/>
      <c r="N224" s="28"/>
      <c r="O224" s="28"/>
      <c r="P224" s="42"/>
      <c r="Q224" s="29"/>
      <c r="R224" s="29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14"/>
    </row>
    <row r="225" spans="1:29" x14ac:dyDescent="0.2">
      <c r="A225" s="12"/>
      <c r="B225" s="22"/>
      <c r="C225" s="23"/>
      <c r="D225" s="23"/>
      <c r="E225" s="24"/>
      <c r="F225" s="25"/>
      <c r="G225" s="26"/>
      <c r="H225" s="27"/>
      <c r="I225" s="28"/>
      <c r="J225" s="28"/>
      <c r="K225" s="28"/>
      <c r="L225" s="28"/>
      <c r="M225" s="28"/>
      <c r="N225" s="28"/>
      <c r="O225" s="28"/>
      <c r="P225" s="42"/>
      <c r="Q225" s="29"/>
      <c r="R225" s="29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14"/>
    </row>
    <row r="226" spans="1:29" x14ac:dyDescent="0.2">
      <c r="A226" s="12"/>
      <c r="B226" s="22"/>
      <c r="C226" s="23"/>
      <c r="D226" s="23"/>
      <c r="E226" s="24"/>
      <c r="F226" s="25"/>
      <c r="G226" s="26"/>
      <c r="H226" s="27"/>
      <c r="I226" s="28"/>
      <c r="J226" s="28"/>
      <c r="K226" s="28"/>
      <c r="L226" s="28"/>
      <c r="M226" s="28"/>
      <c r="N226" s="28"/>
      <c r="O226" s="28"/>
      <c r="P226" s="42"/>
      <c r="Q226" s="29"/>
      <c r="R226" s="29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14"/>
    </row>
    <row r="227" spans="1:29" x14ac:dyDescent="0.2">
      <c r="A227" s="12"/>
      <c r="B227" s="22"/>
      <c r="C227" s="23"/>
      <c r="D227" s="23"/>
      <c r="E227" s="24"/>
      <c r="F227" s="25"/>
      <c r="G227" s="26"/>
      <c r="H227" s="27"/>
      <c r="I227" s="28"/>
      <c r="J227" s="28"/>
      <c r="K227" s="28"/>
      <c r="L227" s="28"/>
      <c r="M227" s="28"/>
      <c r="N227" s="28"/>
      <c r="O227" s="28"/>
      <c r="P227" s="42"/>
      <c r="Q227" s="29"/>
      <c r="R227" s="29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14"/>
    </row>
    <row r="228" spans="1:29" x14ac:dyDescent="0.2">
      <c r="A228" s="12"/>
      <c r="B228" s="22"/>
      <c r="C228" s="23"/>
      <c r="D228" s="23"/>
      <c r="E228" s="24"/>
      <c r="F228" s="25"/>
      <c r="G228" s="26"/>
      <c r="H228" s="27"/>
      <c r="I228" s="28"/>
      <c r="J228" s="28"/>
      <c r="K228" s="28"/>
      <c r="L228" s="28"/>
      <c r="M228" s="28"/>
      <c r="N228" s="28"/>
      <c r="O228" s="28"/>
      <c r="P228" s="42"/>
      <c r="Q228" s="29"/>
      <c r="R228" s="29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14"/>
    </row>
    <row r="229" spans="1:29" x14ac:dyDescent="0.2">
      <c r="A229" s="12"/>
      <c r="B229" s="22"/>
      <c r="C229" s="23"/>
      <c r="D229" s="23"/>
      <c r="E229" s="24"/>
      <c r="F229" s="25"/>
      <c r="G229" s="26"/>
      <c r="H229" s="27"/>
      <c r="I229" s="28"/>
      <c r="J229" s="28"/>
      <c r="K229" s="28"/>
      <c r="L229" s="28"/>
      <c r="M229" s="28"/>
      <c r="N229" s="28"/>
      <c r="O229" s="28"/>
      <c r="P229" s="42"/>
      <c r="Q229" s="29"/>
      <c r="R229" s="29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14"/>
    </row>
    <row r="230" spans="1:29" x14ac:dyDescent="0.2">
      <c r="A230" s="12"/>
      <c r="B230" s="22"/>
      <c r="C230" s="23"/>
      <c r="D230" s="23"/>
      <c r="E230" s="24"/>
      <c r="F230" s="25"/>
      <c r="G230" s="26"/>
      <c r="H230" s="27"/>
      <c r="I230" s="28"/>
      <c r="J230" s="28"/>
      <c r="K230" s="28"/>
      <c r="L230" s="28"/>
      <c r="M230" s="28"/>
      <c r="N230" s="28"/>
      <c r="O230" s="28"/>
      <c r="P230" s="42"/>
      <c r="Q230" s="29"/>
      <c r="R230" s="29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14"/>
    </row>
    <row r="231" spans="1:29" x14ac:dyDescent="0.2">
      <c r="A231" s="12"/>
      <c r="B231" s="22"/>
      <c r="C231" s="23"/>
      <c r="D231" s="23"/>
      <c r="E231" s="24"/>
      <c r="F231" s="25"/>
      <c r="G231" s="26"/>
      <c r="H231" s="27"/>
      <c r="I231" s="28"/>
      <c r="J231" s="28"/>
      <c r="K231" s="28"/>
      <c r="L231" s="28"/>
      <c r="M231" s="28"/>
      <c r="N231" s="28"/>
      <c r="O231" s="28"/>
      <c r="P231" s="42"/>
      <c r="Q231" s="29"/>
      <c r="R231" s="29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14"/>
    </row>
    <row r="232" spans="1:29" x14ac:dyDescent="0.2">
      <c r="A232" s="12"/>
      <c r="B232" s="22"/>
      <c r="C232" s="23"/>
      <c r="D232" s="23"/>
      <c r="E232" s="24"/>
      <c r="F232" s="25"/>
      <c r="G232" s="26"/>
      <c r="H232" s="27"/>
      <c r="I232" s="28"/>
      <c r="J232" s="28"/>
      <c r="K232" s="28"/>
      <c r="L232" s="28"/>
      <c r="M232" s="28"/>
      <c r="N232" s="28"/>
      <c r="O232" s="28"/>
      <c r="P232" s="42"/>
      <c r="Q232" s="29"/>
      <c r="R232" s="29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14"/>
    </row>
    <row r="233" spans="1:29" x14ac:dyDescent="0.2">
      <c r="A233" s="12"/>
      <c r="B233" s="22"/>
      <c r="C233" s="23"/>
      <c r="D233" s="23"/>
      <c r="E233" s="24"/>
      <c r="F233" s="25"/>
      <c r="G233" s="26"/>
      <c r="H233" s="27"/>
      <c r="I233" s="28"/>
      <c r="J233" s="28"/>
      <c r="K233" s="28"/>
      <c r="L233" s="28"/>
      <c r="M233" s="28"/>
      <c r="N233" s="28"/>
      <c r="O233" s="28"/>
      <c r="P233" s="42"/>
      <c r="Q233" s="29"/>
      <c r="R233" s="29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14"/>
    </row>
    <row r="234" spans="1:29" x14ac:dyDescent="0.2">
      <c r="A234" s="12"/>
      <c r="B234" s="22"/>
      <c r="C234" s="23"/>
      <c r="D234" s="23"/>
      <c r="E234" s="24"/>
      <c r="F234" s="25"/>
      <c r="G234" s="26"/>
      <c r="H234" s="27"/>
      <c r="I234" s="28"/>
      <c r="J234" s="28"/>
      <c r="K234" s="28"/>
      <c r="L234" s="28"/>
      <c r="M234" s="28"/>
      <c r="N234" s="28"/>
      <c r="O234" s="28"/>
      <c r="P234" s="42"/>
      <c r="Q234" s="29"/>
      <c r="R234" s="29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14"/>
    </row>
    <row r="235" spans="1:29" x14ac:dyDescent="0.2">
      <c r="A235" s="12"/>
      <c r="B235" s="22"/>
      <c r="C235" s="23"/>
      <c r="D235" s="23"/>
      <c r="E235" s="24"/>
      <c r="F235" s="25"/>
      <c r="G235" s="26"/>
      <c r="H235" s="27"/>
      <c r="I235" s="28"/>
      <c r="J235" s="28"/>
      <c r="K235" s="28"/>
      <c r="L235" s="28"/>
      <c r="M235" s="28"/>
      <c r="N235" s="28"/>
      <c r="O235" s="28"/>
      <c r="P235" s="42"/>
      <c r="Q235" s="29"/>
      <c r="R235" s="29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14"/>
    </row>
    <row r="236" spans="1:29" x14ac:dyDescent="0.2">
      <c r="A236" s="12"/>
      <c r="B236" s="22"/>
      <c r="C236" s="23"/>
      <c r="D236" s="23"/>
      <c r="E236" s="24"/>
      <c r="F236" s="25"/>
      <c r="G236" s="26"/>
      <c r="H236" s="27"/>
      <c r="I236" s="28"/>
      <c r="J236" s="28"/>
      <c r="K236" s="28"/>
      <c r="L236" s="28"/>
      <c r="M236" s="28"/>
      <c r="N236" s="28"/>
      <c r="O236" s="28"/>
      <c r="P236" s="42"/>
      <c r="Q236" s="29"/>
      <c r="R236" s="29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14"/>
    </row>
    <row r="237" spans="1:29" x14ac:dyDescent="0.2">
      <c r="A237" s="12"/>
      <c r="B237" s="22"/>
      <c r="C237" s="23"/>
      <c r="D237" s="23"/>
      <c r="E237" s="24"/>
      <c r="F237" s="25"/>
      <c r="G237" s="26"/>
      <c r="H237" s="27"/>
      <c r="I237" s="28"/>
      <c r="J237" s="28"/>
      <c r="K237" s="28"/>
      <c r="L237" s="28"/>
      <c r="M237" s="28"/>
      <c r="N237" s="28"/>
      <c r="O237" s="28"/>
      <c r="P237" s="42"/>
      <c r="Q237" s="29"/>
      <c r="R237" s="29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14"/>
    </row>
    <row r="238" spans="1:29" x14ac:dyDescent="0.2">
      <c r="A238" s="12"/>
      <c r="B238" s="22"/>
      <c r="C238" s="23"/>
      <c r="D238" s="23"/>
      <c r="E238" s="24"/>
      <c r="F238" s="25"/>
      <c r="G238" s="26"/>
      <c r="H238" s="27"/>
      <c r="I238" s="28"/>
      <c r="J238" s="28"/>
      <c r="K238" s="28"/>
      <c r="L238" s="28"/>
      <c r="M238" s="28"/>
      <c r="N238" s="28"/>
      <c r="O238" s="28"/>
      <c r="P238" s="42"/>
      <c r="Q238" s="29"/>
      <c r="R238" s="29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14"/>
    </row>
    <row r="239" spans="1:29" x14ac:dyDescent="0.2">
      <c r="A239" s="12"/>
      <c r="B239" s="22"/>
      <c r="C239" s="23"/>
      <c r="D239" s="23"/>
      <c r="E239" s="24"/>
      <c r="F239" s="25"/>
      <c r="G239" s="26"/>
      <c r="H239" s="27"/>
      <c r="I239" s="28"/>
      <c r="J239" s="28"/>
      <c r="K239" s="28"/>
      <c r="L239" s="28"/>
      <c r="M239" s="28"/>
      <c r="N239" s="28"/>
      <c r="O239" s="28"/>
      <c r="P239" s="42"/>
      <c r="Q239" s="29"/>
      <c r="R239" s="29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14"/>
    </row>
    <row r="240" spans="1:29" x14ac:dyDescent="0.2">
      <c r="A240" s="12"/>
      <c r="B240" s="22"/>
      <c r="C240" s="23"/>
      <c r="D240" s="23"/>
      <c r="E240" s="24"/>
      <c r="F240" s="25"/>
      <c r="G240" s="26"/>
      <c r="H240" s="27"/>
      <c r="I240" s="28"/>
      <c r="J240" s="28"/>
      <c r="K240" s="28"/>
      <c r="L240" s="28"/>
      <c r="M240" s="28"/>
      <c r="N240" s="28"/>
      <c r="O240" s="28"/>
      <c r="P240" s="42"/>
      <c r="Q240" s="29"/>
      <c r="R240" s="29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14"/>
    </row>
    <row r="241" spans="1:29" x14ac:dyDescent="0.2">
      <c r="A241" s="12"/>
      <c r="B241" s="22"/>
      <c r="C241" s="23"/>
      <c r="D241" s="23"/>
      <c r="E241" s="24"/>
      <c r="F241" s="25"/>
      <c r="G241" s="26"/>
      <c r="H241" s="27"/>
      <c r="I241" s="28"/>
      <c r="J241" s="28"/>
      <c r="K241" s="28"/>
      <c r="L241" s="28"/>
      <c r="M241" s="28"/>
      <c r="N241" s="28"/>
      <c r="O241" s="28"/>
      <c r="P241" s="42"/>
      <c r="Q241" s="29"/>
      <c r="R241" s="29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14"/>
    </row>
    <row r="242" spans="1:29" x14ac:dyDescent="0.2">
      <c r="A242" s="12"/>
      <c r="B242" s="22"/>
      <c r="C242" s="23"/>
      <c r="D242" s="23"/>
      <c r="E242" s="24"/>
      <c r="F242" s="25"/>
      <c r="G242" s="26"/>
      <c r="H242" s="27"/>
      <c r="I242" s="28"/>
      <c r="J242" s="28"/>
      <c r="K242" s="28"/>
      <c r="L242" s="28"/>
      <c r="M242" s="28"/>
      <c r="N242" s="28"/>
      <c r="O242" s="28"/>
      <c r="P242" s="42"/>
      <c r="Q242" s="29"/>
      <c r="R242" s="29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14"/>
    </row>
    <row r="243" spans="1:29" x14ac:dyDescent="0.2">
      <c r="A243" s="12"/>
      <c r="B243" s="22"/>
      <c r="C243" s="23"/>
      <c r="D243" s="23"/>
      <c r="E243" s="24"/>
      <c r="F243" s="25"/>
      <c r="G243" s="26"/>
      <c r="H243" s="27"/>
      <c r="I243" s="28"/>
      <c r="J243" s="28"/>
      <c r="K243" s="28"/>
      <c r="L243" s="28"/>
      <c r="M243" s="28"/>
      <c r="N243" s="28"/>
      <c r="O243" s="28"/>
      <c r="P243" s="42"/>
      <c r="Q243" s="29"/>
      <c r="R243" s="29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14"/>
    </row>
    <row r="244" spans="1:29" x14ac:dyDescent="0.2">
      <c r="A244" s="12"/>
      <c r="B244" s="22"/>
      <c r="C244" s="23"/>
      <c r="D244" s="23"/>
      <c r="E244" s="24"/>
      <c r="F244" s="25"/>
      <c r="G244" s="26"/>
      <c r="H244" s="27"/>
      <c r="I244" s="28"/>
      <c r="J244" s="28"/>
      <c r="K244" s="28"/>
      <c r="L244" s="28"/>
      <c r="M244" s="28"/>
      <c r="N244" s="28"/>
      <c r="O244" s="28"/>
      <c r="P244" s="42"/>
      <c r="Q244" s="29"/>
      <c r="R244" s="29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14"/>
    </row>
    <row r="245" spans="1:29" x14ac:dyDescent="0.2">
      <c r="A245" s="12"/>
      <c r="B245" s="22"/>
      <c r="C245" s="23"/>
      <c r="D245" s="23"/>
      <c r="E245" s="24"/>
      <c r="F245" s="25"/>
      <c r="G245" s="26"/>
      <c r="H245" s="27"/>
      <c r="I245" s="28"/>
      <c r="J245" s="28"/>
      <c r="K245" s="28"/>
      <c r="L245" s="28"/>
      <c r="M245" s="28"/>
      <c r="N245" s="28"/>
      <c r="O245" s="28"/>
      <c r="P245" s="42"/>
      <c r="Q245" s="29"/>
      <c r="R245" s="29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14"/>
    </row>
    <row r="246" spans="1:29" x14ac:dyDescent="0.2">
      <c r="A246" s="12"/>
      <c r="B246" s="22"/>
      <c r="C246" s="23"/>
      <c r="D246" s="23"/>
      <c r="E246" s="24"/>
      <c r="F246" s="25"/>
      <c r="G246" s="26"/>
      <c r="H246" s="27"/>
      <c r="I246" s="28"/>
      <c r="J246" s="28"/>
      <c r="K246" s="28"/>
      <c r="L246" s="28"/>
      <c r="M246" s="28"/>
      <c r="N246" s="28"/>
      <c r="O246" s="28"/>
      <c r="P246" s="42"/>
      <c r="Q246" s="29"/>
      <c r="R246" s="29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14"/>
    </row>
    <row r="247" spans="1:29" x14ac:dyDescent="0.2">
      <c r="A247" s="12"/>
      <c r="B247" s="22"/>
      <c r="C247" s="23"/>
      <c r="D247" s="23"/>
      <c r="E247" s="24"/>
      <c r="F247" s="25"/>
      <c r="G247" s="26"/>
      <c r="H247" s="27"/>
      <c r="I247" s="28"/>
      <c r="J247" s="28"/>
      <c r="K247" s="28"/>
      <c r="L247" s="28"/>
      <c r="M247" s="28"/>
      <c r="N247" s="28"/>
      <c r="O247" s="28"/>
      <c r="P247" s="42"/>
      <c r="Q247" s="29"/>
      <c r="R247" s="29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14"/>
    </row>
    <row r="248" spans="1:29" x14ac:dyDescent="0.2">
      <c r="A248" s="12"/>
      <c r="B248" s="22"/>
      <c r="C248" s="23"/>
      <c r="D248" s="23"/>
      <c r="E248" s="24"/>
      <c r="F248" s="25"/>
      <c r="G248" s="26"/>
      <c r="H248" s="27"/>
      <c r="I248" s="28"/>
      <c r="J248" s="28"/>
      <c r="K248" s="28"/>
      <c r="L248" s="28"/>
      <c r="M248" s="28"/>
      <c r="N248" s="28"/>
      <c r="O248" s="28"/>
      <c r="P248" s="42"/>
      <c r="Q248" s="29"/>
      <c r="R248" s="29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14"/>
    </row>
    <row r="249" spans="1:29" x14ac:dyDescent="0.2">
      <c r="A249" s="12"/>
      <c r="B249" s="22"/>
      <c r="C249" s="23"/>
      <c r="D249" s="23"/>
      <c r="E249" s="24"/>
      <c r="F249" s="25"/>
      <c r="G249" s="26"/>
      <c r="H249" s="27"/>
      <c r="I249" s="28"/>
      <c r="J249" s="28"/>
      <c r="K249" s="28"/>
      <c r="L249" s="28"/>
      <c r="M249" s="28"/>
      <c r="N249" s="28"/>
      <c r="O249" s="28"/>
      <c r="P249" s="42"/>
      <c r="Q249" s="29"/>
      <c r="R249" s="29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14"/>
    </row>
    <row r="250" spans="1:29" x14ac:dyDescent="0.2">
      <c r="A250" s="12"/>
      <c r="B250" s="22"/>
      <c r="C250" s="23"/>
      <c r="D250" s="23"/>
      <c r="E250" s="24"/>
      <c r="F250" s="25"/>
      <c r="G250" s="26"/>
      <c r="H250" s="27"/>
      <c r="I250" s="28"/>
      <c r="J250" s="28"/>
      <c r="K250" s="28"/>
      <c r="L250" s="28"/>
      <c r="M250" s="28"/>
      <c r="N250" s="28"/>
      <c r="O250" s="28"/>
      <c r="P250" s="42"/>
      <c r="Q250" s="29"/>
      <c r="R250" s="29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14"/>
    </row>
    <row r="251" spans="1:29" x14ac:dyDescent="0.2">
      <c r="A251" s="12"/>
      <c r="B251" s="22"/>
      <c r="C251" s="23"/>
      <c r="D251" s="23"/>
      <c r="E251" s="24"/>
      <c r="F251" s="25"/>
      <c r="G251" s="26"/>
      <c r="H251" s="27"/>
      <c r="I251" s="28"/>
      <c r="J251" s="28"/>
      <c r="K251" s="28"/>
      <c r="L251" s="28"/>
      <c r="M251" s="28"/>
      <c r="N251" s="28"/>
      <c r="O251" s="28"/>
      <c r="P251" s="42"/>
      <c r="Q251" s="29"/>
      <c r="R251" s="29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14"/>
    </row>
    <row r="252" spans="1:29" x14ac:dyDescent="0.2">
      <c r="A252" s="12"/>
      <c r="B252" s="22"/>
      <c r="C252" s="23"/>
      <c r="D252" s="23"/>
      <c r="E252" s="24"/>
      <c r="F252" s="25"/>
      <c r="G252" s="26"/>
      <c r="H252" s="27"/>
      <c r="I252" s="28"/>
      <c r="J252" s="28"/>
      <c r="K252" s="28"/>
      <c r="L252" s="28"/>
      <c r="M252" s="28"/>
      <c r="N252" s="28"/>
      <c r="O252" s="28"/>
      <c r="P252" s="42"/>
      <c r="Q252" s="29"/>
      <c r="R252" s="29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14"/>
    </row>
    <row r="253" spans="1:29" x14ac:dyDescent="0.2">
      <c r="A253" s="12"/>
      <c r="B253" s="22"/>
      <c r="C253" s="23"/>
      <c r="D253" s="23"/>
      <c r="E253" s="24"/>
      <c r="F253" s="25"/>
      <c r="G253" s="26"/>
      <c r="H253" s="27"/>
      <c r="I253" s="28"/>
      <c r="J253" s="28"/>
      <c r="K253" s="28"/>
      <c r="L253" s="28"/>
      <c r="M253" s="28"/>
      <c r="N253" s="28"/>
      <c r="O253" s="28"/>
      <c r="P253" s="42"/>
      <c r="Q253" s="29"/>
      <c r="R253" s="29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14"/>
    </row>
    <row r="254" spans="1:29" x14ac:dyDescent="0.2">
      <c r="A254" s="12"/>
      <c r="B254" s="22"/>
      <c r="C254" s="23"/>
      <c r="D254" s="23"/>
      <c r="E254" s="24"/>
      <c r="F254" s="25"/>
      <c r="G254" s="26"/>
      <c r="H254" s="27"/>
      <c r="I254" s="28"/>
      <c r="J254" s="28"/>
      <c r="K254" s="28"/>
      <c r="L254" s="28"/>
      <c r="M254" s="28"/>
      <c r="N254" s="28"/>
      <c r="O254" s="28"/>
      <c r="P254" s="42"/>
      <c r="Q254" s="29"/>
      <c r="R254" s="29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14"/>
    </row>
    <row r="255" spans="1:29" x14ac:dyDescent="0.2">
      <c r="A255" s="12"/>
      <c r="B255" s="22"/>
      <c r="C255" s="23"/>
      <c r="D255" s="23"/>
      <c r="E255" s="24"/>
      <c r="F255" s="25"/>
      <c r="G255" s="26"/>
      <c r="H255" s="27"/>
      <c r="I255" s="28"/>
      <c r="J255" s="28"/>
      <c r="K255" s="28"/>
      <c r="L255" s="28"/>
      <c r="M255" s="28"/>
      <c r="N255" s="28"/>
      <c r="O255" s="28"/>
      <c r="P255" s="42"/>
      <c r="Q255" s="29"/>
      <c r="R255" s="29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14"/>
    </row>
    <row r="256" spans="1:29" x14ac:dyDescent="0.2">
      <c r="A256" s="12"/>
      <c r="B256" s="22"/>
      <c r="C256" s="23"/>
      <c r="D256" s="23"/>
      <c r="E256" s="24"/>
      <c r="F256" s="25"/>
      <c r="G256" s="26"/>
      <c r="H256" s="27"/>
      <c r="I256" s="28"/>
      <c r="J256" s="28"/>
      <c r="K256" s="28"/>
      <c r="L256" s="28"/>
      <c r="M256" s="28"/>
      <c r="N256" s="28"/>
      <c r="O256" s="28"/>
      <c r="P256" s="42"/>
      <c r="Q256" s="29"/>
      <c r="R256" s="29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14"/>
    </row>
    <row r="257" spans="1:29" x14ac:dyDescent="0.2">
      <c r="A257" s="12"/>
      <c r="B257" s="22"/>
      <c r="C257" s="23"/>
      <c r="D257" s="23"/>
      <c r="E257" s="24"/>
      <c r="F257" s="25"/>
      <c r="G257" s="26"/>
      <c r="H257" s="27"/>
      <c r="I257" s="28"/>
      <c r="J257" s="28"/>
      <c r="K257" s="28"/>
      <c r="L257" s="28"/>
      <c r="M257" s="28"/>
      <c r="N257" s="28"/>
      <c r="O257" s="28"/>
      <c r="P257" s="42"/>
      <c r="Q257" s="29"/>
      <c r="R257" s="29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14"/>
    </row>
    <row r="258" spans="1:29" x14ac:dyDescent="0.2">
      <c r="A258" s="12"/>
      <c r="B258" s="22"/>
      <c r="C258" s="23"/>
      <c r="D258" s="23"/>
      <c r="E258" s="24"/>
      <c r="F258" s="25"/>
      <c r="G258" s="26"/>
      <c r="H258" s="27"/>
      <c r="I258" s="28"/>
      <c r="J258" s="28"/>
      <c r="K258" s="28"/>
      <c r="L258" s="28"/>
      <c r="M258" s="28"/>
      <c r="N258" s="28"/>
      <c r="O258" s="28"/>
      <c r="P258" s="42"/>
      <c r="Q258" s="29"/>
      <c r="R258" s="29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14"/>
    </row>
    <row r="259" spans="1:29" x14ac:dyDescent="0.2">
      <c r="A259" s="12"/>
      <c r="B259" s="22"/>
      <c r="C259" s="23"/>
      <c r="D259" s="23"/>
      <c r="E259" s="24"/>
      <c r="F259" s="25"/>
      <c r="G259" s="26"/>
      <c r="H259" s="27"/>
      <c r="I259" s="28"/>
      <c r="J259" s="28"/>
      <c r="K259" s="28"/>
      <c r="L259" s="28"/>
      <c r="M259" s="28"/>
      <c r="N259" s="28"/>
      <c r="O259" s="28"/>
      <c r="P259" s="42"/>
      <c r="Q259" s="29"/>
      <c r="R259" s="29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14"/>
    </row>
    <row r="260" spans="1:29" x14ac:dyDescent="0.2">
      <c r="A260" s="12"/>
      <c r="B260" s="22"/>
      <c r="C260" s="23"/>
      <c r="D260" s="23"/>
      <c r="E260" s="24"/>
      <c r="F260" s="25"/>
      <c r="G260" s="26"/>
      <c r="H260" s="27"/>
      <c r="I260" s="28"/>
      <c r="J260" s="28"/>
      <c r="K260" s="28"/>
      <c r="L260" s="28"/>
      <c r="M260" s="28"/>
      <c r="N260" s="28"/>
      <c r="O260" s="28"/>
      <c r="P260" s="42"/>
      <c r="Q260" s="29"/>
      <c r="R260" s="29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14"/>
    </row>
    <row r="261" spans="1:29" x14ac:dyDescent="0.2">
      <c r="A261" s="12"/>
      <c r="B261" s="22"/>
      <c r="C261" s="23"/>
      <c r="D261" s="23"/>
      <c r="E261" s="24"/>
      <c r="F261" s="25"/>
      <c r="G261" s="26"/>
      <c r="H261" s="27"/>
      <c r="I261" s="28"/>
      <c r="J261" s="28"/>
      <c r="K261" s="28"/>
      <c r="L261" s="28"/>
      <c r="M261" s="28"/>
      <c r="N261" s="28"/>
      <c r="O261" s="28"/>
      <c r="P261" s="42"/>
      <c r="Q261" s="29"/>
      <c r="R261" s="29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14"/>
    </row>
    <row r="262" spans="1:29" x14ac:dyDescent="0.2">
      <c r="A262" s="12"/>
      <c r="B262" s="22"/>
      <c r="C262" s="23"/>
      <c r="D262" s="23"/>
      <c r="E262" s="24"/>
      <c r="F262" s="25"/>
      <c r="G262" s="26"/>
      <c r="H262" s="27"/>
      <c r="I262" s="28"/>
      <c r="J262" s="28"/>
      <c r="K262" s="28"/>
      <c r="L262" s="28"/>
      <c r="M262" s="28"/>
      <c r="N262" s="28"/>
      <c r="O262" s="28"/>
      <c r="P262" s="42"/>
      <c r="Q262" s="29"/>
      <c r="R262" s="29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14"/>
    </row>
    <row r="263" spans="1:29" x14ac:dyDescent="0.2">
      <c r="A263" s="12"/>
      <c r="B263" s="22"/>
      <c r="C263" s="23"/>
      <c r="D263" s="23"/>
      <c r="E263" s="24"/>
      <c r="F263" s="25"/>
      <c r="G263" s="26"/>
      <c r="H263" s="27"/>
      <c r="I263" s="28"/>
      <c r="J263" s="28"/>
      <c r="K263" s="28"/>
      <c r="L263" s="28"/>
      <c r="M263" s="28"/>
      <c r="N263" s="28"/>
      <c r="O263" s="28"/>
      <c r="P263" s="42"/>
      <c r="Q263" s="29"/>
      <c r="R263" s="29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14"/>
    </row>
    <row r="264" spans="1:29" x14ac:dyDescent="0.2">
      <c r="A264" s="12"/>
      <c r="B264" s="22"/>
      <c r="C264" s="23"/>
      <c r="D264" s="23"/>
      <c r="E264" s="24"/>
      <c r="F264" s="25"/>
      <c r="G264" s="26"/>
      <c r="H264" s="27"/>
      <c r="I264" s="28"/>
      <c r="J264" s="28"/>
      <c r="K264" s="28"/>
      <c r="L264" s="28"/>
      <c r="M264" s="28"/>
      <c r="N264" s="28"/>
      <c r="O264" s="28"/>
      <c r="P264" s="42"/>
      <c r="Q264" s="29"/>
      <c r="R264" s="29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14"/>
    </row>
    <row r="265" spans="1:29" x14ac:dyDescent="0.2">
      <c r="A265" s="12"/>
      <c r="B265" s="22"/>
      <c r="C265" s="23"/>
      <c r="D265" s="23"/>
      <c r="E265" s="24"/>
      <c r="F265" s="25"/>
      <c r="G265" s="26"/>
      <c r="H265" s="27"/>
      <c r="I265" s="28"/>
      <c r="J265" s="28"/>
      <c r="K265" s="28"/>
      <c r="L265" s="28"/>
      <c r="M265" s="28"/>
      <c r="N265" s="28"/>
      <c r="O265" s="28"/>
      <c r="P265" s="42"/>
      <c r="Q265" s="29"/>
      <c r="R265" s="29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14"/>
    </row>
    <row r="266" spans="1:29" x14ac:dyDescent="0.2">
      <c r="A266" s="12"/>
      <c r="B266" s="22"/>
      <c r="C266" s="23"/>
      <c r="D266" s="23"/>
      <c r="E266" s="24"/>
      <c r="F266" s="25"/>
      <c r="G266" s="26"/>
      <c r="H266" s="27"/>
      <c r="I266" s="28"/>
      <c r="J266" s="28"/>
      <c r="K266" s="28"/>
      <c r="L266" s="28"/>
      <c r="M266" s="28"/>
      <c r="N266" s="28"/>
      <c r="O266" s="28"/>
      <c r="P266" s="42"/>
      <c r="Q266" s="29"/>
      <c r="R266" s="29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14"/>
    </row>
    <row r="267" spans="1:29" x14ac:dyDescent="0.2">
      <c r="A267" s="12"/>
      <c r="B267" s="22"/>
      <c r="C267" s="23"/>
      <c r="D267" s="23"/>
      <c r="E267" s="24"/>
      <c r="F267" s="25"/>
      <c r="G267" s="26"/>
      <c r="H267" s="27"/>
      <c r="I267" s="28"/>
      <c r="J267" s="28"/>
      <c r="K267" s="28"/>
      <c r="L267" s="28"/>
      <c r="M267" s="28"/>
      <c r="N267" s="28"/>
      <c r="O267" s="28"/>
      <c r="P267" s="42"/>
      <c r="Q267" s="29"/>
      <c r="R267" s="29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14"/>
    </row>
    <row r="268" spans="1:29" x14ac:dyDescent="0.2">
      <c r="A268" s="12"/>
      <c r="B268" s="22"/>
      <c r="C268" s="23"/>
      <c r="D268" s="23"/>
      <c r="E268" s="24"/>
      <c r="F268" s="25"/>
      <c r="G268" s="26"/>
      <c r="H268" s="27"/>
      <c r="I268" s="28"/>
      <c r="J268" s="28"/>
      <c r="K268" s="28"/>
      <c r="L268" s="28"/>
      <c r="M268" s="28"/>
      <c r="N268" s="28"/>
      <c r="O268" s="28"/>
      <c r="P268" s="42"/>
      <c r="Q268" s="29"/>
      <c r="R268" s="29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14"/>
    </row>
    <row r="269" spans="1:29" x14ac:dyDescent="0.2">
      <c r="A269" s="12"/>
      <c r="B269" s="22"/>
      <c r="C269" s="23"/>
      <c r="D269" s="23"/>
      <c r="E269" s="24"/>
      <c r="F269" s="25"/>
      <c r="G269" s="26"/>
      <c r="H269" s="27"/>
      <c r="I269" s="28"/>
      <c r="J269" s="28"/>
      <c r="K269" s="28"/>
      <c r="L269" s="28"/>
      <c r="M269" s="28"/>
      <c r="N269" s="28"/>
      <c r="O269" s="28"/>
      <c r="P269" s="42"/>
      <c r="Q269" s="29"/>
      <c r="R269" s="29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14"/>
    </row>
    <row r="270" spans="1:29" x14ac:dyDescent="0.2">
      <c r="A270" s="12"/>
      <c r="B270" s="22"/>
      <c r="C270" s="23"/>
      <c r="D270" s="23"/>
      <c r="E270" s="24"/>
      <c r="F270" s="25"/>
      <c r="G270" s="26"/>
      <c r="H270" s="27"/>
      <c r="I270" s="28"/>
      <c r="J270" s="28"/>
      <c r="K270" s="28"/>
      <c r="L270" s="28"/>
      <c r="M270" s="28"/>
      <c r="N270" s="28"/>
      <c r="O270" s="28"/>
      <c r="P270" s="42"/>
      <c r="Q270" s="29"/>
      <c r="R270" s="29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14"/>
    </row>
    <row r="271" spans="1:29" x14ac:dyDescent="0.2">
      <c r="A271" s="12"/>
      <c r="B271" s="22"/>
      <c r="C271" s="23"/>
      <c r="D271" s="23"/>
      <c r="E271" s="24"/>
      <c r="F271" s="25"/>
      <c r="G271" s="26"/>
      <c r="H271" s="27"/>
      <c r="I271" s="28"/>
      <c r="J271" s="28"/>
      <c r="K271" s="28"/>
      <c r="L271" s="28"/>
      <c r="M271" s="28"/>
      <c r="N271" s="28"/>
      <c r="O271" s="28"/>
      <c r="P271" s="42"/>
      <c r="Q271" s="29"/>
      <c r="R271" s="29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14"/>
    </row>
    <row r="272" spans="1:29" x14ac:dyDescent="0.2">
      <c r="A272" s="12"/>
      <c r="B272" s="22"/>
      <c r="C272" s="23"/>
      <c r="D272" s="23"/>
      <c r="E272" s="24"/>
      <c r="F272" s="25"/>
      <c r="G272" s="26"/>
      <c r="H272" s="27"/>
      <c r="I272" s="28"/>
      <c r="J272" s="28"/>
      <c r="K272" s="28"/>
      <c r="L272" s="28"/>
      <c r="M272" s="28"/>
      <c r="N272" s="28"/>
      <c r="O272" s="28"/>
      <c r="P272" s="42"/>
      <c r="Q272" s="29"/>
      <c r="R272" s="29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14"/>
    </row>
    <row r="273" spans="1:29" x14ac:dyDescent="0.2">
      <c r="A273" s="12"/>
      <c r="B273" s="22"/>
      <c r="C273" s="23"/>
      <c r="D273" s="23"/>
      <c r="E273" s="24"/>
      <c r="F273" s="25"/>
      <c r="G273" s="26"/>
      <c r="H273" s="27"/>
      <c r="I273" s="28"/>
      <c r="J273" s="28"/>
      <c r="K273" s="28"/>
      <c r="L273" s="28"/>
      <c r="M273" s="28"/>
      <c r="N273" s="28"/>
      <c r="O273" s="28"/>
      <c r="P273" s="42"/>
      <c r="Q273" s="29"/>
      <c r="R273" s="29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14"/>
    </row>
    <row r="274" spans="1:29" x14ac:dyDescent="0.2">
      <c r="A274" s="12"/>
      <c r="B274" s="22"/>
      <c r="C274" s="23"/>
      <c r="D274" s="23"/>
      <c r="E274" s="24"/>
      <c r="F274" s="25"/>
      <c r="G274" s="26"/>
      <c r="H274" s="27"/>
      <c r="I274" s="28"/>
      <c r="J274" s="28"/>
      <c r="K274" s="28"/>
      <c r="L274" s="28"/>
      <c r="M274" s="28"/>
      <c r="N274" s="28"/>
      <c r="O274" s="28"/>
      <c r="P274" s="42"/>
      <c r="Q274" s="29"/>
      <c r="R274" s="29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14"/>
    </row>
    <row r="275" spans="1:29" x14ac:dyDescent="0.2">
      <c r="A275" s="12"/>
      <c r="B275" s="22"/>
      <c r="C275" s="23"/>
      <c r="D275" s="23"/>
      <c r="E275" s="24"/>
      <c r="F275" s="25"/>
      <c r="G275" s="26"/>
      <c r="H275" s="27"/>
      <c r="I275" s="28"/>
      <c r="J275" s="28"/>
      <c r="K275" s="28"/>
      <c r="L275" s="28"/>
      <c r="M275" s="28"/>
      <c r="N275" s="28"/>
      <c r="O275" s="28"/>
      <c r="P275" s="42"/>
      <c r="Q275" s="29"/>
      <c r="R275" s="29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14"/>
    </row>
    <row r="276" spans="1:29" x14ac:dyDescent="0.2">
      <c r="A276" s="12"/>
      <c r="B276" s="22"/>
      <c r="C276" s="23"/>
      <c r="D276" s="23"/>
      <c r="E276" s="24"/>
      <c r="F276" s="25"/>
      <c r="G276" s="26"/>
      <c r="H276" s="27"/>
      <c r="I276" s="28"/>
      <c r="J276" s="28"/>
      <c r="K276" s="28"/>
      <c r="L276" s="28"/>
      <c r="M276" s="28"/>
      <c r="N276" s="28"/>
      <c r="O276" s="28"/>
      <c r="P276" s="42"/>
      <c r="Q276" s="29"/>
      <c r="R276" s="29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14"/>
    </row>
    <row r="277" spans="1:29" x14ac:dyDescent="0.2">
      <c r="A277" s="12"/>
      <c r="B277" s="22"/>
      <c r="C277" s="23"/>
      <c r="D277" s="23"/>
      <c r="E277" s="24"/>
      <c r="F277" s="25"/>
      <c r="G277" s="26"/>
      <c r="H277" s="27"/>
      <c r="I277" s="28"/>
      <c r="J277" s="28"/>
      <c r="K277" s="28"/>
      <c r="L277" s="28"/>
      <c r="M277" s="28"/>
      <c r="N277" s="28"/>
      <c r="O277" s="28"/>
      <c r="P277" s="42"/>
      <c r="Q277" s="29"/>
      <c r="R277" s="29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14"/>
    </row>
    <row r="278" spans="1:29" x14ac:dyDescent="0.2">
      <c r="A278" s="12"/>
      <c r="B278" s="22"/>
      <c r="C278" s="23"/>
      <c r="D278" s="23"/>
      <c r="E278" s="24"/>
      <c r="F278" s="25"/>
      <c r="G278" s="26"/>
      <c r="H278" s="27"/>
      <c r="I278" s="28"/>
      <c r="J278" s="28"/>
      <c r="K278" s="28"/>
      <c r="L278" s="28"/>
      <c r="M278" s="28"/>
      <c r="N278" s="28"/>
      <c r="O278" s="28"/>
      <c r="P278" s="42"/>
      <c r="Q278" s="29"/>
      <c r="R278" s="29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14"/>
    </row>
    <row r="279" spans="1:29" x14ac:dyDescent="0.2">
      <c r="A279" s="12"/>
      <c r="B279" s="22"/>
      <c r="C279" s="23"/>
      <c r="D279" s="23"/>
      <c r="E279" s="24"/>
      <c r="F279" s="25"/>
      <c r="G279" s="26"/>
      <c r="H279" s="27"/>
      <c r="I279" s="28"/>
      <c r="J279" s="28"/>
      <c r="K279" s="28"/>
      <c r="L279" s="28"/>
      <c r="M279" s="28"/>
      <c r="N279" s="28"/>
      <c r="O279" s="28"/>
      <c r="P279" s="42"/>
      <c r="Q279" s="29"/>
      <c r="R279" s="29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14"/>
    </row>
    <row r="280" spans="1:29" x14ac:dyDescent="0.2">
      <c r="A280" s="12"/>
      <c r="B280" s="22"/>
      <c r="C280" s="23"/>
      <c r="D280" s="23"/>
      <c r="E280" s="24"/>
      <c r="F280" s="25"/>
      <c r="G280" s="26"/>
      <c r="H280" s="27"/>
      <c r="I280" s="28"/>
      <c r="J280" s="28"/>
      <c r="K280" s="28"/>
      <c r="L280" s="28"/>
      <c r="M280" s="28"/>
      <c r="N280" s="28"/>
      <c r="O280" s="28"/>
      <c r="P280" s="42"/>
      <c r="Q280" s="29"/>
      <c r="R280" s="29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14"/>
    </row>
    <row r="281" spans="1:29" x14ac:dyDescent="0.2">
      <c r="A281" s="12"/>
      <c r="B281" s="22"/>
      <c r="C281" s="23"/>
      <c r="D281" s="23"/>
      <c r="E281" s="24"/>
      <c r="F281" s="25"/>
      <c r="G281" s="26"/>
      <c r="H281" s="27"/>
      <c r="I281" s="28"/>
      <c r="J281" s="28"/>
      <c r="K281" s="28"/>
      <c r="L281" s="28"/>
      <c r="M281" s="28"/>
      <c r="N281" s="28"/>
      <c r="O281" s="28"/>
      <c r="P281" s="42"/>
      <c r="Q281" s="29"/>
      <c r="R281" s="29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14"/>
    </row>
    <row r="282" spans="1:29" x14ac:dyDescent="0.2">
      <c r="A282" s="12"/>
      <c r="B282" s="22"/>
      <c r="C282" s="23"/>
      <c r="D282" s="23"/>
      <c r="E282" s="24"/>
      <c r="F282" s="25"/>
      <c r="G282" s="26"/>
      <c r="H282" s="27"/>
      <c r="I282" s="28"/>
      <c r="J282" s="28"/>
      <c r="K282" s="28"/>
      <c r="L282" s="28"/>
      <c r="M282" s="28"/>
      <c r="N282" s="28"/>
      <c r="O282" s="28"/>
      <c r="P282" s="42"/>
      <c r="Q282" s="29"/>
      <c r="R282" s="29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14"/>
    </row>
    <row r="283" spans="1:29" x14ac:dyDescent="0.2">
      <c r="A283" s="12"/>
      <c r="B283" s="22"/>
      <c r="C283" s="23"/>
      <c r="D283" s="23"/>
      <c r="E283" s="24"/>
      <c r="F283" s="25"/>
      <c r="G283" s="26"/>
      <c r="H283" s="27"/>
      <c r="I283" s="28"/>
      <c r="J283" s="28"/>
      <c r="K283" s="28"/>
      <c r="L283" s="28"/>
      <c r="M283" s="28"/>
      <c r="N283" s="28"/>
      <c r="O283" s="28"/>
      <c r="P283" s="42"/>
      <c r="Q283" s="29"/>
      <c r="R283" s="29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14"/>
    </row>
    <row r="284" spans="1:29" x14ac:dyDescent="0.2">
      <c r="A284" s="12"/>
      <c r="B284" s="22"/>
      <c r="C284" s="23"/>
      <c r="D284" s="23"/>
      <c r="E284" s="24"/>
      <c r="F284" s="25"/>
      <c r="G284" s="26"/>
      <c r="H284" s="27"/>
      <c r="I284" s="28"/>
      <c r="J284" s="28"/>
      <c r="K284" s="28"/>
      <c r="L284" s="28"/>
      <c r="M284" s="28"/>
      <c r="N284" s="28"/>
      <c r="O284" s="28"/>
      <c r="P284" s="42"/>
      <c r="Q284" s="29"/>
      <c r="R284" s="29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14"/>
    </row>
    <row r="285" spans="1:29" x14ac:dyDescent="0.2">
      <c r="A285" s="12"/>
      <c r="B285" s="22"/>
      <c r="C285" s="23"/>
      <c r="D285" s="23"/>
      <c r="E285" s="24"/>
      <c r="F285" s="25"/>
      <c r="G285" s="26"/>
      <c r="H285" s="27"/>
      <c r="I285" s="28"/>
      <c r="J285" s="28"/>
      <c r="K285" s="28"/>
      <c r="L285" s="28"/>
      <c r="M285" s="28"/>
      <c r="N285" s="28"/>
      <c r="O285" s="28"/>
      <c r="P285" s="42"/>
      <c r="Q285" s="29"/>
      <c r="R285" s="29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14"/>
    </row>
    <row r="286" spans="1:29" x14ac:dyDescent="0.2">
      <c r="A286" s="12"/>
      <c r="B286" s="22"/>
      <c r="C286" s="23"/>
      <c r="D286" s="23"/>
      <c r="E286" s="24"/>
      <c r="F286" s="25"/>
      <c r="G286" s="26"/>
      <c r="H286" s="27"/>
      <c r="I286" s="28"/>
      <c r="J286" s="28"/>
      <c r="K286" s="28"/>
      <c r="L286" s="28"/>
      <c r="M286" s="28"/>
      <c r="N286" s="28"/>
      <c r="O286" s="28"/>
      <c r="P286" s="42"/>
      <c r="Q286" s="29"/>
      <c r="R286" s="29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14"/>
    </row>
    <row r="287" spans="1:29" x14ac:dyDescent="0.2">
      <c r="A287" s="12"/>
      <c r="B287" s="22"/>
      <c r="C287" s="23"/>
      <c r="D287" s="23"/>
      <c r="E287" s="24"/>
      <c r="F287" s="25"/>
      <c r="G287" s="26"/>
      <c r="H287" s="27"/>
      <c r="I287" s="28"/>
      <c r="J287" s="28"/>
      <c r="K287" s="28"/>
      <c r="L287" s="28"/>
      <c r="M287" s="28"/>
      <c r="N287" s="28"/>
      <c r="O287" s="28"/>
      <c r="P287" s="42"/>
      <c r="Q287" s="29"/>
      <c r="R287" s="29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14"/>
    </row>
    <row r="288" spans="1:29" x14ac:dyDescent="0.2">
      <c r="A288" s="12"/>
      <c r="B288" s="22"/>
      <c r="C288" s="23"/>
      <c r="D288" s="23"/>
      <c r="E288" s="24"/>
      <c r="F288" s="25"/>
      <c r="G288" s="26"/>
      <c r="H288" s="27"/>
      <c r="I288" s="28"/>
      <c r="J288" s="28"/>
      <c r="K288" s="28"/>
      <c r="L288" s="28"/>
      <c r="M288" s="28"/>
      <c r="N288" s="28"/>
      <c r="O288" s="28"/>
      <c r="P288" s="42"/>
      <c r="Q288" s="29"/>
      <c r="R288" s="29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14"/>
    </row>
    <row r="289" spans="1:29" x14ac:dyDescent="0.2">
      <c r="A289" s="12"/>
      <c r="B289" s="22"/>
      <c r="C289" s="23"/>
      <c r="D289" s="23"/>
      <c r="E289" s="24"/>
      <c r="F289" s="25"/>
      <c r="G289" s="26"/>
      <c r="H289" s="27"/>
      <c r="I289" s="28"/>
      <c r="J289" s="28"/>
      <c r="K289" s="28"/>
      <c r="L289" s="28"/>
      <c r="M289" s="28"/>
      <c r="N289" s="28"/>
      <c r="O289" s="28"/>
      <c r="P289" s="42"/>
      <c r="Q289" s="29"/>
      <c r="R289" s="29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14"/>
    </row>
    <row r="290" spans="1:29" x14ac:dyDescent="0.2">
      <c r="A290" s="12"/>
      <c r="B290" s="22"/>
      <c r="C290" s="23"/>
      <c r="D290" s="23"/>
      <c r="E290" s="24"/>
      <c r="F290" s="25"/>
      <c r="G290" s="26"/>
      <c r="H290" s="27"/>
      <c r="I290" s="28"/>
      <c r="J290" s="28"/>
      <c r="K290" s="28"/>
      <c r="L290" s="28"/>
      <c r="M290" s="28"/>
      <c r="N290" s="28"/>
      <c r="O290" s="28"/>
      <c r="P290" s="42"/>
      <c r="Q290" s="29"/>
      <c r="R290" s="29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14"/>
    </row>
    <row r="291" spans="1:29" x14ac:dyDescent="0.2">
      <c r="A291" s="12"/>
      <c r="B291" s="22"/>
      <c r="C291" s="23"/>
      <c r="D291" s="23"/>
      <c r="E291" s="24"/>
      <c r="F291" s="25"/>
      <c r="G291" s="26"/>
      <c r="H291" s="27"/>
      <c r="I291" s="28"/>
      <c r="J291" s="28"/>
      <c r="K291" s="28"/>
      <c r="L291" s="28"/>
      <c r="M291" s="28"/>
      <c r="N291" s="28"/>
      <c r="O291" s="28"/>
      <c r="P291" s="42"/>
      <c r="Q291" s="29"/>
      <c r="R291" s="29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14"/>
    </row>
    <row r="292" spans="1:29" x14ac:dyDescent="0.2">
      <c r="A292" s="12"/>
      <c r="B292" s="22"/>
      <c r="C292" s="23"/>
      <c r="D292" s="23"/>
      <c r="E292" s="24"/>
      <c r="F292" s="25"/>
      <c r="G292" s="26"/>
      <c r="H292" s="27"/>
      <c r="I292" s="28"/>
      <c r="J292" s="28"/>
      <c r="K292" s="28"/>
      <c r="L292" s="28"/>
      <c r="M292" s="28"/>
      <c r="N292" s="28"/>
      <c r="O292" s="28"/>
      <c r="P292" s="42"/>
      <c r="Q292" s="29"/>
      <c r="R292" s="29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14"/>
    </row>
    <row r="293" spans="1:29" x14ac:dyDescent="0.2">
      <c r="A293" s="12"/>
      <c r="B293" s="22"/>
      <c r="C293" s="23"/>
      <c r="D293" s="23"/>
      <c r="E293" s="24"/>
      <c r="F293" s="25"/>
      <c r="G293" s="26"/>
      <c r="H293" s="27"/>
      <c r="I293" s="28"/>
      <c r="J293" s="28"/>
      <c r="K293" s="28"/>
      <c r="L293" s="28"/>
      <c r="M293" s="28"/>
      <c r="N293" s="28"/>
      <c r="O293" s="28"/>
      <c r="P293" s="42"/>
      <c r="Q293" s="29"/>
      <c r="R293" s="29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14"/>
    </row>
    <row r="294" spans="1:29" x14ac:dyDescent="0.2">
      <c r="A294" s="12"/>
      <c r="B294" s="22"/>
      <c r="C294" s="23"/>
      <c r="D294" s="23"/>
      <c r="E294" s="24"/>
      <c r="F294" s="25"/>
      <c r="G294" s="26"/>
      <c r="H294" s="27"/>
      <c r="I294" s="28"/>
      <c r="J294" s="28"/>
      <c r="K294" s="28"/>
      <c r="L294" s="28"/>
      <c r="M294" s="28"/>
      <c r="N294" s="28"/>
      <c r="O294" s="28"/>
      <c r="P294" s="42"/>
      <c r="Q294" s="29"/>
      <c r="R294" s="29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14"/>
    </row>
    <row r="295" spans="1:29" x14ac:dyDescent="0.2">
      <c r="A295" s="12"/>
      <c r="B295" s="22"/>
      <c r="C295" s="23"/>
      <c r="D295" s="23"/>
      <c r="E295" s="24"/>
      <c r="F295" s="25"/>
      <c r="G295" s="26"/>
      <c r="H295" s="27"/>
      <c r="I295" s="28"/>
      <c r="J295" s="28"/>
      <c r="K295" s="28"/>
      <c r="L295" s="28"/>
      <c r="M295" s="28"/>
      <c r="N295" s="28"/>
      <c r="O295" s="28"/>
      <c r="P295" s="42"/>
      <c r="Q295" s="29"/>
      <c r="R295" s="29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14"/>
    </row>
    <row r="296" spans="1:29" x14ac:dyDescent="0.2">
      <c r="A296" s="12"/>
      <c r="B296" s="22"/>
      <c r="C296" s="23"/>
      <c r="D296" s="23"/>
      <c r="E296" s="24"/>
      <c r="F296" s="25"/>
      <c r="G296" s="26"/>
      <c r="H296" s="27"/>
      <c r="I296" s="28"/>
      <c r="J296" s="28"/>
      <c r="K296" s="28"/>
      <c r="L296" s="28"/>
      <c r="M296" s="28"/>
      <c r="N296" s="28"/>
      <c r="O296" s="28"/>
      <c r="P296" s="42"/>
      <c r="Q296" s="29"/>
      <c r="R296" s="29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14"/>
    </row>
    <row r="297" spans="1:29" x14ac:dyDescent="0.2">
      <c r="A297" s="12"/>
      <c r="B297" s="22"/>
      <c r="C297" s="23"/>
      <c r="D297" s="23"/>
      <c r="E297" s="24"/>
      <c r="F297" s="25"/>
      <c r="G297" s="26"/>
      <c r="H297" s="27"/>
      <c r="I297" s="28"/>
      <c r="J297" s="28"/>
      <c r="K297" s="28"/>
      <c r="L297" s="28"/>
      <c r="M297" s="28"/>
      <c r="N297" s="28"/>
      <c r="O297" s="28"/>
      <c r="P297" s="42"/>
      <c r="Q297" s="29"/>
      <c r="R297" s="29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14"/>
    </row>
    <row r="298" spans="1:29" x14ac:dyDescent="0.2">
      <c r="A298" s="12"/>
      <c r="B298" s="22"/>
      <c r="C298" s="23"/>
      <c r="D298" s="23"/>
      <c r="E298" s="24"/>
      <c r="F298" s="25"/>
      <c r="G298" s="26"/>
      <c r="H298" s="27"/>
      <c r="I298" s="28"/>
      <c r="J298" s="28"/>
      <c r="K298" s="28"/>
      <c r="L298" s="28"/>
      <c r="M298" s="28"/>
      <c r="N298" s="28"/>
      <c r="O298" s="28"/>
      <c r="P298" s="42"/>
      <c r="Q298" s="29"/>
      <c r="R298" s="29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14"/>
    </row>
    <row r="299" spans="1:29" x14ac:dyDescent="0.2">
      <c r="A299" s="12"/>
      <c r="B299" s="22"/>
      <c r="C299" s="23"/>
      <c r="D299" s="23"/>
      <c r="E299" s="24"/>
      <c r="F299" s="25"/>
      <c r="G299" s="26"/>
      <c r="H299" s="27"/>
      <c r="I299" s="28"/>
      <c r="J299" s="28"/>
      <c r="K299" s="28"/>
      <c r="L299" s="28"/>
      <c r="M299" s="28"/>
      <c r="N299" s="28"/>
      <c r="O299" s="28"/>
      <c r="P299" s="42"/>
      <c r="Q299" s="29"/>
      <c r="R299" s="29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14"/>
    </row>
    <row r="300" spans="1:29" x14ac:dyDescent="0.2">
      <c r="A300" s="12"/>
      <c r="B300" s="22"/>
      <c r="C300" s="23"/>
      <c r="D300" s="23"/>
      <c r="E300" s="24"/>
      <c r="F300" s="25"/>
      <c r="G300" s="26"/>
      <c r="H300" s="27"/>
      <c r="I300" s="28"/>
      <c r="J300" s="28"/>
      <c r="K300" s="28"/>
      <c r="L300" s="28"/>
      <c r="M300" s="28"/>
      <c r="N300" s="28"/>
      <c r="O300" s="28"/>
      <c r="P300" s="42"/>
      <c r="Q300" s="29"/>
      <c r="R300" s="29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14"/>
    </row>
    <row r="301" spans="1:29" x14ac:dyDescent="0.2">
      <c r="A301" s="12"/>
      <c r="B301" s="22"/>
      <c r="C301" s="23"/>
      <c r="D301" s="23"/>
      <c r="E301" s="24"/>
      <c r="F301" s="25"/>
      <c r="G301" s="26"/>
      <c r="H301" s="27"/>
      <c r="I301" s="28"/>
      <c r="J301" s="28"/>
      <c r="K301" s="28"/>
      <c r="L301" s="28"/>
      <c r="M301" s="28"/>
      <c r="N301" s="28"/>
      <c r="O301" s="28"/>
      <c r="P301" s="42"/>
      <c r="Q301" s="29"/>
      <c r="R301" s="29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14"/>
    </row>
    <row r="302" spans="1:29" x14ac:dyDescent="0.2">
      <c r="A302" s="12"/>
      <c r="B302" s="22"/>
      <c r="C302" s="23"/>
      <c r="D302" s="23"/>
      <c r="E302" s="24"/>
      <c r="F302" s="25"/>
      <c r="G302" s="26"/>
      <c r="H302" s="27"/>
      <c r="I302" s="28"/>
      <c r="J302" s="28"/>
      <c r="K302" s="28"/>
      <c r="L302" s="28"/>
      <c r="M302" s="28"/>
      <c r="N302" s="28"/>
      <c r="O302" s="28"/>
      <c r="P302" s="42"/>
      <c r="Q302" s="29"/>
      <c r="R302" s="29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14"/>
    </row>
    <row r="303" spans="1:29" x14ac:dyDescent="0.2">
      <c r="A303" s="12"/>
      <c r="B303" s="22"/>
      <c r="C303" s="23"/>
      <c r="D303" s="23"/>
      <c r="E303" s="24"/>
      <c r="F303" s="25"/>
      <c r="G303" s="26"/>
      <c r="H303" s="27"/>
      <c r="I303" s="28"/>
      <c r="J303" s="28"/>
      <c r="K303" s="28"/>
      <c r="L303" s="28"/>
      <c r="M303" s="28"/>
      <c r="N303" s="28"/>
      <c r="O303" s="28"/>
      <c r="P303" s="42"/>
      <c r="Q303" s="29"/>
      <c r="R303" s="29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14"/>
    </row>
    <row r="304" spans="1:29" x14ac:dyDescent="0.2">
      <c r="A304" s="12"/>
      <c r="B304" s="22"/>
      <c r="C304" s="23"/>
      <c r="D304" s="23"/>
      <c r="E304" s="24"/>
      <c r="F304" s="25"/>
      <c r="G304" s="26"/>
      <c r="H304" s="27"/>
      <c r="I304" s="28"/>
      <c r="J304" s="28"/>
      <c r="K304" s="28"/>
      <c r="L304" s="28"/>
      <c r="M304" s="28"/>
      <c r="N304" s="28"/>
      <c r="O304" s="28"/>
      <c r="P304" s="42"/>
      <c r="Q304" s="29"/>
      <c r="R304" s="29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14"/>
    </row>
    <row r="305" spans="1:29" x14ac:dyDescent="0.2">
      <c r="A305" s="12"/>
      <c r="B305" s="22"/>
      <c r="C305" s="23"/>
      <c r="D305" s="23"/>
      <c r="E305" s="24"/>
      <c r="F305" s="25"/>
      <c r="G305" s="26"/>
      <c r="H305" s="27"/>
      <c r="I305" s="28"/>
      <c r="J305" s="28"/>
      <c r="K305" s="28"/>
      <c r="L305" s="28"/>
      <c r="M305" s="28"/>
      <c r="N305" s="28"/>
      <c r="O305" s="28"/>
      <c r="P305" s="42"/>
      <c r="Q305" s="29"/>
      <c r="R305" s="29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14"/>
    </row>
    <row r="306" spans="1:29" x14ac:dyDescent="0.2">
      <c r="A306" s="12"/>
      <c r="B306" s="22"/>
      <c r="C306" s="23"/>
      <c r="D306" s="23"/>
      <c r="E306" s="24"/>
      <c r="F306" s="25"/>
      <c r="G306" s="26"/>
      <c r="H306" s="27"/>
      <c r="I306" s="28"/>
      <c r="J306" s="28"/>
      <c r="K306" s="28"/>
      <c r="L306" s="28"/>
      <c r="M306" s="28"/>
      <c r="N306" s="28"/>
      <c r="O306" s="28"/>
      <c r="P306" s="42"/>
      <c r="Q306" s="29"/>
      <c r="R306" s="29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14"/>
    </row>
    <row r="307" spans="1:29" x14ac:dyDescent="0.2">
      <c r="A307" s="12"/>
      <c r="B307" s="22"/>
      <c r="C307" s="23"/>
      <c r="D307" s="23"/>
      <c r="E307" s="24"/>
      <c r="F307" s="25"/>
      <c r="G307" s="26"/>
      <c r="H307" s="27"/>
      <c r="I307" s="28"/>
      <c r="J307" s="28"/>
      <c r="K307" s="28"/>
      <c r="L307" s="28"/>
      <c r="M307" s="28"/>
      <c r="N307" s="28"/>
      <c r="O307" s="28"/>
      <c r="P307" s="42"/>
      <c r="Q307" s="29"/>
      <c r="R307" s="29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14"/>
    </row>
    <row r="308" spans="1:29" x14ac:dyDescent="0.2">
      <c r="A308" s="12"/>
      <c r="B308" s="22"/>
      <c r="C308" s="23"/>
      <c r="D308" s="23"/>
      <c r="E308" s="24"/>
      <c r="F308" s="25"/>
      <c r="G308" s="26"/>
      <c r="H308" s="27"/>
      <c r="I308" s="28"/>
      <c r="J308" s="28"/>
      <c r="K308" s="28"/>
      <c r="L308" s="28"/>
      <c r="M308" s="28"/>
      <c r="N308" s="28"/>
      <c r="O308" s="28"/>
      <c r="P308" s="42"/>
      <c r="Q308" s="29"/>
      <c r="R308" s="29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14"/>
    </row>
    <row r="309" spans="1:29" x14ac:dyDescent="0.2">
      <c r="A309" s="12"/>
      <c r="B309" s="22"/>
      <c r="C309" s="23"/>
      <c r="D309" s="23"/>
      <c r="E309" s="24"/>
      <c r="F309" s="25"/>
      <c r="G309" s="26"/>
      <c r="H309" s="27"/>
      <c r="I309" s="28"/>
      <c r="J309" s="28"/>
      <c r="K309" s="28"/>
      <c r="L309" s="28"/>
      <c r="M309" s="28"/>
      <c r="N309" s="28"/>
      <c r="O309" s="28"/>
      <c r="P309" s="42"/>
      <c r="Q309" s="29"/>
      <c r="R309" s="29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14"/>
    </row>
    <row r="310" spans="1:29" x14ac:dyDescent="0.2">
      <c r="A310" s="12"/>
      <c r="B310" s="22"/>
      <c r="C310" s="23"/>
      <c r="D310" s="23"/>
      <c r="E310" s="24"/>
      <c r="F310" s="25"/>
      <c r="G310" s="26"/>
      <c r="H310" s="27"/>
      <c r="I310" s="28"/>
      <c r="J310" s="28"/>
      <c r="K310" s="28"/>
      <c r="L310" s="28"/>
      <c r="M310" s="28"/>
      <c r="N310" s="28"/>
      <c r="O310" s="28"/>
      <c r="P310" s="42"/>
      <c r="Q310" s="29"/>
      <c r="R310" s="29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14"/>
    </row>
    <row r="311" spans="1:29" x14ac:dyDescent="0.2">
      <c r="A311" s="12"/>
      <c r="B311" s="22"/>
      <c r="C311" s="23"/>
      <c r="D311" s="23"/>
      <c r="E311" s="24"/>
      <c r="F311" s="25"/>
      <c r="G311" s="26"/>
      <c r="H311" s="27"/>
      <c r="I311" s="28"/>
      <c r="J311" s="28"/>
      <c r="K311" s="28"/>
      <c r="L311" s="28"/>
      <c r="M311" s="28"/>
      <c r="N311" s="28"/>
      <c r="O311" s="28"/>
      <c r="P311" s="42"/>
      <c r="Q311" s="29"/>
      <c r="R311" s="29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14"/>
    </row>
    <row r="312" spans="1:29" x14ac:dyDescent="0.2">
      <c r="A312" s="12"/>
      <c r="B312" s="22"/>
      <c r="C312" s="23"/>
      <c r="D312" s="23"/>
      <c r="E312" s="24"/>
      <c r="F312" s="25"/>
      <c r="G312" s="26"/>
      <c r="H312" s="27"/>
      <c r="I312" s="28"/>
      <c r="J312" s="28"/>
      <c r="K312" s="28"/>
      <c r="L312" s="28"/>
      <c r="M312" s="28"/>
      <c r="N312" s="28"/>
      <c r="O312" s="28"/>
      <c r="P312" s="42"/>
      <c r="Q312" s="29"/>
      <c r="R312" s="29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14"/>
    </row>
    <row r="313" spans="1:29" x14ac:dyDescent="0.2">
      <c r="A313" s="12"/>
      <c r="B313" s="22"/>
      <c r="C313" s="23"/>
      <c r="D313" s="23"/>
      <c r="E313" s="24"/>
      <c r="F313" s="25"/>
      <c r="G313" s="26"/>
      <c r="H313" s="27"/>
      <c r="I313" s="28"/>
      <c r="J313" s="28"/>
      <c r="K313" s="28"/>
      <c r="L313" s="28"/>
      <c r="M313" s="28"/>
      <c r="N313" s="28"/>
      <c r="O313" s="28"/>
      <c r="P313" s="42"/>
      <c r="Q313" s="29"/>
      <c r="R313" s="29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14"/>
    </row>
    <row r="314" spans="1:29" x14ac:dyDescent="0.2">
      <c r="A314" s="12"/>
      <c r="B314" s="22"/>
      <c r="C314" s="23"/>
      <c r="D314" s="23"/>
      <c r="E314" s="24"/>
      <c r="F314" s="25"/>
      <c r="G314" s="26"/>
      <c r="H314" s="27"/>
      <c r="I314" s="28"/>
      <c r="J314" s="28"/>
      <c r="K314" s="28"/>
      <c r="L314" s="28"/>
      <c r="M314" s="28"/>
      <c r="N314" s="28"/>
      <c r="O314" s="28"/>
      <c r="P314" s="42"/>
      <c r="Q314" s="29"/>
      <c r="R314" s="29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14"/>
    </row>
    <row r="315" spans="1:29" x14ac:dyDescent="0.2">
      <c r="A315" s="12"/>
      <c r="B315" s="22"/>
      <c r="C315" s="23"/>
      <c r="D315" s="23"/>
      <c r="E315" s="24"/>
      <c r="F315" s="25"/>
      <c r="G315" s="26"/>
      <c r="H315" s="27"/>
      <c r="I315" s="28"/>
      <c r="J315" s="28"/>
      <c r="K315" s="28"/>
      <c r="L315" s="28"/>
      <c r="M315" s="28"/>
      <c r="N315" s="28"/>
      <c r="O315" s="28"/>
      <c r="P315" s="42"/>
      <c r="Q315" s="29"/>
      <c r="R315" s="29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14"/>
    </row>
    <row r="316" spans="1:29" x14ac:dyDescent="0.2">
      <c r="A316" s="12"/>
      <c r="B316" s="22"/>
      <c r="C316" s="23"/>
      <c r="D316" s="23"/>
      <c r="E316" s="24"/>
      <c r="F316" s="25"/>
      <c r="G316" s="26"/>
      <c r="H316" s="27"/>
      <c r="I316" s="28"/>
      <c r="J316" s="28"/>
      <c r="K316" s="28"/>
      <c r="L316" s="28"/>
      <c r="M316" s="28"/>
      <c r="N316" s="28"/>
      <c r="O316" s="28"/>
      <c r="P316" s="42"/>
      <c r="Q316" s="29"/>
      <c r="R316" s="29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14"/>
    </row>
    <row r="317" spans="1:29" x14ac:dyDescent="0.2">
      <c r="A317" s="12"/>
      <c r="B317" s="22"/>
      <c r="C317" s="23"/>
      <c r="D317" s="23"/>
      <c r="E317" s="24"/>
      <c r="F317" s="25"/>
      <c r="G317" s="26"/>
      <c r="H317" s="27"/>
      <c r="I317" s="28"/>
      <c r="J317" s="28"/>
      <c r="K317" s="28"/>
      <c r="L317" s="28"/>
      <c r="M317" s="28"/>
      <c r="N317" s="28"/>
      <c r="O317" s="28"/>
      <c r="P317" s="42"/>
      <c r="Q317" s="29"/>
      <c r="R317" s="29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14"/>
    </row>
    <row r="318" spans="1:29" x14ac:dyDescent="0.2">
      <c r="A318" s="12"/>
      <c r="B318" s="22"/>
      <c r="C318" s="23"/>
      <c r="D318" s="23"/>
      <c r="E318" s="24"/>
      <c r="F318" s="25"/>
      <c r="G318" s="26"/>
      <c r="H318" s="27"/>
      <c r="I318" s="28"/>
      <c r="J318" s="28"/>
      <c r="K318" s="28"/>
      <c r="L318" s="28"/>
      <c r="M318" s="28"/>
      <c r="N318" s="28"/>
      <c r="O318" s="28"/>
      <c r="P318" s="42"/>
      <c r="Q318" s="29"/>
      <c r="R318" s="29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14"/>
    </row>
    <row r="319" spans="1:29" x14ac:dyDescent="0.2">
      <c r="A319" s="12"/>
      <c r="B319" s="22"/>
      <c r="C319" s="23"/>
      <c r="D319" s="23"/>
      <c r="E319" s="24"/>
      <c r="F319" s="25"/>
      <c r="G319" s="26"/>
      <c r="H319" s="27"/>
      <c r="I319" s="28"/>
      <c r="J319" s="28"/>
      <c r="K319" s="28"/>
      <c r="L319" s="28"/>
      <c r="M319" s="28"/>
      <c r="N319" s="28"/>
      <c r="O319" s="28"/>
      <c r="P319" s="42"/>
      <c r="Q319" s="29"/>
      <c r="R319" s="29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14"/>
    </row>
    <row r="320" spans="1:29" x14ac:dyDescent="0.2">
      <c r="A320" s="12"/>
      <c r="B320" s="22"/>
      <c r="C320" s="23"/>
      <c r="D320" s="23"/>
      <c r="E320" s="24"/>
      <c r="F320" s="25"/>
      <c r="G320" s="26"/>
      <c r="H320" s="27"/>
      <c r="I320" s="28"/>
      <c r="J320" s="28"/>
      <c r="K320" s="28"/>
      <c r="L320" s="28"/>
      <c r="M320" s="28"/>
      <c r="N320" s="28"/>
      <c r="O320" s="28"/>
      <c r="P320" s="42"/>
      <c r="Q320" s="29"/>
      <c r="R320" s="29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14"/>
    </row>
    <row r="321" spans="1:29" x14ac:dyDescent="0.2">
      <c r="A321" s="12"/>
      <c r="B321" s="22"/>
      <c r="C321" s="23"/>
      <c r="D321" s="23"/>
      <c r="E321" s="24"/>
      <c r="F321" s="25"/>
      <c r="G321" s="26"/>
      <c r="H321" s="27"/>
      <c r="I321" s="28"/>
      <c r="J321" s="28"/>
      <c r="K321" s="28"/>
      <c r="L321" s="28"/>
      <c r="M321" s="28"/>
      <c r="N321" s="28"/>
      <c r="O321" s="28"/>
      <c r="P321" s="42"/>
      <c r="Q321" s="29"/>
      <c r="R321" s="29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14"/>
    </row>
    <row r="322" spans="1:29" x14ac:dyDescent="0.2">
      <c r="A322" s="12"/>
      <c r="B322" s="22"/>
      <c r="C322" s="23"/>
      <c r="D322" s="23"/>
      <c r="E322" s="24"/>
      <c r="F322" s="25"/>
      <c r="G322" s="26"/>
      <c r="H322" s="27"/>
      <c r="I322" s="28"/>
      <c r="J322" s="28"/>
      <c r="K322" s="28"/>
      <c r="L322" s="28"/>
      <c r="M322" s="28"/>
      <c r="N322" s="28"/>
      <c r="O322" s="28"/>
      <c r="P322" s="42"/>
      <c r="Q322" s="29"/>
      <c r="R322" s="29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14"/>
    </row>
    <row r="323" spans="1:29" x14ac:dyDescent="0.2">
      <c r="A323" s="12"/>
      <c r="B323" s="22"/>
      <c r="C323" s="23"/>
      <c r="D323" s="23"/>
      <c r="E323" s="24"/>
      <c r="F323" s="25"/>
      <c r="G323" s="26"/>
      <c r="H323" s="27"/>
      <c r="I323" s="28"/>
      <c r="J323" s="28"/>
      <c r="K323" s="28"/>
      <c r="L323" s="28"/>
      <c r="M323" s="28"/>
      <c r="N323" s="28"/>
      <c r="O323" s="28"/>
      <c r="P323" s="42"/>
      <c r="Q323" s="29"/>
      <c r="R323" s="29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14"/>
    </row>
    <row r="324" spans="1:29" x14ac:dyDescent="0.2">
      <c r="A324" s="12"/>
      <c r="B324" s="22"/>
      <c r="C324" s="23"/>
      <c r="D324" s="23"/>
      <c r="E324" s="24"/>
      <c r="F324" s="25"/>
      <c r="G324" s="26"/>
      <c r="H324" s="27"/>
      <c r="I324" s="28"/>
      <c r="J324" s="28"/>
      <c r="K324" s="28"/>
      <c r="L324" s="28"/>
      <c r="M324" s="28"/>
      <c r="N324" s="28"/>
      <c r="O324" s="28"/>
      <c r="P324" s="42"/>
      <c r="Q324" s="29"/>
      <c r="R324" s="29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14"/>
    </row>
    <row r="325" spans="1:29" x14ac:dyDescent="0.2">
      <c r="A325" s="12"/>
      <c r="B325" s="22"/>
      <c r="C325" s="23"/>
      <c r="D325" s="23"/>
      <c r="E325" s="24"/>
      <c r="F325" s="25"/>
      <c r="G325" s="26"/>
      <c r="H325" s="27"/>
      <c r="I325" s="28"/>
      <c r="J325" s="28"/>
      <c r="K325" s="28"/>
      <c r="L325" s="28"/>
      <c r="M325" s="28"/>
      <c r="N325" s="28"/>
      <c r="O325" s="28"/>
      <c r="P325" s="42"/>
      <c r="Q325" s="29"/>
      <c r="R325" s="29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14"/>
    </row>
    <row r="326" spans="1:29" x14ac:dyDescent="0.2">
      <c r="A326" s="12"/>
      <c r="B326" s="22"/>
      <c r="C326" s="23"/>
      <c r="D326" s="23"/>
      <c r="E326" s="24"/>
      <c r="F326" s="25"/>
      <c r="G326" s="26"/>
      <c r="H326" s="27"/>
      <c r="I326" s="28"/>
      <c r="J326" s="28"/>
      <c r="K326" s="28"/>
      <c r="L326" s="28"/>
      <c r="M326" s="28"/>
      <c r="N326" s="28"/>
      <c r="O326" s="28"/>
      <c r="P326" s="42"/>
      <c r="Q326" s="29"/>
      <c r="R326" s="29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14"/>
    </row>
    <row r="327" spans="1:29" x14ac:dyDescent="0.2">
      <c r="A327" s="12"/>
      <c r="B327" s="22"/>
      <c r="C327" s="23"/>
      <c r="D327" s="23"/>
      <c r="E327" s="24"/>
      <c r="F327" s="25"/>
      <c r="G327" s="26"/>
      <c r="H327" s="27"/>
      <c r="I327" s="28"/>
      <c r="J327" s="28"/>
      <c r="K327" s="28"/>
      <c r="L327" s="28"/>
      <c r="M327" s="28"/>
      <c r="N327" s="28"/>
      <c r="O327" s="28"/>
      <c r="P327" s="42"/>
      <c r="Q327" s="29"/>
      <c r="R327" s="29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14"/>
    </row>
    <row r="328" spans="1:29" x14ac:dyDescent="0.2">
      <c r="A328" s="12"/>
      <c r="B328" s="22"/>
      <c r="C328" s="23"/>
      <c r="D328" s="23"/>
      <c r="E328" s="24"/>
      <c r="F328" s="25"/>
      <c r="G328" s="26"/>
      <c r="H328" s="27"/>
      <c r="I328" s="28"/>
      <c r="J328" s="28"/>
      <c r="K328" s="28"/>
      <c r="L328" s="28"/>
      <c r="M328" s="28"/>
      <c r="N328" s="28"/>
      <c r="O328" s="28"/>
      <c r="P328" s="42"/>
      <c r="Q328" s="29"/>
      <c r="R328" s="29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14"/>
    </row>
    <row r="329" spans="1:29" x14ac:dyDescent="0.2">
      <c r="A329" s="12"/>
      <c r="B329" s="22"/>
      <c r="C329" s="23"/>
      <c r="D329" s="23"/>
      <c r="E329" s="24"/>
      <c r="F329" s="25"/>
      <c r="G329" s="26"/>
      <c r="H329" s="27"/>
      <c r="I329" s="28"/>
      <c r="J329" s="28"/>
      <c r="K329" s="28"/>
      <c r="L329" s="28"/>
      <c r="M329" s="28"/>
      <c r="N329" s="28"/>
      <c r="O329" s="28"/>
      <c r="P329" s="42"/>
      <c r="Q329" s="29"/>
      <c r="R329" s="29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14"/>
    </row>
    <row r="330" spans="1:29" x14ac:dyDescent="0.2">
      <c r="A330" s="12"/>
      <c r="B330" s="22"/>
      <c r="C330" s="23"/>
      <c r="D330" s="23"/>
      <c r="E330" s="24"/>
      <c r="F330" s="25"/>
      <c r="G330" s="26"/>
      <c r="H330" s="27"/>
      <c r="I330" s="28"/>
      <c r="J330" s="28"/>
      <c r="K330" s="28"/>
      <c r="L330" s="28"/>
      <c r="M330" s="28"/>
      <c r="N330" s="28"/>
      <c r="O330" s="28"/>
      <c r="P330" s="42"/>
      <c r="Q330" s="29"/>
      <c r="R330" s="29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14"/>
    </row>
    <row r="331" spans="1:29" x14ac:dyDescent="0.2">
      <c r="A331" s="12"/>
      <c r="B331" s="22"/>
      <c r="C331" s="23"/>
      <c r="D331" s="23"/>
      <c r="E331" s="24"/>
      <c r="F331" s="25"/>
      <c r="G331" s="26"/>
      <c r="H331" s="27"/>
      <c r="I331" s="28"/>
      <c r="J331" s="28"/>
      <c r="K331" s="28"/>
      <c r="L331" s="28"/>
      <c r="M331" s="28"/>
      <c r="N331" s="28"/>
      <c r="O331" s="28"/>
      <c r="P331" s="42"/>
      <c r="Q331" s="29"/>
      <c r="R331" s="29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14"/>
    </row>
    <row r="332" spans="1:29" x14ac:dyDescent="0.2">
      <c r="A332" s="12"/>
      <c r="B332" s="22"/>
      <c r="C332" s="23"/>
      <c r="D332" s="23"/>
      <c r="E332" s="24"/>
      <c r="F332" s="25"/>
      <c r="G332" s="26"/>
      <c r="H332" s="27"/>
      <c r="I332" s="28"/>
      <c r="J332" s="28"/>
      <c r="K332" s="28"/>
      <c r="L332" s="28"/>
      <c r="M332" s="28"/>
      <c r="N332" s="28"/>
      <c r="O332" s="28"/>
      <c r="P332" s="42"/>
      <c r="Q332" s="29"/>
      <c r="R332" s="29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14"/>
    </row>
    <row r="333" spans="1:29" x14ac:dyDescent="0.2">
      <c r="A333" s="12"/>
      <c r="B333" s="22"/>
      <c r="C333" s="23"/>
      <c r="D333" s="23"/>
      <c r="E333" s="24"/>
      <c r="F333" s="25"/>
      <c r="G333" s="26"/>
      <c r="H333" s="27"/>
      <c r="I333" s="28"/>
      <c r="J333" s="28"/>
      <c r="K333" s="28"/>
      <c r="L333" s="28"/>
      <c r="M333" s="28"/>
      <c r="N333" s="28"/>
      <c r="O333" s="28"/>
      <c r="P333" s="42"/>
      <c r="Q333" s="29"/>
      <c r="R333" s="29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14"/>
    </row>
    <row r="334" spans="1:29" x14ac:dyDescent="0.2">
      <c r="A334" s="12"/>
      <c r="B334" s="22"/>
      <c r="C334" s="23"/>
      <c r="D334" s="23"/>
      <c r="E334" s="24"/>
      <c r="F334" s="25"/>
      <c r="G334" s="26"/>
      <c r="H334" s="27"/>
      <c r="I334" s="28"/>
      <c r="J334" s="28"/>
      <c r="K334" s="28"/>
      <c r="L334" s="28"/>
      <c r="M334" s="28"/>
      <c r="N334" s="28"/>
      <c r="O334" s="28"/>
      <c r="P334" s="42"/>
      <c r="Q334" s="29"/>
      <c r="R334" s="29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14"/>
    </row>
    <row r="335" spans="1:29" x14ac:dyDescent="0.2">
      <c r="A335" s="12"/>
      <c r="B335" s="22"/>
      <c r="C335" s="23"/>
      <c r="D335" s="23"/>
      <c r="E335" s="24"/>
      <c r="F335" s="25"/>
      <c r="G335" s="26"/>
      <c r="H335" s="27"/>
      <c r="I335" s="28"/>
      <c r="J335" s="28"/>
      <c r="K335" s="28"/>
      <c r="L335" s="28"/>
      <c r="M335" s="28"/>
      <c r="N335" s="28"/>
      <c r="O335" s="28"/>
      <c r="P335" s="42"/>
      <c r="Q335" s="29"/>
      <c r="R335" s="29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14"/>
    </row>
    <row r="336" spans="1:29" x14ac:dyDescent="0.2">
      <c r="A336" s="12"/>
      <c r="B336" s="22"/>
      <c r="C336" s="23"/>
      <c r="D336" s="23"/>
      <c r="E336" s="24"/>
      <c r="F336" s="25"/>
      <c r="G336" s="26"/>
      <c r="H336" s="27"/>
      <c r="I336" s="28"/>
      <c r="J336" s="28"/>
      <c r="K336" s="28"/>
      <c r="L336" s="28"/>
      <c r="M336" s="28"/>
      <c r="N336" s="28"/>
      <c r="O336" s="28"/>
      <c r="P336" s="42"/>
      <c r="Q336" s="29"/>
      <c r="R336" s="29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14"/>
    </row>
    <row r="337" spans="1:29" x14ac:dyDescent="0.2">
      <c r="A337" s="12"/>
      <c r="B337" s="22"/>
      <c r="C337" s="23"/>
      <c r="D337" s="23"/>
      <c r="E337" s="24"/>
      <c r="F337" s="25"/>
      <c r="G337" s="26"/>
      <c r="H337" s="27"/>
      <c r="I337" s="28"/>
      <c r="J337" s="28"/>
      <c r="K337" s="28"/>
      <c r="L337" s="28"/>
      <c r="M337" s="28"/>
      <c r="N337" s="28"/>
      <c r="O337" s="28"/>
      <c r="P337" s="42"/>
      <c r="Q337" s="29"/>
      <c r="R337" s="29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14"/>
    </row>
    <row r="338" spans="1:29" x14ac:dyDescent="0.2">
      <c r="A338" s="12"/>
      <c r="B338" s="22"/>
      <c r="C338" s="23"/>
      <c r="D338" s="23"/>
      <c r="E338" s="24"/>
      <c r="F338" s="25"/>
      <c r="G338" s="26"/>
      <c r="H338" s="27"/>
      <c r="I338" s="28"/>
      <c r="J338" s="28"/>
      <c r="K338" s="28"/>
      <c r="L338" s="28"/>
      <c r="M338" s="28"/>
      <c r="N338" s="28"/>
      <c r="O338" s="28"/>
      <c r="P338" s="42"/>
      <c r="Q338" s="29"/>
      <c r="R338" s="29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14"/>
    </row>
    <row r="339" spans="1:29" x14ac:dyDescent="0.2">
      <c r="A339" s="12"/>
      <c r="B339" s="22"/>
      <c r="C339" s="23"/>
      <c r="D339" s="23"/>
      <c r="E339" s="24"/>
      <c r="F339" s="25"/>
      <c r="G339" s="26"/>
      <c r="H339" s="27"/>
      <c r="I339" s="28"/>
      <c r="J339" s="28"/>
      <c r="K339" s="28"/>
      <c r="L339" s="28"/>
      <c r="M339" s="28"/>
      <c r="N339" s="28"/>
      <c r="O339" s="28"/>
      <c r="P339" s="42"/>
      <c r="Q339" s="29"/>
      <c r="R339" s="29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14"/>
    </row>
    <row r="340" spans="1:29" x14ac:dyDescent="0.2">
      <c r="A340" s="12"/>
      <c r="B340" s="22"/>
      <c r="C340" s="23"/>
      <c r="D340" s="23"/>
      <c r="E340" s="24"/>
      <c r="F340" s="25"/>
      <c r="G340" s="26"/>
      <c r="H340" s="27"/>
      <c r="I340" s="28"/>
      <c r="J340" s="28"/>
      <c r="K340" s="28"/>
      <c r="L340" s="28"/>
      <c r="M340" s="28"/>
      <c r="N340" s="28"/>
      <c r="O340" s="28"/>
      <c r="P340" s="42"/>
      <c r="Q340" s="29"/>
      <c r="R340" s="29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14"/>
    </row>
    <row r="341" spans="1:29" x14ac:dyDescent="0.2">
      <c r="A341" s="12"/>
      <c r="B341" s="22"/>
      <c r="C341" s="23"/>
      <c r="D341" s="23"/>
      <c r="E341" s="24"/>
      <c r="F341" s="25"/>
      <c r="G341" s="26"/>
      <c r="H341" s="27"/>
      <c r="I341" s="28"/>
      <c r="J341" s="28"/>
      <c r="K341" s="28"/>
      <c r="L341" s="28"/>
      <c r="M341" s="28"/>
      <c r="N341" s="28"/>
      <c r="O341" s="28"/>
      <c r="P341" s="42"/>
      <c r="Q341" s="29"/>
      <c r="R341" s="29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14"/>
    </row>
    <row r="342" spans="1:29" x14ac:dyDescent="0.2">
      <c r="A342" s="12"/>
      <c r="B342" s="22"/>
      <c r="C342" s="23"/>
      <c r="D342" s="23"/>
      <c r="E342" s="24"/>
      <c r="F342" s="25"/>
      <c r="G342" s="26"/>
      <c r="H342" s="27"/>
      <c r="I342" s="28"/>
      <c r="J342" s="28"/>
      <c r="K342" s="28"/>
      <c r="L342" s="28"/>
      <c r="M342" s="28"/>
      <c r="N342" s="28"/>
      <c r="O342" s="28"/>
      <c r="P342" s="42"/>
      <c r="Q342" s="29"/>
      <c r="R342" s="29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14"/>
    </row>
    <row r="343" spans="1:29" x14ac:dyDescent="0.2">
      <c r="A343" s="12"/>
      <c r="B343" s="22"/>
      <c r="C343" s="23"/>
      <c r="D343" s="23"/>
      <c r="E343" s="24"/>
      <c r="F343" s="25"/>
      <c r="G343" s="26"/>
      <c r="H343" s="27"/>
      <c r="I343" s="28"/>
      <c r="J343" s="28"/>
      <c r="K343" s="28"/>
      <c r="L343" s="28"/>
      <c r="M343" s="28"/>
      <c r="N343" s="28"/>
      <c r="O343" s="28"/>
      <c r="P343" s="42"/>
      <c r="Q343" s="29"/>
      <c r="R343" s="29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14"/>
    </row>
    <row r="344" spans="1:29" x14ac:dyDescent="0.2">
      <c r="A344" s="12"/>
      <c r="B344" s="22"/>
      <c r="C344" s="23"/>
      <c r="D344" s="23"/>
      <c r="E344" s="24"/>
      <c r="F344" s="25"/>
      <c r="G344" s="26"/>
      <c r="H344" s="27"/>
      <c r="I344" s="28"/>
      <c r="J344" s="28"/>
      <c r="K344" s="28"/>
      <c r="L344" s="28"/>
      <c r="M344" s="28"/>
      <c r="N344" s="28"/>
      <c r="O344" s="28"/>
      <c r="P344" s="42"/>
      <c r="Q344" s="29"/>
      <c r="R344" s="29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14"/>
    </row>
    <row r="345" spans="1:29" x14ac:dyDescent="0.2">
      <c r="A345" s="12"/>
      <c r="B345" s="22"/>
      <c r="C345" s="23"/>
      <c r="D345" s="23"/>
      <c r="E345" s="24"/>
      <c r="F345" s="25"/>
      <c r="G345" s="26"/>
      <c r="H345" s="27"/>
      <c r="I345" s="28"/>
      <c r="J345" s="28"/>
      <c r="K345" s="28"/>
      <c r="L345" s="28"/>
      <c r="M345" s="28"/>
      <c r="N345" s="28"/>
      <c r="O345" s="28"/>
      <c r="P345" s="42"/>
      <c r="Q345" s="29"/>
      <c r="R345" s="29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14"/>
    </row>
    <row r="346" spans="1:29" x14ac:dyDescent="0.2">
      <c r="A346" s="12"/>
      <c r="B346" s="22"/>
      <c r="C346" s="23"/>
      <c r="D346" s="23"/>
      <c r="E346" s="24"/>
      <c r="F346" s="25"/>
      <c r="G346" s="26"/>
      <c r="H346" s="27"/>
      <c r="I346" s="28"/>
      <c r="J346" s="28"/>
      <c r="K346" s="28"/>
      <c r="L346" s="28"/>
      <c r="M346" s="28"/>
      <c r="N346" s="28"/>
      <c r="O346" s="28"/>
      <c r="P346" s="42"/>
      <c r="Q346" s="29"/>
      <c r="R346" s="29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14"/>
    </row>
    <row r="347" spans="1:29" x14ac:dyDescent="0.2">
      <c r="A347" s="12"/>
      <c r="B347" s="22"/>
      <c r="C347" s="23"/>
      <c r="D347" s="23"/>
      <c r="E347" s="24"/>
      <c r="F347" s="25"/>
      <c r="G347" s="26"/>
      <c r="H347" s="27"/>
      <c r="I347" s="28"/>
      <c r="J347" s="28"/>
      <c r="K347" s="28"/>
      <c r="L347" s="28"/>
      <c r="M347" s="28"/>
      <c r="N347" s="28"/>
      <c r="O347" s="28"/>
      <c r="P347" s="42"/>
      <c r="Q347" s="29"/>
      <c r="R347" s="29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14"/>
    </row>
    <row r="348" spans="1:29" x14ac:dyDescent="0.2">
      <c r="A348" s="12"/>
      <c r="B348" s="22"/>
      <c r="C348" s="23"/>
      <c r="D348" s="23"/>
      <c r="E348" s="24"/>
      <c r="F348" s="25"/>
      <c r="G348" s="26"/>
      <c r="H348" s="27"/>
      <c r="I348" s="28"/>
      <c r="J348" s="28"/>
      <c r="K348" s="28"/>
      <c r="L348" s="28"/>
      <c r="M348" s="28"/>
      <c r="N348" s="28"/>
      <c r="O348" s="28"/>
      <c r="P348" s="42"/>
      <c r="Q348" s="29"/>
      <c r="R348" s="29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14"/>
    </row>
    <row r="349" spans="1:29" x14ac:dyDescent="0.2">
      <c r="A349" s="12"/>
      <c r="B349" s="22"/>
      <c r="C349" s="23"/>
      <c r="D349" s="23"/>
      <c r="E349" s="24"/>
      <c r="F349" s="25"/>
      <c r="G349" s="26"/>
      <c r="H349" s="27"/>
      <c r="I349" s="28"/>
      <c r="J349" s="28"/>
      <c r="K349" s="28"/>
      <c r="L349" s="28"/>
      <c r="M349" s="28"/>
      <c r="N349" s="28"/>
      <c r="O349" s="28"/>
      <c r="P349" s="42"/>
      <c r="Q349" s="29"/>
      <c r="R349" s="29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14"/>
    </row>
    <row r="350" spans="1:29" x14ac:dyDescent="0.2">
      <c r="A350" s="12"/>
      <c r="B350" s="22"/>
      <c r="C350" s="23"/>
      <c r="D350" s="23"/>
      <c r="E350" s="24"/>
      <c r="F350" s="25"/>
      <c r="G350" s="26"/>
      <c r="H350" s="27"/>
      <c r="I350" s="28"/>
      <c r="J350" s="28"/>
      <c r="K350" s="28"/>
      <c r="L350" s="28"/>
      <c r="M350" s="28"/>
      <c r="N350" s="28"/>
      <c r="O350" s="28"/>
      <c r="P350" s="42"/>
      <c r="Q350" s="29"/>
      <c r="R350" s="29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14"/>
    </row>
    <row r="351" spans="1:29" x14ac:dyDescent="0.2">
      <c r="A351" s="12"/>
      <c r="B351" s="22"/>
      <c r="C351" s="23"/>
      <c r="D351" s="23"/>
      <c r="E351" s="24"/>
      <c r="F351" s="25"/>
      <c r="G351" s="26"/>
      <c r="H351" s="27"/>
      <c r="I351" s="28"/>
      <c r="J351" s="28"/>
      <c r="K351" s="28"/>
      <c r="L351" s="28"/>
      <c r="M351" s="28"/>
      <c r="N351" s="28"/>
      <c r="O351" s="28"/>
      <c r="P351" s="42"/>
      <c r="Q351" s="29"/>
      <c r="R351" s="29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14"/>
    </row>
    <row r="352" spans="1:29" x14ac:dyDescent="0.2">
      <c r="A352" s="12"/>
      <c r="B352" s="22"/>
      <c r="C352" s="23"/>
      <c r="D352" s="23"/>
      <c r="E352" s="24"/>
      <c r="F352" s="25"/>
      <c r="G352" s="26"/>
      <c r="H352" s="27"/>
      <c r="I352" s="28"/>
      <c r="J352" s="28"/>
      <c r="K352" s="28"/>
      <c r="L352" s="28"/>
      <c r="M352" s="28"/>
      <c r="N352" s="28"/>
      <c r="O352" s="28"/>
      <c r="P352" s="42"/>
      <c r="Q352" s="29"/>
      <c r="R352" s="29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14"/>
    </row>
    <row r="353" spans="1:29" x14ac:dyDescent="0.2">
      <c r="A353" s="12"/>
      <c r="B353" s="22"/>
      <c r="C353" s="23"/>
      <c r="D353" s="23"/>
      <c r="E353" s="24"/>
      <c r="F353" s="25"/>
      <c r="G353" s="26"/>
      <c r="H353" s="27"/>
      <c r="I353" s="28"/>
      <c r="J353" s="28"/>
      <c r="K353" s="28"/>
      <c r="L353" s="28"/>
      <c r="M353" s="28"/>
      <c r="N353" s="28"/>
      <c r="O353" s="28"/>
      <c r="P353" s="42"/>
      <c r="Q353" s="29"/>
      <c r="R353" s="29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14"/>
    </row>
    <row r="354" spans="1:29" x14ac:dyDescent="0.2">
      <c r="A354" s="12"/>
      <c r="B354" s="22"/>
      <c r="C354" s="23"/>
      <c r="D354" s="23"/>
      <c r="E354" s="24"/>
      <c r="F354" s="25"/>
      <c r="G354" s="26"/>
      <c r="H354" s="27"/>
      <c r="I354" s="28"/>
      <c r="J354" s="28"/>
      <c r="K354" s="28"/>
      <c r="L354" s="28"/>
      <c r="M354" s="28"/>
      <c r="N354" s="28"/>
      <c r="O354" s="28"/>
      <c r="P354" s="42"/>
      <c r="Q354" s="29"/>
      <c r="R354" s="29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14"/>
    </row>
    <row r="355" spans="1:29" x14ac:dyDescent="0.2">
      <c r="A355" s="12"/>
      <c r="B355" s="22"/>
      <c r="C355" s="23"/>
      <c r="D355" s="23"/>
      <c r="E355" s="24"/>
      <c r="F355" s="25"/>
      <c r="G355" s="26"/>
      <c r="H355" s="27"/>
      <c r="I355" s="28"/>
      <c r="J355" s="28"/>
      <c r="K355" s="28"/>
      <c r="L355" s="28"/>
      <c r="M355" s="28"/>
      <c r="N355" s="28"/>
      <c r="O355" s="28"/>
      <c r="P355" s="42"/>
      <c r="Q355" s="29"/>
      <c r="R355" s="29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14"/>
    </row>
    <row r="356" spans="1:29" x14ac:dyDescent="0.2">
      <c r="A356" s="12"/>
      <c r="B356" s="22"/>
      <c r="C356" s="23"/>
      <c r="D356" s="23"/>
      <c r="E356" s="24"/>
      <c r="F356" s="25"/>
      <c r="G356" s="26"/>
      <c r="H356" s="27"/>
      <c r="I356" s="28"/>
      <c r="J356" s="28"/>
      <c r="K356" s="28"/>
      <c r="L356" s="28"/>
      <c r="M356" s="28"/>
      <c r="N356" s="28"/>
      <c r="O356" s="28"/>
      <c r="P356" s="42"/>
      <c r="Q356" s="29"/>
      <c r="R356" s="29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14"/>
    </row>
    <row r="357" spans="1:29" x14ac:dyDescent="0.2">
      <c r="A357" s="12"/>
      <c r="B357" s="22"/>
      <c r="C357" s="23"/>
      <c r="D357" s="23"/>
      <c r="E357" s="24"/>
      <c r="F357" s="25"/>
      <c r="G357" s="26"/>
      <c r="H357" s="27"/>
      <c r="I357" s="28"/>
      <c r="J357" s="28"/>
      <c r="K357" s="28"/>
      <c r="L357" s="28"/>
      <c r="M357" s="28"/>
      <c r="N357" s="28"/>
      <c r="O357" s="28"/>
      <c r="P357" s="42"/>
      <c r="Q357" s="29"/>
      <c r="R357" s="29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14"/>
    </row>
    <row r="358" spans="1:29" x14ac:dyDescent="0.2">
      <c r="A358" s="12"/>
      <c r="B358" s="22"/>
      <c r="C358" s="23"/>
      <c r="D358" s="23"/>
      <c r="E358" s="24"/>
      <c r="F358" s="25"/>
      <c r="G358" s="26"/>
      <c r="H358" s="27"/>
      <c r="I358" s="28"/>
      <c r="J358" s="28"/>
      <c r="K358" s="28"/>
      <c r="L358" s="28"/>
      <c r="M358" s="28"/>
      <c r="N358" s="28"/>
      <c r="O358" s="28"/>
      <c r="P358" s="42"/>
      <c r="Q358" s="29"/>
      <c r="R358" s="29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14"/>
    </row>
    <row r="359" spans="1:29" x14ac:dyDescent="0.2">
      <c r="A359" s="12"/>
      <c r="B359" s="22"/>
      <c r="C359" s="23"/>
      <c r="D359" s="23"/>
      <c r="E359" s="24"/>
      <c r="F359" s="25"/>
      <c r="G359" s="26"/>
      <c r="H359" s="27"/>
      <c r="I359" s="28"/>
      <c r="J359" s="28"/>
      <c r="K359" s="28"/>
      <c r="L359" s="28"/>
      <c r="M359" s="28"/>
      <c r="N359" s="28"/>
      <c r="O359" s="28"/>
      <c r="P359" s="42"/>
      <c r="Q359" s="29"/>
      <c r="R359" s="29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14"/>
    </row>
    <row r="360" spans="1:29" x14ac:dyDescent="0.2">
      <c r="A360" s="12"/>
      <c r="B360" s="22"/>
      <c r="C360" s="23"/>
      <c r="D360" s="23"/>
      <c r="E360" s="24"/>
      <c r="F360" s="25"/>
      <c r="G360" s="26"/>
      <c r="H360" s="27"/>
      <c r="I360" s="28"/>
      <c r="J360" s="28"/>
      <c r="K360" s="28"/>
      <c r="L360" s="28"/>
      <c r="M360" s="28"/>
      <c r="N360" s="28"/>
      <c r="O360" s="28"/>
      <c r="P360" s="42"/>
      <c r="Q360" s="29"/>
      <c r="R360" s="29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14"/>
    </row>
    <row r="361" spans="1:29" x14ac:dyDescent="0.2">
      <c r="A361" s="12"/>
      <c r="B361" s="22"/>
      <c r="C361" s="23"/>
      <c r="D361" s="23"/>
      <c r="E361" s="24"/>
      <c r="F361" s="25"/>
      <c r="G361" s="26"/>
      <c r="H361" s="27"/>
      <c r="I361" s="28"/>
      <c r="J361" s="28"/>
      <c r="K361" s="28"/>
      <c r="L361" s="28"/>
      <c r="M361" s="28"/>
      <c r="N361" s="28"/>
      <c r="O361" s="28"/>
      <c r="P361" s="42"/>
      <c r="Q361" s="29"/>
      <c r="R361" s="29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14"/>
    </row>
    <row r="362" spans="1:29" x14ac:dyDescent="0.2">
      <c r="A362" s="12"/>
      <c r="B362" s="22"/>
      <c r="C362" s="23"/>
      <c r="D362" s="23"/>
      <c r="E362" s="24"/>
      <c r="F362" s="25"/>
      <c r="G362" s="26"/>
      <c r="H362" s="27"/>
      <c r="I362" s="28"/>
      <c r="J362" s="28"/>
      <c r="K362" s="28"/>
      <c r="L362" s="28"/>
      <c r="M362" s="28"/>
      <c r="N362" s="28"/>
      <c r="O362" s="28"/>
      <c r="P362" s="42"/>
      <c r="Q362" s="29"/>
      <c r="R362" s="29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14"/>
    </row>
    <row r="363" spans="1:29" x14ac:dyDescent="0.2">
      <c r="A363" s="12"/>
      <c r="B363" s="22"/>
      <c r="C363" s="23"/>
      <c r="D363" s="23"/>
      <c r="E363" s="24"/>
      <c r="F363" s="25"/>
      <c r="G363" s="26"/>
      <c r="H363" s="27"/>
      <c r="I363" s="28"/>
      <c r="J363" s="28"/>
      <c r="K363" s="28"/>
      <c r="L363" s="28"/>
      <c r="M363" s="28"/>
      <c r="N363" s="28"/>
      <c r="O363" s="28"/>
      <c r="P363" s="42"/>
      <c r="Q363" s="29"/>
      <c r="R363" s="29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14"/>
    </row>
    <row r="364" spans="1:29" x14ac:dyDescent="0.2">
      <c r="A364" s="12"/>
      <c r="B364" s="22"/>
      <c r="C364" s="23"/>
      <c r="D364" s="23"/>
      <c r="E364" s="24"/>
      <c r="F364" s="25"/>
      <c r="G364" s="26"/>
      <c r="H364" s="27"/>
      <c r="I364" s="28"/>
      <c r="J364" s="28"/>
      <c r="K364" s="28"/>
      <c r="L364" s="28"/>
      <c r="M364" s="28"/>
      <c r="N364" s="28"/>
      <c r="O364" s="28"/>
      <c r="P364" s="42"/>
      <c r="Q364" s="29"/>
      <c r="R364" s="29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14"/>
    </row>
    <row r="365" spans="1:29" x14ac:dyDescent="0.2">
      <c r="A365" s="12"/>
      <c r="B365" s="22"/>
      <c r="C365" s="23"/>
      <c r="D365" s="23"/>
      <c r="E365" s="24"/>
      <c r="F365" s="25"/>
      <c r="G365" s="26"/>
      <c r="H365" s="27"/>
      <c r="I365" s="28"/>
      <c r="J365" s="28"/>
      <c r="K365" s="28"/>
      <c r="L365" s="28"/>
      <c r="M365" s="28"/>
      <c r="N365" s="28"/>
      <c r="O365" s="28"/>
      <c r="P365" s="42"/>
      <c r="Q365" s="29"/>
      <c r="R365" s="29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14"/>
    </row>
    <row r="366" spans="1:29" x14ac:dyDescent="0.2">
      <c r="A366" s="12"/>
      <c r="B366" s="22"/>
      <c r="C366" s="23"/>
      <c r="D366" s="23"/>
      <c r="E366" s="24"/>
      <c r="F366" s="25"/>
      <c r="G366" s="26"/>
      <c r="H366" s="27"/>
      <c r="I366" s="28"/>
      <c r="J366" s="28"/>
      <c r="K366" s="28"/>
      <c r="L366" s="28"/>
      <c r="M366" s="28"/>
      <c r="N366" s="28"/>
      <c r="O366" s="28"/>
      <c r="P366" s="42"/>
      <c r="Q366" s="29"/>
      <c r="R366" s="29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14"/>
    </row>
    <row r="367" spans="1:29" x14ac:dyDescent="0.2">
      <c r="A367" s="12"/>
      <c r="B367" s="22"/>
      <c r="C367" s="23"/>
      <c r="D367" s="23"/>
      <c r="E367" s="24"/>
      <c r="F367" s="25"/>
      <c r="G367" s="26"/>
      <c r="H367" s="27"/>
      <c r="I367" s="28"/>
      <c r="J367" s="28"/>
      <c r="K367" s="28"/>
      <c r="L367" s="28"/>
      <c r="M367" s="28"/>
      <c r="N367" s="28"/>
      <c r="O367" s="28"/>
      <c r="P367" s="42"/>
      <c r="Q367" s="29"/>
      <c r="R367" s="29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14"/>
    </row>
    <row r="368" spans="1:29" x14ac:dyDescent="0.2">
      <c r="A368" s="12"/>
      <c r="B368" s="22"/>
      <c r="C368" s="23"/>
      <c r="D368" s="23"/>
      <c r="E368" s="24"/>
      <c r="F368" s="25"/>
      <c r="G368" s="26"/>
      <c r="H368" s="27"/>
      <c r="I368" s="28"/>
      <c r="J368" s="28"/>
      <c r="K368" s="28"/>
      <c r="L368" s="28"/>
      <c r="M368" s="28"/>
      <c r="N368" s="28"/>
      <c r="O368" s="28"/>
      <c r="P368" s="42"/>
      <c r="Q368" s="29"/>
      <c r="R368" s="29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14"/>
    </row>
    <row r="369" spans="1:29" x14ac:dyDescent="0.2">
      <c r="A369" s="12"/>
      <c r="B369" s="22"/>
      <c r="C369" s="23"/>
      <c r="D369" s="23"/>
      <c r="E369" s="24"/>
      <c r="F369" s="25"/>
      <c r="G369" s="26"/>
      <c r="H369" s="27"/>
      <c r="I369" s="28"/>
      <c r="J369" s="28"/>
      <c r="K369" s="28"/>
      <c r="L369" s="28"/>
      <c r="M369" s="28"/>
      <c r="N369" s="28"/>
      <c r="O369" s="28"/>
      <c r="P369" s="42"/>
      <c r="Q369" s="29"/>
      <c r="R369" s="29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14"/>
    </row>
    <row r="370" spans="1:29" x14ac:dyDescent="0.2">
      <c r="A370" s="12"/>
      <c r="B370" s="22"/>
      <c r="C370" s="23"/>
      <c r="D370" s="23"/>
      <c r="E370" s="24"/>
      <c r="F370" s="25"/>
      <c r="G370" s="26"/>
      <c r="H370" s="27"/>
      <c r="I370" s="28"/>
      <c r="J370" s="28"/>
      <c r="K370" s="28"/>
      <c r="L370" s="28"/>
      <c r="M370" s="28"/>
      <c r="N370" s="28"/>
      <c r="O370" s="28"/>
      <c r="P370" s="42"/>
      <c r="Q370" s="29"/>
      <c r="R370" s="29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14"/>
    </row>
    <row r="371" spans="1:29" x14ac:dyDescent="0.2">
      <c r="A371" s="12"/>
      <c r="B371" s="22"/>
      <c r="C371" s="23"/>
      <c r="D371" s="23"/>
      <c r="E371" s="24"/>
      <c r="F371" s="25"/>
      <c r="G371" s="26"/>
      <c r="H371" s="27"/>
      <c r="I371" s="28"/>
      <c r="J371" s="28"/>
      <c r="K371" s="28"/>
      <c r="L371" s="28"/>
      <c r="M371" s="28"/>
      <c r="N371" s="28"/>
      <c r="O371" s="28"/>
      <c r="P371" s="42"/>
      <c r="Q371" s="29"/>
      <c r="R371" s="29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14"/>
    </row>
    <row r="372" spans="1:29" x14ac:dyDescent="0.2">
      <c r="A372" s="12"/>
      <c r="B372" s="22"/>
      <c r="C372" s="23"/>
      <c r="D372" s="23"/>
      <c r="E372" s="24"/>
      <c r="F372" s="25"/>
      <c r="G372" s="26"/>
      <c r="H372" s="27"/>
      <c r="I372" s="28"/>
      <c r="J372" s="28"/>
      <c r="K372" s="28"/>
      <c r="L372" s="28"/>
      <c r="M372" s="28"/>
      <c r="N372" s="28"/>
      <c r="O372" s="28"/>
      <c r="P372" s="42"/>
      <c r="Q372" s="29"/>
      <c r="R372" s="29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14"/>
    </row>
    <row r="373" spans="1:29" x14ac:dyDescent="0.2">
      <c r="A373" s="12"/>
      <c r="B373" s="22"/>
      <c r="C373" s="23"/>
      <c r="D373" s="23"/>
      <c r="E373" s="24"/>
      <c r="F373" s="25"/>
      <c r="G373" s="26"/>
      <c r="H373" s="27"/>
      <c r="I373" s="28"/>
      <c r="J373" s="28"/>
      <c r="K373" s="28"/>
      <c r="L373" s="28"/>
      <c r="M373" s="28"/>
      <c r="N373" s="28"/>
      <c r="O373" s="28"/>
      <c r="P373" s="42"/>
      <c r="Q373" s="29"/>
      <c r="R373" s="29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14"/>
    </row>
    <row r="374" spans="1:29" x14ac:dyDescent="0.2">
      <c r="A374" s="12"/>
      <c r="B374" s="22"/>
      <c r="C374" s="23"/>
      <c r="D374" s="23"/>
      <c r="E374" s="24"/>
      <c r="F374" s="25"/>
      <c r="G374" s="26"/>
      <c r="H374" s="27"/>
      <c r="I374" s="28"/>
      <c r="J374" s="28"/>
      <c r="K374" s="28"/>
      <c r="L374" s="28"/>
      <c r="M374" s="28"/>
      <c r="N374" s="28"/>
      <c r="O374" s="28"/>
      <c r="P374" s="42"/>
      <c r="Q374" s="29"/>
      <c r="R374" s="29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14"/>
    </row>
    <row r="375" spans="1:29" x14ac:dyDescent="0.2">
      <c r="A375" s="12"/>
      <c r="B375" s="22"/>
      <c r="C375" s="23"/>
      <c r="D375" s="23"/>
      <c r="E375" s="24"/>
      <c r="F375" s="25"/>
      <c r="G375" s="26"/>
      <c r="H375" s="27"/>
      <c r="I375" s="28"/>
      <c r="J375" s="28"/>
      <c r="K375" s="28"/>
      <c r="L375" s="28"/>
      <c r="M375" s="28"/>
      <c r="N375" s="28"/>
      <c r="O375" s="28"/>
      <c r="P375" s="42"/>
      <c r="Q375" s="29"/>
      <c r="R375" s="29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14"/>
    </row>
    <row r="376" spans="1:29" x14ac:dyDescent="0.2">
      <c r="A376" s="12"/>
      <c r="B376" s="22"/>
      <c r="C376" s="23"/>
      <c r="D376" s="23"/>
      <c r="E376" s="24"/>
      <c r="F376" s="25"/>
      <c r="G376" s="26"/>
      <c r="H376" s="27"/>
      <c r="I376" s="28"/>
      <c r="J376" s="28"/>
      <c r="K376" s="28"/>
      <c r="L376" s="28"/>
      <c r="M376" s="28"/>
      <c r="N376" s="28"/>
      <c r="O376" s="28"/>
      <c r="P376" s="42"/>
      <c r="Q376" s="29"/>
      <c r="R376" s="29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14"/>
    </row>
    <row r="377" spans="1:29" x14ac:dyDescent="0.2">
      <c r="A377" s="12"/>
      <c r="B377" s="22"/>
      <c r="C377" s="23"/>
      <c r="D377" s="23"/>
      <c r="E377" s="24"/>
      <c r="F377" s="25"/>
      <c r="G377" s="26"/>
      <c r="H377" s="27"/>
      <c r="I377" s="28"/>
      <c r="J377" s="28"/>
      <c r="K377" s="28"/>
      <c r="L377" s="28"/>
      <c r="M377" s="28"/>
      <c r="N377" s="28"/>
      <c r="O377" s="28"/>
      <c r="P377" s="42"/>
      <c r="Q377" s="29"/>
      <c r="R377" s="29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14"/>
    </row>
    <row r="378" spans="1:29" x14ac:dyDescent="0.2">
      <c r="A378" s="12"/>
      <c r="B378" s="22"/>
      <c r="C378" s="23"/>
      <c r="D378" s="23"/>
      <c r="E378" s="24"/>
      <c r="F378" s="25"/>
      <c r="G378" s="26"/>
      <c r="H378" s="27"/>
      <c r="I378" s="28"/>
      <c r="J378" s="28"/>
      <c r="K378" s="28"/>
      <c r="L378" s="28"/>
      <c r="M378" s="28"/>
      <c r="N378" s="28"/>
      <c r="O378" s="28"/>
      <c r="P378" s="42"/>
      <c r="Q378" s="29"/>
      <c r="R378" s="29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14"/>
    </row>
    <row r="379" spans="1:29" x14ac:dyDescent="0.2">
      <c r="A379" s="12"/>
      <c r="B379" s="22"/>
      <c r="C379" s="23"/>
      <c r="D379" s="23"/>
      <c r="E379" s="24"/>
      <c r="F379" s="25"/>
      <c r="G379" s="26"/>
      <c r="H379" s="27"/>
      <c r="I379" s="28"/>
      <c r="J379" s="28"/>
      <c r="K379" s="28"/>
      <c r="L379" s="28"/>
      <c r="M379" s="28"/>
      <c r="N379" s="28"/>
      <c r="O379" s="28"/>
      <c r="P379" s="42"/>
      <c r="Q379" s="29"/>
      <c r="R379" s="29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14"/>
    </row>
    <row r="380" spans="1:29" x14ac:dyDescent="0.2">
      <c r="A380" s="12"/>
      <c r="B380" s="22"/>
      <c r="C380" s="23"/>
      <c r="D380" s="23"/>
      <c r="E380" s="24"/>
      <c r="F380" s="25"/>
      <c r="G380" s="26"/>
      <c r="H380" s="27"/>
      <c r="I380" s="28"/>
      <c r="J380" s="28"/>
      <c r="K380" s="28"/>
      <c r="L380" s="28"/>
      <c r="M380" s="28"/>
      <c r="N380" s="28"/>
      <c r="O380" s="28"/>
      <c r="P380" s="42"/>
      <c r="Q380" s="29"/>
      <c r="R380" s="29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14"/>
    </row>
    <row r="381" spans="1:29" x14ac:dyDescent="0.2">
      <c r="A381" s="12"/>
      <c r="B381" s="22"/>
      <c r="C381" s="23"/>
      <c r="D381" s="23"/>
      <c r="E381" s="24"/>
      <c r="F381" s="25"/>
      <c r="G381" s="26"/>
      <c r="H381" s="27"/>
      <c r="I381" s="28"/>
      <c r="J381" s="28"/>
      <c r="K381" s="28"/>
      <c r="L381" s="28"/>
      <c r="M381" s="28"/>
      <c r="N381" s="28"/>
      <c r="O381" s="28"/>
      <c r="P381" s="42"/>
      <c r="Q381" s="29"/>
      <c r="R381" s="29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14"/>
    </row>
    <row r="382" spans="1:29" x14ac:dyDescent="0.2">
      <c r="A382" s="12"/>
      <c r="B382" s="22"/>
      <c r="C382" s="23"/>
      <c r="D382" s="23"/>
      <c r="E382" s="24"/>
      <c r="F382" s="25"/>
      <c r="G382" s="26"/>
      <c r="H382" s="27"/>
      <c r="I382" s="28"/>
      <c r="J382" s="28"/>
      <c r="K382" s="28"/>
      <c r="L382" s="28"/>
      <c r="M382" s="28"/>
      <c r="N382" s="28"/>
      <c r="O382" s="28"/>
      <c r="P382" s="42"/>
      <c r="Q382" s="29"/>
      <c r="R382" s="29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14"/>
    </row>
    <row r="383" spans="1:29" x14ac:dyDescent="0.2">
      <c r="A383" s="12"/>
      <c r="B383" s="22"/>
      <c r="C383" s="23"/>
      <c r="D383" s="23"/>
      <c r="E383" s="24"/>
      <c r="F383" s="25"/>
      <c r="G383" s="26"/>
      <c r="H383" s="27"/>
      <c r="I383" s="28"/>
      <c r="J383" s="28"/>
      <c r="K383" s="28"/>
      <c r="L383" s="28"/>
      <c r="M383" s="28"/>
      <c r="N383" s="28"/>
      <c r="O383" s="28"/>
      <c r="P383" s="42"/>
      <c r="Q383" s="29"/>
      <c r="R383" s="29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14"/>
    </row>
    <row r="384" spans="1:29" x14ac:dyDescent="0.2">
      <c r="A384" s="12"/>
      <c r="B384" s="22"/>
      <c r="C384" s="23"/>
      <c r="D384" s="23"/>
      <c r="E384" s="24"/>
      <c r="F384" s="25"/>
      <c r="G384" s="26"/>
      <c r="H384" s="27"/>
      <c r="I384" s="28"/>
      <c r="J384" s="28"/>
      <c r="K384" s="28"/>
      <c r="L384" s="28"/>
      <c r="M384" s="28"/>
      <c r="N384" s="28"/>
      <c r="O384" s="28"/>
      <c r="P384" s="42"/>
      <c r="Q384" s="29"/>
      <c r="R384" s="29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14"/>
    </row>
    <row r="385" spans="1:29" x14ac:dyDescent="0.2">
      <c r="A385" s="12"/>
      <c r="B385" s="22"/>
      <c r="C385" s="23"/>
      <c r="D385" s="23"/>
      <c r="E385" s="24"/>
      <c r="F385" s="25"/>
      <c r="G385" s="26"/>
      <c r="H385" s="27"/>
      <c r="I385" s="28"/>
      <c r="J385" s="28"/>
      <c r="K385" s="28"/>
      <c r="L385" s="28"/>
      <c r="M385" s="28"/>
      <c r="N385" s="28"/>
      <c r="O385" s="28"/>
      <c r="P385" s="42"/>
      <c r="Q385" s="29"/>
      <c r="R385" s="29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14"/>
    </row>
    <row r="386" spans="1:29" x14ac:dyDescent="0.2">
      <c r="A386" s="12"/>
      <c r="B386" s="22"/>
      <c r="C386" s="23"/>
      <c r="D386" s="23"/>
      <c r="E386" s="24"/>
      <c r="F386" s="25"/>
      <c r="G386" s="26"/>
      <c r="H386" s="27"/>
      <c r="I386" s="28"/>
      <c r="J386" s="28"/>
      <c r="K386" s="28"/>
      <c r="L386" s="28"/>
      <c r="M386" s="28"/>
      <c r="N386" s="28"/>
      <c r="O386" s="28"/>
      <c r="P386" s="42"/>
      <c r="Q386" s="29"/>
      <c r="R386" s="29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14"/>
    </row>
    <row r="387" spans="1:29" x14ac:dyDescent="0.2">
      <c r="A387" s="12"/>
      <c r="B387" s="22"/>
      <c r="C387" s="23"/>
      <c r="D387" s="23"/>
      <c r="E387" s="24"/>
      <c r="F387" s="25"/>
      <c r="G387" s="26"/>
      <c r="H387" s="27"/>
      <c r="I387" s="28"/>
      <c r="J387" s="28"/>
      <c r="K387" s="28"/>
      <c r="L387" s="28"/>
      <c r="M387" s="28"/>
      <c r="N387" s="28"/>
      <c r="O387" s="28"/>
      <c r="P387" s="42"/>
      <c r="Q387" s="29"/>
      <c r="R387" s="29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14"/>
    </row>
    <row r="388" spans="1:29" x14ac:dyDescent="0.2">
      <c r="A388" s="12"/>
      <c r="B388" s="22"/>
      <c r="C388" s="23"/>
      <c r="D388" s="23"/>
      <c r="E388" s="24"/>
      <c r="F388" s="25"/>
      <c r="G388" s="26"/>
      <c r="H388" s="27"/>
      <c r="I388" s="28"/>
      <c r="J388" s="28"/>
      <c r="K388" s="28"/>
      <c r="L388" s="28"/>
      <c r="M388" s="28"/>
      <c r="N388" s="28"/>
      <c r="O388" s="28"/>
      <c r="P388" s="42"/>
      <c r="Q388" s="29"/>
      <c r="R388" s="29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14"/>
    </row>
    <row r="389" spans="1:29" x14ac:dyDescent="0.2">
      <c r="A389" s="12"/>
      <c r="B389" s="22"/>
      <c r="C389" s="23"/>
      <c r="D389" s="23"/>
      <c r="E389" s="24"/>
      <c r="F389" s="25"/>
      <c r="G389" s="26"/>
      <c r="H389" s="27"/>
      <c r="I389" s="28"/>
      <c r="J389" s="28"/>
      <c r="K389" s="28"/>
      <c r="L389" s="28"/>
      <c r="M389" s="28"/>
      <c r="N389" s="28"/>
      <c r="O389" s="28"/>
      <c r="P389" s="42"/>
      <c r="Q389" s="29"/>
      <c r="R389" s="29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14"/>
    </row>
    <row r="390" spans="1:29" x14ac:dyDescent="0.2">
      <c r="A390" s="12"/>
      <c r="B390" s="22"/>
      <c r="C390" s="23"/>
      <c r="D390" s="23"/>
      <c r="E390" s="24"/>
      <c r="F390" s="25"/>
      <c r="G390" s="26"/>
      <c r="H390" s="27"/>
      <c r="I390" s="28"/>
      <c r="J390" s="28"/>
      <c r="K390" s="28"/>
      <c r="L390" s="28"/>
      <c r="M390" s="28"/>
      <c r="N390" s="28"/>
      <c r="O390" s="28"/>
      <c r="P390" s="42"/>
      <c r="Q390" s="29"/>
      <c r="R390" s="29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14"/>
    </row>
    <row r="391" spans="1:29" x14ac:dyDescent="0.2">
      <c r="A391" s="12"/>
      <c r="B391" s="22"/>
      <c r="C391" s="23"/>
      <c r="D391" s="23"/>
      <c r="E391" s="24"/>
      <c r="F391" s="25"/>
      <c r="G391" s="26"/>
      <c r="H391" s="27"/>
      <c r="I391" s="28"/>
      <c r="J391" s="28"/>
      <c r="K391" s="28"/>
      <c r="L391" s="28"/>
      <c r="M391" s="28"/>
      <c r="N391" s="28"/>
      <c r="O391" s="28"/>
      <c r="P391" s="42"/>
      <c r="Q391" s="29"/>
      <c r="R391" s="29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14"/>
    </row>
    <row r="392" spans="1:29" x14ac:dyDescent="0.2">
      <c r="A392" s="12"/>
      <c r="B392" s="22"/>
      <c r="C392" s="23"/>
      <c r="D392" s="23"/>
      <c r="E392" s="24"/>
      <c r="F392" s="25"/>
      <c r="G392" s="26"/>
      <c r="H392" s="27"/>
      <c r="I392" s="28"/>
      <c r="J392" s="28"/>
      <c r="K392" s="28"/>
      <c r="L392" s="28"/>
      <c r="M392" s="28"/>
      <c r="N392" s="28"/>
      <c r="O392" s="28"/>
      <c r="P392" s="42"/>
      <c r="Q392" s="29"/>
      <c r="R392" s="29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14"/>
    </row>
    <row r="393" spans="1:29" x14ac:dyDescent="0.2">
      <c r="A393" s="12"/>
      <c r="B393" s="22"/>
      <c r="C393" s="23"/>
      <c r="D393" s="23"/>
      <c r="E393" s="24"/>
      <c r="F393" s="25"/>
      <c r="G393" s="26"/>
      <c r="H393" s="27"/>
      <c r="I393" s="28"/>
      <c r="J393" s="28"/>
      <c r="K393" s="28"/>
      <c r="L393" s="28"/>
      <c r="M393" s="28"/>
      <c r="N393" s="28"/>
      <c r="O393" s="28"/>
      <c r="P393" s="42"/>
      <c r="Q393" s="29"/>
      <c r="R393" s="29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14"/>
    </row>
    <row r="394" spans="1:29" x14ac:dyDescent="0.2">
      <c r="A394" s="12"/>
      <c r="B394" s="22"/>
      <c r="C394" s="23"/>
      <c r="D394" s="23"/>
      <c r="E394" s="24"/>
      <c r="F394" s="25"/>
      <c r="G394" s="26"/>
      <c r="H394" s="27"/>
      <c r="I394" s="28"/>
      <c r="J394" s="28"/>
      <c r="K394" s="28"/>
      <c r="L394" s="28"/>
      <c r="M394" s="28"/>
      <c r="N394" s="28"/>
      <c r="O394" s="28"/>
      <c r="P394" s="42"/>
      <c r="Q394" s="29"/>
      <c r="R394" s="29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14"/>
    </row>
    <row r="395" spans="1:29" x14ac:dyDescent="0.2">
      <c r="A395" s="12"/>
      <c r="B395" s="22"/>
      <c r="C395" s="23"/>
      <c r="D395" s="23"/>
      <c r="E395" s="24"/>
      <c r="F395" s="25"/>
      <c r="G395" s="26"/>
      <c r="H395" s="27"/>
      <c r="I395" s="28"/>
      <c r="J395" s="28"/>
      <c r="K395" s="28"/>
      <c r="L395" s="28"/>
      <c r="M395" s="28"/>
      <c r="N395" s="28"/>
      <c r="O395" s="28"/>
      <c r="P395" s="42"/>
      <c r="Q395" s="29"/>
      <c r="R395" s="29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14"/>
    </row>
    <row r="396" spans="1:29" x14ac:dyDescent="0.2">
      <c r="A396" s="12"/>
      <c r="B396" s="22"/>
      <c r="C396" s="23"/>
      <c r="D396" s="23"/>
      <c r="E396" s="24"/>
      <c r="F396" s="25"/>
      <c r="G396" s="26"/>
      <c r="H396" s="27"/>
      <c r="I396" s="28"/>
      <c r="J396" s="28"/>
      <c r="K396" s="28"/>
      <c r="L396" s="28"/>
      <c r="M396" s="28"/>
      <c r="N396" s="28"/>
      <c r="O396" s="28"/>
      <c r="P396" s="42"/>
      <c r="Q396" s="29"/>
      <c r="R396" s="29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14"/>
    </row>
    <row r="397" spans="1:29" x14ac:dyDescent="0.2">
      <c r="A397" s="12"/>
      <c r="B397" s="22"/>
      <c r="C397" s="23"/>
      <c r="D397" s="23"/>
      <c r="E397" s="24"/>
      <c r="F397" s="25"/>
      <c r="G397" s="26"/>
      <c r="H397" s="27"/>
      <c r="I397" s="28"/>
      <c r="J397" s="28"/>
      <c r="K397" s="28"/>
      <c r="L397" s="28"/>
      <c r="M397" s="28"/>
      <c r="N397" s="28"/>
      <c r="O397" s="28"/>
      <c r="P397" s="42"/>
      <c r="Q397" s="29"/>
      <c r="R397" s="29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14"/>
    </row>
    <row r="398" spans="1:29" x14ac:dyDescent="0.2">
      <c r="A398" s="12"/>
      <c r="B398" s="22"/>
      <c r="C398" s="23"/>
      <c r="D398" s="23"/>
      <c r="E398" s="24"/>
      <c r="F398" s="25"/>
      <c r="G398" s="26"/>
      <c r="H398" s="27"/>
      <c r="I398" s="28"/>
      <c r="J398" s="28"/>
      <c r="K398" s="28"/>
      <c r="L398" s="28"/>
      <c r="M398" s="28"/>
      <c r="N398" s="28"/>
      <c r="O398" s="28"/>
      <c r="P398" s="42"/>
      <c r="Q398" s="29"/>
      <c r="R398" s="29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14"/>
    </row>
    <row r="399" spans="1:29" x14ac:dyDescent="0.2">
      <c r="A399" s="12"/>
      <c r="B399" s="22"/>
      <c r="C399" s="23"/>
      <c r="D399" s="23"/>
      <c r="E399" s="24"/>
      <c r="F399" s="25"/>
      <c r="G399" s="26"/>
      <c r="H399" s="27"/>
      <c r="I399" s="28"/>
      <c r="J399" s="28"/>
      <c r="K399" s="28"/>
      <c r="L399" s="28"/>
      <c r="M399" s="28"/>
      <c r="N399" s="28"/>
      <c r="O399" s="28"/>
      <c r="P399" s="42"/>
      <c r="Q399" s="29"/>
      <c r="R399" s="29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14"/>
    </row>
    <row r="400" spans="1:29" x14ac:dyDescent="0.2">
      <c r="A400" s="12"/>
      <c r="B400" s="22"/>
      <c r="C400" s="23"/>
      <c r="D400" s="23"/>
      <c r="E400" s="24"/>
      <c r="F400" s="25"/>
      <c r="G400" s="26"/>
      <c r="H400" s="27"/>
      <c r="I400" s="28"/>
      <c r="J400" s="28"/>
      <c r="K400" s="28"/>
      <c r="L400" s="28"/>
      <c r="M400" s="28"/>
      <c r="N400" s="28"/>
      <c r="O400" s="28"/>
      <c r="P400" s="42"/>
      <c r="Q400" s="29"/>
      <c r="R400" s="29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14"/>
    </row>
    <row r="401" spans="1:29" x14ac:dyDescent="0.2">
      <c r="A401" s="12"/>
      <c r="B401" s="22"/>
      <c r="C401" s="23"/>
      <c r="D401" s="23"/>
      <c r="E401" s="24"/>
      <c r="F401" s="25"/>
      <c r="G401" s="26"/>
      <c r="H401" s="27"/>
      <c r="I401" s="28"/>
      <c r="J401" s="28"/>
      <c r="K401" s="28"/>
      <c r="L401" s="28"/>
      <c r="M401" s="28"/>
      <c r="N401" s="28"/>
      <c r="O401" s="28"/>
      <c r="P401" s="42"/>
      <c r="Q401" s="29"/>
      <c r="R401" s="29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14"/>
    </row>
    <row r="402" spans="1:29" x14ac:dyDescent="0.2">
      <c r="A402" s="12"/>
      <c r="B402" s="22"/>
      <c r="C402" s="23"/>
      <c r="D402" s="23"/>
      <c r="E402" s="24"/>
      <c r="F402" s="25"/>
      <c r="G402" s="26"/>
      <c r="H402" s="27"/>
      <c r="I402" s="28"/>
      <c r="J402" s="28"/>
      <c r="K402" s="28"/>
      <c r="L402" s="28"/>
      <c r="M402" s="28"/>
      <c r="N402" s="28"/>
      <c r="O402" s="28"/>
      <c r="P402" s="42"/>
      <c r="Q402" s="29"/>
      <c r="R402" s="29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14"/>
    </row>
    <row r="403" spans="1:29" x14ac:dyDescent="0.2">
      <c r="A403" s="12"/>
      <c r="B403" s="22"/>
      <c r="C403" s="23"/>
      <c r="D403" s="23"/>
      <c r="E403" s="24"/>
      <c r="F403" s="25"/>
      <c r="G403" s="26"/>
      <c r="H403" s="27"/>
      <c r="I403" s="28"/>
      <c r="J403" s="28"/>
      <c r="K403" s="28"/>
      <c r="L403" s="28"/>
      <c r="M403" s="28"/>
      <c r="N403" s="28"/>
      <c r="O403" s="28"/>
      <c r="P403" s="42"/>
      <c r="Q403" s="29"/>
      <c r="R403" s="29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14"/>
    </row>
    <row r="404" spans="1:29" x14ac:dyDescent="0.2">
      <c r="A404" s="12"/>
      <c r="B404" s="22"/>
      <c r="C404" s="23"/>
      <c r="D404" s="23"/>
      <c r="E404" s="24"/>
      <c r="F404" s="25"/>
      <c r="G404" s="26"/>
      <c r="H404" s="27"/>
      <c r="I404" s="28"/>
      <c r="J404" s="28"/>
      <c r="K404" s="28"/>
      <c r="L404" s="28"/>
      <c r="M404" s="28"/>
      <c r="N404" s="28"/>
      <c r="O404" s="28"/>
      <c r="P404" s="42"/>
      <c r="Q404" s="29"/>
      <c r="R404" s="29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14"/>
    </row>
    <row r="405" spans="1:29" x14ac:dyDescent="0.2">
      <c r="A405" s="12"/>
      <c r="B405" s="22"/>
      <c r="C405" s="23"/>
      <c r="D405" s="23"/>
      <c r="E405" s="24"/>
      <c r="F405" s="25"/>
      <c r="G405" s="26"/>
      <c r="H405" s="27"/>
      <c r="I405" s="28"/>
      <c r="J405" s="28"/>
      <c r="K405" s="28"/>
      <c r="L405" s="28"/>
      <c r="M405" s="28"/>
      <c r="N405" s="28"/>
      <c r="O405" s="28"/>
      <c r="P405" s="42"/>
      <c r="Q405" s="29"/>
      <c r="R405" s="29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14"/>
    </row>
    <row r="406" spans="1:29" x14ac:dyDescent="0.2">
      <c r="A406" s="12"/>
      <c r="B406" s="22"/>
      <c r="C406" s="23"/>
      <c r="D406" s="23"/>
      <c r="E406" s="24"/>
      <c r="F406" s="25"/>
      <c r="G406" s="26"/>
      <c r="H406" s="27"/>
      <c r="I406" s="28"/>
      <c r="J406" s="28"/>
      <c r="K406" s="28"/>
      <c r="L406" s="28"/>
      <c r="M406" s="28"/>
      <c r="N406" s="28"/>
      <c r="O406" s="28"/>
      <c r="P406" s="42"/>
      <c r="Q406" s="29"/>
      <c r="R406" s="29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14"/>
    </row>
    <row r="407" spans="1:29" x14ac:dyDescent="0.2">
      <c r="A407" s="12"/>
      <c r="B407" s="22"/>
      <c r="C407" s="23"/>
      <c r="D407" s="23"/>
      <c r="E407" s="24"/>
      <c r="F407" s="25"/>
      <c r="G407" s="26"/>
      <c r="H407" s="27"/>
      <c r="I407" s="28"/>
      <c r="J407" s="28"/>
      <c r="K407" s="28"/>
      <c r="L407" s="28"/>
      <c r="M407" s="28"/>
      <c r="N407" s="28"/>
      <c r="O407" s="28"/>
      <c r="P407" s="42"/>
      <c r="Q407" s="29"/>
      <c r="R407" s="29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14"/>
    </row>
    <row r="408" spans="1:29" x14ac:dyDescent="0.2">
      <c r="A408" s="12"/>
      <c r="B408" s="22"/>
      <c r="C408" s="23"/>
      <c r="D408" s="23"/>
      <c r="E408" s="24"/>
      <c r="F408" s="25"/>
      <c r="G408" s="26"/>
      <c r="H408" s="27"/>
      <c r="I408" s="28"/>
      <c r="J408" s="28"/>
      <c r="K408" s="28"/>
      <c r="L408" s="28"/>
      <c r="M408" s="28"/>
      <c r="N408" s="28"/>
      <c r="O408" s="28"/>
      <c r="P408" s="42"/>
      <c r="Q408" s="29"/>
      <c r="R408" s="29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14"/>
    </row>
    <row r="409" spans="1:29" x14ac:dyDescent="0.2">
      <c r="A409" s="12"/>
      <c r="B409" s="22"/>
      <c r="C409" s="23"/>
      <c r="D409" s="23"/>
      <c r="E409" s="24"/>
      <c r="F409" s="25"/>
      <c r="G409" s="26"/>
      <c r="H409" s="27"/>
      <c r="I409" s="28"/>
      <c r="J409" s="28"/>
      <c r="K409" s="28"/>
      <c r="L409" s="28"/>
      <c r="M409" s="28"/>
      <c r="N409" s="28"/>
      <c r="O409" s="28"/>
      <c r="P409" s="42"/>
      <c r="Q409" s="29"/>
      <c r="R409" s="29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14"/>
    </row>
    <row r="410" spans="1:29" x14ac:dyDescent="0.2">
      <c r="A410" s="12"/>
      <c r="B410" s="22"/>
      <c r="C410" s="23"/>
      <c r="D410" s="23"/>
      <c r="E410" s="24"/>
      <c r="F410" s="25"/>
      <c r="G410" s="26"/>
      <c r="H410" s="27"/>
      <c r="I410" s="28"/>
      <c r="J410" s="28"/>
      <c r="K410" s="28"/>
      <c r="L410" s="28"/>
      <c r="M410" s="28"/>
      <c r="N410" s="28"/>
      <c r="O410" s="28"/>
      <c r="P410" s="42"/>
      <c r="Q410" s="29"/>
      <c r="R410" s="29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14"/>
    </row>
    <row r="411" spans="1:29" x14ac:dyDescent="0.2">
      <c r="A411" s="12"/>
      <c r="B411" s="22"/>
      <c r="C411" s="23"/>
      <c r="D411" s="23"/>
      <c r="E411" s="24"/>
      <c r="F411" s="25"/>
      <c r="G411" s="26"/>
      <c r="H411" s="27"/>
      <c r="I411" s="28"/>
      <c r="J411" s="28"/>
      <c r="K411" s="28"/>
      <c r="L411" s="28"/>
      <c r="M411" s="28"/>
      <c r="N411" s="28"/>
      <c r="O411" s="28"/>
      <c r="P411" s="42"/>
      <c r="Q411" s="29"/>
      <c r="R411" s="29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14"/>
    </row>
    <row r="412" spans="1:29" x14ac:dyDescent="0.2">
      <c r="A412" s="12"/>
      <c r="B412" s="22"/>
      <c r="C412" s="23"/>
      <c r="D412" s="23"/>
      <c r="E412" s="24"/>
      <c r="F412" s="25"/>
      <c r="G412" s="26"/>
      <c r="H412" s="27"/>
      <c r="I412" s="28"/>
      <c r="J412" s="28"/>
      <c r="K412" s="28"/>
      <c r="L412" s="28"/>
      <c r="M412" s="28"/>
      <c r="N412" s="28"/>
      <c r="O412" s="28"/>
      <c r="P412" s="42"/>
      <c r="Q412" s="29"/>
      <c r="R412" s="29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14"/>
    </row>
    <row r="413" spans="1:29" x14ac:dyDescent="0.2">
      <c r="A413" s="12"/>
      <c r="B413" s="22"/>
      <c r="C413" s="23"/>
      <c r="D413" s="23"/>
      <c r="E413" s="24"/>
      <c r="F413" s="25"/>
      <c r="G413" s="26"/>
      <c r="H413" s="27"/>
      <c r="I413" s="28"/>
      <c r="J413" s="28"/>
      <c r="K413" s="28"/>
      <c r="L413" s="28"/>
      <c r="M413" s="28"/>
      <c r="N413" s="28"/>
      <c r="O413" s="28"/>
      <c r="P413" s="42"/>
      <c r="Q413" s="29"/>
      <c r="R413" s="29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14"/>
    </row>
    <row r="414" spans="1:29" x14ac:dyDescent="0.2">
      <c r="A414" s="12"/>
      <c r="B414" s="22"/>
      <c r="C414" s="23"/>
      <c r="D414" s="23"/>
      <c r="E414" s="24"/>
      <c r="F414" s="25"/>
      <c r="G414" s="26"/>
      <c r="H414" s="27"/>
      <c r="I414" s="28"/>
      <c r="J414" s="28"/>
      <c r="K414" s="28"/>
      <c r="L414" s="28"/>
      <c r="M414" s="28"/>
      <c r="N414" s="28"/>
      <c r="O414" s="28"/>
      <c r="P414" s="42"/>
      <c r="Q414" s="29"/>
      <c r="R414" s="29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14"/>
    </row>
    <row r="415" spans="1:29" x14ac:dyDescent="0.2">
      <c r="A415" s="12"/>
      <c r="B415" s="22"/>
      <c r="C415" s="23"/>
      <c r="D415" s="23"/>
      <c r="E415" s="24"/>
      <c r="F415" s="25"/>
      <c r="G415" s="26"/>
      <c r="H415" s="27"/>
      <c r="I415" s="28"/>
      <c r="J415" s="28"/>
      <c r="K415" s="28"/>
      <c r="L415" s="28"/>
      <c r="M415" s="28"/>
      <c r="N415" s="28"/>
      <c r="O415" s="28"/>
      <c r="P415" s="42"/>
      <c r="Q415" s="29"/>
      <c r="R415" s="29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14"/>
    </row>
    <row r="416" spans="1:29" x14ac:dyDescent="0.2">
      <c r="A416" s="12"/>
      <c r="B416" s="22"/>
      <c r="C416" s="23"/>
      <c r="D416" s="23"/>
      <c r="E416" s="24"/>
      <c r="F416" s="25"/>
      <c r="G416" s="26"/>
      <c r="H416" s="27"/>
      <c r="I416" s="28"/>
      <c r="J416" s="28"/>
      <c r="K416" s="28"/>
      <c r="L416" s="28"/>
      <c r="M416" s="28"/>
      <c r="N416" s="28"/>
      <c r="O416" s="28"/>
      <c r="P416" s="42"/>
      <c r="Q416" s="29"/>
      <c r="R416" s="29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14"/>
    </row>
    <row r="417" spans="1:29" x14ac:dyDescent="0.2">
      <c r="A417" s="12"/>
      <c r="B417" s="22"/>
      <c r="C417" s="23"/>
      <c r="D417" s="23"/>
      <c r="E417" s="24"/>
      <c r="F417" s="25"/>
      <c r="G417" s="26"/>
      <c r="H417" s="27"/>
      <c r="I417" s="28"/>
      <c r="J417" s="28"/>
      <c r="K417" s="28"/>
      <c r="L417" s="28"/>
      <c r="M417" s="28"/>
      <c r="N417" s="28"/>
      <c r="O417" s="28"/>
      <c r="P417" s="42"/>
      <c r="Q417" s="29"/>
      <c r="R417" s="29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14"/>
    </row>
    <row r="418" spans="1:29" x14ac:dyDescent="0.2">
      <c r="A418" s="12"/>
      <c r="B418" s="22"/>
      <c r="C418" s="23"/>
      <c r="D418" s="23"/>
      <c r="E418" s="24"/>
      <c r="F418" s="25"/>
      <c r="G418" s="26"/>
      <c r="H418" s="27"/>
      <c r="I418" s="28"/>
      <c r="J418" s="28"/>
      <c r="K418" s="28"/>
      <c r="L418" s="28"/>
      <c r="M418" s="28"/>
      <c r="N418" s="28"/>
      <c r="O418" s="28"/>
      <c r="P418" s="42"/>
      <c r="Q418" s="29"/>
      <c r="R418" s="29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14"/>
    </row>
    <row r="419" spans="1:29" x14ac:dyDescent="0.2">
      <c r="A419" s="12"/>
      <c r="B419" s="22"/>
      <c r="C419" s="23"/>
      <c r="D419" s="23"/>
      <c r="E419" s="24"/>
      <c r="F419" s="25"/>
      <c r="G419" s="26"/>
      <c r="H419" s="27"/>
      <c r="I419" s="28"/>
      <c r="J419" s="28"/>
      <c r="K419" s="28"/>
      <c r="L419" s="28"/>
      <c r="M419" s="28"/>
      <c r="N419" s="28"/>
      <c r="O419" s="28"/>
      <c r="P419" s="42"/>
      <c r="Q419" s="29"/>
      <c r="R419" s="29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14"/>
    </row>
    <row r="420" spans="1:29" x14ac:dyDescent="0.2">
      <c r="A420" s="12"/>
      <c r="B420" s="22"/>
      <c r="C420" s="23"/>
      <c r="D420" s="23"/>
      <c r="E420" s="24"/>
      <c r="F420" s="25"/>
      <c r="G420" s="26"/>
      <c r="H420" s="27"/>
      <c r="I420" s="28"/>
      <c r="J420" s="28"/>
      <c r="K420" s="28"/>
      <c r="L420" s="28"/>
      <c r="M420" s="28"/>
      <c r="N420" s="28"/>
      <c r="O420" s="28"/>
      <c r="P420" s="42"/>
      <c r="Q420" s="29"/>
      <c r="R420" s="29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14"/>
    </row>
    <row r="421" spans="1:29" x14ac:dyDescent="0.2">
      <c r="A421" s="12"/>
      <c r="B421" s="22"/>
      <c r="C421" s="23"/>
      <c r="D421" s="23"/>
      <c r="E421" s="24"/>
      <c r="F421" s="25"/>
      <c r="G421" s="26"/>
      <c r="H421" s="27"/>
      <c r="I421" s="28"/>
      <c r="J421" s="28"/>
      <c r="K421" s="28"/>
      <c r="L421" s="28"/>
      <c r="M421" s="28"/>
      <c r="N421" s="28"/>
      <c r="O421" s="28"/>
      <c r="P421" s="42"/>
      <c r="Q421" s="29"/>
      <c r="R421" s="29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14"/>
    </row>
    <row r="422" spans="1:29" x14ac:dyDescent="0.2">
      <c r="A422" s="12"/>
      <c r="B422" s="22"/>
      <c r="C422" s="23"/>
      <c r="D422" s="23"/>
      <c r="E422" s="24"/>
      <c r="F422" s="25"/>
      <c r="G422" s="26"/>
      <c r="H422" s="27"/>
      <c r="I422" s="28"/>
      <c r="J422" s="28"/>
      <c r="K422" s="28"/>
      <c r="L422" s="28"/>
      <c r="M422" s="28"/>
      <c r="N422" s="28"/>
      <c r="O422" s="28"/>
      <c r="P422" s="42"/>
      <c r="Q422" s="29"/>
      <c r="R422" s="29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14"/>
    </row>
    <row r="423" spans="1:29" x14ac:dyDescent="0.2">
      <c r="A423" s="12"/>
      <c r="B423" s="22"/>
      <c r="C423" s="23"/>
      <c r="D423" s="23"/>
      <c r="E423" s="24"/>
      <c r="F423" s="25"/>
      <c r="G423" s="26"/>
      <c r="H423" s="27"/>
      <c r="I423" s="28"/>
      <c r="J423" s="28"/>
      <c r="K423" s="28"/>
      <c r="L423" s="28"/>
      <c r="M423" s="28"/>
      <c r="N423" s="28"/>
      <c r="O423" s="28"/>
      <c r="P423" s="42"/>
      <c r="Q423" s="29"/>
      <c r="R423" s="29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14"/>
    </row>
    <row r="424" spans="1:29" x14ac:dyDescent="0.2">
      <c r="A424" s="12"/>
      <c r="B424" s="22"/>
      <c r="C424" s="23"/>
      <c r="D424" s="23"/>
      <c r="E424" s="24"/>
      <c r="F424" s="25"/>
      <c r="G424" s="26"/>
      <c r="H424" s="27"/>
      <c r="I424" s="28"/>
      <c r="J424" s="28"/>
      <c r="K424" s="28"/>
      <c r="L424" s="28"/>
      <c r="M424" s="28"/>
      <c r="N424" s="28"/>
      <c r="O424" s="28"/>
      <c r="P424" s="42"/>
      <c r="Q424" s="29"/>
      <c r="R424" s="29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14"/>
    </row>
    <row r="425" spans="1:29" x14ac:dyDescent="0.2">
      <c r="A425" s="12"/>
      <c r="B425" s="22"/>
      <c r="C425" s="23"/>
      <c r="D425" s="23"/>
      <c r="E425" s="24"/>
      <c r="F425" s="25"/>
      <c r="G425" s="26"/>
      <c r="H425" s="27"/>
      <c r="I425" s="28"/>
      <c r="J425" s="28"/>
      <c r="K425" s="28"/>
      <c r="L425" s="28"/>
      <c r="M425" s="28"/>
      <c r="N425" s="28"/>
      <c r="O425" s="28"/>
      <c r="P425" s="42"/>
      <c r="Q425" s="29"/>
      <c r="R425" s="29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14"/>
    </row>
    <row r="426" spans="1:29" x14ac:dyDescent="0.2">
      <c r="A426" s="12"/>
      <c r="B426" s="22"/>
      <c r="C426" s="23"/>
      <c r="D426" s="23"/>
      <c r="E426" s="24"/>
      <c r="F426" s="25"/>
      <c r="G426" s="26"/>
      <c r="H426" s="27"/>
      <c r="I426" s="28"/>
      <c r="J426" s="28"/>
      <c r="K426" s="28"/>
      <c r="L426" s="28"/>
      <c r="M426" s="28"/>
      <c r="N426" s="28"/>
      <c r="O426" s="28"/>
      <c r="P426" s="42"/>
      <c r="Q426" s="29"/>
      <c r="R426" s="29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14"/>
    </row>
    <row r="427" spans="1:29" x14ac:dyDescent="0.2">
      <c r="A427" s="12"/>
      <c r="B427" s="22"/>
      <c r="C427" s="23"/>
      <c r="D427" s="23"/>
      <c r="E427" s="24"/>
      <c r="F427" s="25"/>
      <c r="G427" s="26"/>
      <c r="H427" s="27"/>
      <c r="I427" s="28"/>
      <c r="J427" s="28"/>
      <c r="K427" s="28"/>
      <c r="L427" s="28"/>
      <c r="M427" s="28"/>
      <c r="N427" s="28"/>
      <c r="O427" s="28"/>
      <c r="P427" s="42"/>
      <c r="Q427" s="29"/>
      <c r="R427" s="29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14"/>
    </row>
    <row r="428" spans="1:29" x14ac:dyDescent="0.2">
      <c r="A428" s="12"/>
      <c r="B428" s="22"/>
      <c r="C428" s="23"/>
      <c r="D428" s="23"/>
      <c r="E428" s="24"/>
      <c r="F428" s="25"/>
      <c r="G428" s="26"/>
      <c r="H428" s="27"/>
      <c r="I428" s="28"/>
      <c r="J428" s="28"/>
      <c r="K428" s="28"/>
      <c r="L428" s="28"/>
      <c r="M428" s="28"/>
      <c r="N428" s="28"/>
      <c r="O428" s="28"/>
      <c r="P428" s="42"/>
      <c r="Q428" s="29"/>
      <c r="R428" s="29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14"/>
    </row>
    <row r="429" spans="1:29" x14ac:dyDescent="0.2">
      <c r="A429" s="12"/>
      <c r="B429" s="22"/>
      <c r="C429" s="23"/>
      <c r="D429" s="23"/>
      <c r="E429" s="24"/>
      <c r="F429" s="25"/>
      <c r="G429" s="26"/>
      <c r="H429" s="27"/>
      <c r="I429" s="28"/>
      <c r="J429" s="28"/>
      <c r="K429" s="28"/>
      <c r="L429" s="28"/>
      <c r="M429" s="28"/>
      <c r="N429" s="28"/>
      <c r="O429" s="28"/>
      <c r="P429" s="42"/>
      <c r="Q429" s="29"/>
      <c r="R429" s="29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14"/>
    </row>
    <row r="430" spans="1:29" x14ac:dyDescent="0.2">
      <c r="A430" s="12"/>
      <c r="B430" s="22"/>
      <c r="C430" s="23"/>
      <c r="D430" s="23"/>
      <c r="E430" s="24"/>
      <c r="F430" s="25"/>
      <c r="G430" s="26"/>
      <c r="H430" s="27"/>
      <c r="I430" s="28"/>
      <c r="J430" s="28"/>
      <c r="K430" s="28"/>
      <c r="L430" s="28"/>
      <c r="M430" s="28"/>
      <c r="N430" s="28"/>
      <c r="O430" s="28"/>
      <c r="P430" s="42"/>
      <c r="Q430" s="29"/>
      <c r="R430" s="29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14"/>
    </row>
    <row r="431" spans="1:29" x14ac:dyDescent="0.2">
      <c r="A431" s="12"/>
      <c r="B431" s="22"/>
      <c r="C431" s="23"/>
      <c r="D431" s="23"/>
      <c r="E431" s="24"/>
      <c r="F431" s="25"/>
      <c r="G431" s="26"/>
      <c r="H431" s="27"/>
      <c r="I431" s="28"/>
      <c r="J431" s="28"/>
      <c r="K431" s="28"/>
      <c r="L431" s="28"/>
      <c r="M431" s="28"/>
      <c r="N431" s="28"/>
      <c r="O431" s="28"/>
      <c r="P431" s="42"/>
      <c r="Q431" s="29"/>
      <c r="R431" s="29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14"/>
    </row>
    <row r="432" spans="1:29" x14ac:dyDescent="0.2">
      <c r="A432" s="12"/>
      <c r="B432" s="22"/>
      <c r="C432" s="23"/>
      <c r="D432" s="23"/>
      <c r="E432" s="24"/>
      <c r="F432" s="25"/>
      <c r="G432" s="26"/>
      <c r="H432" s="27"/>
      <c r="I432" s="28"/>
      <c r="J432" s="28"/>
      <c r="K432" s="28"/>
      <c r="L432" s="28"/>
      <c r="M432" s="28"/>
      <c r="N432" s="28"/>
      <c r="O432" s="28"/>
      <c r="P432" s="42"/>
      <c r="Q432" s="29"/>
      <c r="R432" s="29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14"/>
    </row>
    <row r="433" spans="1:29" x14ac:dyDescent="0.2">
      <c r="A433" s="12"/>
      <c r="B433" s="22"/>
      <c r="C433" s="23"/>
      <c r="D433" s="23"/>
      <c r="E433" s="24"/>
      <c r="F433" s="25"/>
      <c r="G433" s="26"/>
      <c r="H433" s="27"/>
      <c r="I433" s="28"/>
      <c r="J433" s="28"/>
      <c r="K433" s="28"/>
      <c r="L433" s="28"/>
      <c r="M433" s="28"/>
      <c r="N433" s="28"/>
      <c r="O433" s="28"/>
      <c r="P433" s="42"/>
      <c r="Q433" s="29"/>
      <c r="R433" s="29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14"/>
    </row>
    <row r="434" spans="1:29" x14ac:dyDescent="0.2">
      <c r="A434" s="12"/>
      <c r="B434" s="22"/>
      <c r="C434" s="23"/>
      <c r="D434" s="23"/>
      <c r="E434" s="24"/>
      <c r="F434" s="25"/>
      <c r="G434" s="26"/>
      <c r="H434" s="27"/>
      <c r="I434" s="28"/>
      <c r="J434" s="28"/>
      <c r="K434" s="28"/>
      <c r="L434" s="28"/>
      <c r="M434" s="28"/>
      <c r="N434" s="28"/>
      <c r="O434" s="28"/>
      <c r="P434" s="42"/>
      <c r="Q434" s="29"/>
      <c r="R434" s="29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14"/>
    </row>
    <row r="435" spans="1:29" x14ac:dyDescent="0.2">
      <c r="A435" s="12"/>
      <c r="B435" s="22"/>
      <c r="C435" s="23"/>
      <c r="D435" s="23"/>
      <c r="E435" s="24"/>
      <c r="F435" s="25"/>
      <c r="G435" s="26"/>
      <c r="H435" s="27"/>
      <c r="I435" s="28"/>
      <c r="J435" s="28"/>
      <c r="K435" s="28"/>
      <c r="L435" s="28"/>
      <c r="M435" s="28"/>
      <c r="N435" s="28"/>
      <c r="O435" s="28"/>
      <c r="P435" s="42"/>
      <c r="Q435" s="29"/>
      <c r="R435" s="29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14"/>
    </row>
    <row r="436" spans="1:29" x14ac:dyDescent="0.2">
      <c r="A436" s="12"/>
      <c r="B436" s="22"/>
      <c r="C436" s="23"/>
      <c r="D436" s="23"/>
      <c r="E436" s="24"/>
      <c r="F436" s="25"/>
      <c r="G436" s="26"/>
      <c r="H436" s="27"/>
      <c r="I436" s="28"/>
      <c r="J436" s="28"/>
      <c r="K436" s="28"/>
      <c r="L436" s="28"/>
      <c r="M436" s="28"/>
      <c r="N436" s="28"/>
      <c r="O436" s="28"/>
      <c r="P436" s="42"/>
      <c r="Q436" s="29"/>
      <c r="R436" s="29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14"/>
    </row>
    <row r="437" spans="1:29" x14ac:dyDescent="0.2">
      <c r="A437" s="12"/>
      <c r="B437" s="22"/>
      <c r="C437" s="23"/>
      <c r="D437" s="23"/>
      <c r="E437" s="24"/>
      <c r="F437" s="25"/>
      <c r="G437" s="26"/>
      <c r="H437" s="27"/>
      <c r="I437" s="28"/>
      <c r="J437" s="28"/>
      <c r="K437" s="28"/>
      <c r="L437" s="28"/>
      <c r="M437" s="28"/>
      <c r="N437" s="28"/>
      <c r="O437" s="28"/>
      <c r="P437" s="42"/>
      <c r="Q437" s="29"/>
      <c r="R437" s="29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14"/>
    </row>
    <row r="438" spans="1:29" x14ac:dyDescent="0.2">
      <c r="A438" s="12"/>
      <c r="B438" s="22"/>
      <c r="C438" s="23"/>
      <c r="D438" s="23"/>
      <c r="E438" s="24"/>
      <c r="F438" s="25"/>
      <c r="G438" s="26"/>
      <c r="H438" s="27"/>
      <c r="I438" s="28"/>
      <c r="J438" s="28"/>
      <c r="K438" s="28"/>
      <c r="L438" s="28"/>
      <c r="M438" s="28"/>
      <c r="N438" s="28"/>
      <c r="O438" s="28"/>
      <c r="P438" s="42"/>
      <c r="Q438" s="29"/>
      <c r="R438" s="29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14"/>
    </row>
    <row r="439" spans="1:29" x14ac:dyDescent="0.2">
      <c r="A439" s="12"/>
      <c r="B439" s="22"/>
      <c r="C439" s="23"/>
      <c r="D439" s="23"/>
      <c r="E439" s="24"/>
      <c r="F439" s="25"/>
      <c r="G439" s="26"/>
      <c r="H439" s="27"/>
      <c r="I439" s="28"/>
      <c r="J439" s="28"/>
      <c r="K439" s="28"/>
      <c r="L439" s="28"/>
      <c r="M439" s="28"/>
      <c r="N439" s="28"/>
      <c r="O439" s="28"/>
      <c r="P439" s="42"/>
      <c r="Q439" s="29"/>
      <c r="R439" s="29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14"/>
    </row>
    <row r="440" spans="1:29" x14ac:dyDescent="0.2">
      <c r="A440" s="12"/>
      <c r="B440" s="22"/>
      <c r="C440" s="23"/>
      <c r="D440" s="23"/>
      <c r="E440" s="24"/>
      <c r="F440" s="25"/>
      <c r="G440" s="26"/>
      <c r="H440" s="27"/>
      <c r="I440" s="28"/>
      <c r="J440" s="28"/>
      <c r="K440" s="28"/>
      <c r="L440" s="28"/>
      <c r="M440" s="28"/>
      <c r="N440" s="28"/>
      <c r="O440" s="28"/>
      <c r="P440" s="42"/>
      <c r="Q440" s="29"/>
      <c r="R440" s="29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14"/>
    </row>
    <row r="441" spans="1:29" x14ac:dyDescent="0.2">
      <c r="A441" s="12"/>
      <c r="B441" s="22"/>
      <c r="C441" s="23"/>
      <c r="D441" s="23"/>
      <c r="E441" s="24"/>
      <c r="F441" s="25"/>
      <c r="G441" s="26"/>
      <c r="H441" s="27"/>
      <c r="I441" s="28"/>
      <c r="J441" s="28"/>
      <c r="K441" s="28"/>
      <c r="L441" s="28"/>
      <c r="M441" s="28"/>
      <c r="N441" s="28"/>
      <c r="O441" s="28"/>
      <c r="P441" s="42"/>
      <c r="Q441" s="29"/>
      <c r="R441" s="29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14"/>
    </row>
    <row r="442" spans="1:29" x14ac:dyDescent="0.2">
      <c r="A442" s="12"/>
      <c r="B442" s="22"/>
      <c r="C442" s="23"/>
      <c r="D442" s="23"/>
      <c r="E442" s="24"/>
      <c r="F442" s="25"/>
      <c r="G442" s="26"/>
      <c r="H442" s="27"/>
      <c r="I442" s="28"/>
      <c r="J442" s="28"/>
      <c r="K442" s="28"/>
      <c r="L442" s="28"/>
      <c r="M442" s="28"/>
      <c r="N442" s="28"/>
      <c r="O442" s="28"/>
      <c r="P442" s="42"/>
      <c r="Q442" s="29"/>
      <c r="R442" s="29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14"/>
    </row>
    <row r="443" spans="1:29" x14ac:dyDescent="0.2">
      <c r="A443" s="12"/>
      <c r="B443" s="22"/>
      <c r="C443" s="23"/>
      <c r="D443" s="23"/>
      <c r="E443" s="24"/>
      <c r="F443" s="25"/>
      <c r="G443" s="26"/>
      <c r="H443" s="27"/>
      <c r="I443" s="28"/>
      <c r="J443" s="28"/>
      <c r="K443" s="28"/>
      <c r="L443" s="28"/>
      <c r="M443" s="28"/>
      <c r="N443" s="28"/>
      <c r="O443" s="28"/>
      <c r="P443" s="42"/>
      <c r="Q443" s="29"/>
      <c r="R443" s="29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14"/>
    </row>
    <row r="444" spans="1:29" x14ac:dyDescent="0.2">
      <c r="A444" s="12"/>
      <c r="B444" s="22"/>
      <c r="C444" s="23"/>
      <c r="D444" s="23"/>
      <c r="E444" s="24"/>
      <c r="F444" s="25"/>
      <c r="G444" s="26"/>
      <c r="H444" s="27"/>
      <c r="I444" s="28"/>
      <c r="J444" s="28"/>
      <c r="K444" s="28"/>
      <c r="L444" s="28"/>
      <c r="M444" s="28"/>
      <c r="N444" s="28"/>
      <c r="O444" s="28"/>
      <c r="P444" s="42"/>
      <c r="Q444" s="29"/>
      <c r="R444" s="29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14"/>
    </row>
    <row r="445" spans="1:29" x14ac:dyDescent="0.2">
      <c r="A445" s="12"/>
      <c r="B445" s="22"/>
      <c r="C445" s="23"/>
      <c r="D445" s="23"/>
      <c r="E445" s="24"/>
      <c r="F445" s="25"/>
      <c r="G445" s="26"/>
      <c r="H445" s="27"/>
      <c r="I445" s="28"/>
      <c r="J445" s="28"/>
      <c r="K445" s="28"/>
      <c r="L445" s="28"/>
      <c r="M445" s="28"/>
      <c r="N445" s="28"/>
      <c r="O445" s="28"/>
      <c r="P445" s="42"/>
      <c r="Q445" s="29"/>
      <c r="R445" s="29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14"/>
    </row>
    <row r="446" spans="1:29" x14ac:dyDescent="0.2">
      <c r="A446" s="12"/>
      <c r="B446" s="22"/>
      <c r="C446" s="23"/>
      <c r="D446" s="23"/>
      <c r="E446" s="24"/>
      <c r="F446" s="25"/>
      <c r="G446" s="26"/>
      <c r="H446" s="27"/>
      <c r="I446" s="28"/>
      <c r="J446" s="28"/>
      <c r="K446" s="28"/>
      <c r="L446" s="28"/>
      <c r="M446" s="28"/>
      <c r="N446" s="28"/>
      <c r="O446" s="28"/>
      <c r="P446" s="42"/>
      <c r="Q446" s="29"/>
      <c r="R446" s="29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14"/>
    </row>
    <row r="447" spans="1:29" x14ac:dyDescent="0.2">
      <c r="A447" s="12"/>
      <c r="B447" s="22"/>
      <c r="C447" s="23"/>
      <c r="D447" s="23"/>
      <c r="E447" s="24"/>
      <c r="F447" s="25"/>
      <c r="G447" s="26"/>
      <c r="H447" s="27"/>
      <c r="I447" s="28"/>
      <c r="J447" s="28"/>
      <c r="K447" s="28"/>
      <c r="L447" s="28"/>
      <c r="M447" s="28"/>
      <c r="N447" s="28"/>
      <c r="O447" s="28"/>
      <c r="P447" s="42"/>
      <c r="Q447" s="29"/>
      <c r="R447" s="29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14"/>
    </row>
    <row r="448" spans="1:29" x14ac:dyDescent="0.2">
      <c r="A448" s="12"/>
      <c r="B448" s="22"/>
      <c r="C448" s="23"/>
      <c r="D448" s="23"/>
      <c r="E448" s="24"/>
      <c r="F448" s="25"/>
      <c r="G448" s="26"/>
      <c r="H448" s="27"/>
      <c r="I448" s="28"/>
      <c r="J448" s="28"/>
      <c r="K448" s="28"/>
      <c r="L448" s="28"/>
      <c r="M448" s="28"/>
      <c r="N448" s="28"/>
      <c r="O448" s="28"/>
      <c r="P448" s="42"/>
      <c r="Q448" s="29"/>
      <c r="R448" s="29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14"/>
    </row>
    <row r="449" spans="1:29" x14ac:dyDescent="0.2">
      <c r="A449" s="12"/>
      <c r="B449" s="22"/>
      <c r="C449" s="23"/>
      <c r="D449" s="23"/>
      <c r="E449" s="24"/>
      <c r="F449" s="25"/>
      <c r="G449" s="26"/>
      <c r="H449" s="27"/>
      <c r="I449" s="28"/>
      <c r="J449" s="28"/>
      <c r="K449" s="28"/>
      <c r="L449" s="28"/>
      <c r="M449" s="28"/>
      <c r="N449" s="28"/>
      <c r="O449" s="28"/>
      <c r="P449" s="42"/>
      <c r="Q449" s="29"/>
      <c r="R449" s="29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14"/>
    </row>
    <row r="450" spans="1:29" x14ac:dyDescent="0.2">
      <c r="A450" s="12"/>
      <c r="B450" s="22"/>
      <c r="C450" s="23"/>
      <c r="D450" s="23"/>
      <c r="E450" s="24"/>
      <c r="F450" s="25"/>
      <c r="G450" s="26"/>
      <c r="H450" s="27"/>
      <c r="I450" s="28"/>
      <c r="J450" s="28"/>
      <c r="K450" s="28"/>
      <c r="L450" s="28"/>
      <c r="M450" s="28"/>
      <c r="N450" s="28"/>
      <c r="O450" s="28"/>
      <c r="P450" s="42"/>
      <c r="Q450" s="29"/>
      <c r="R450" s="29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14"/>
    </row>
    <row r="451" spans="1:29" x14ac:dyDescent="0.2">
      <c r="A451" s="12"/>
      <c r="B451" s="22"/>
      <c r="C451" s="23"/>
      <c r="D451" s="23"/>
      <c r="E451" s="24"/>
      <c r="F451" s="25"/>
      <c r="G451" s="26"/>
      <c r="H451" s="27"/>
      <c r="I451" s="28"/>
      <c r="J451" s="28"/>
      <c r="K451" s="28"/>
      <c r="L451" s="28"/>
      <c r="M451" s="28"/>
      <c r="N451" s="28"/>
      <c r="O451" s="28"/>
      <c r="P451" s="42"/>
      <c r="Q451" s="29"/>
      <c r="R451" s="29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14"/>
    </row>
    <row r="452" spans="1:29" x14ac:dyDescent="0.2">
      <c r="A452" s="12"/>
      <c r="B452" s="22"/>
      <c r="C452" s="23"/>
      <c r="D452" s="23"/>
      <c r="E452" s="24"/>
      <c r="F452" s="25"/>
      <c r="G452" s="26"/>
      <c r="H452" s="27"/>
      <c r="I452" s="28"/>
      <c r="J452" s="28"/>
      <c r="K452" s="28"/>
      <c r="L452" s="28"/>
      <c r="M452" s="28"/>
      <c r="N452" s="28"/>
      <c r="O452" s="28"/>
      <c r="P452" s="42"/>
      <c r="Q452" s="29"/>
      <c r="R452" s="29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14"/>
    </row>
    <row r="453" spans="1:29" x14ac:dyDescent="0.2">
      <c r="A453" s="12"/>
      <c r="B453" s="22"/>
      <c r="C453" s="23"/>
      <c r="D453" s="23"/>
      <c r="E453" s="24"/>
      <c r="F453" s="25"/>
      <c r="G453" s="26"/>
      <c r="H453" s="27"/>
      <c r="I453" s="28"/>
      <c r="J453" s="28"/>
      <c r="K453" s="28"/>
      <c r="L453" s="28"/>
      <c r="M453" s="28"/>
      <c r="N453" s="28"/>
      <c r="O453" s="28"/>
      <c r="P453" s="42"/>
      <c r="Q453" s="29"/>
      <c r="R453" s="29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14"/>
    </row>
    <row r="454" spans="1:29" x14ac:dyDescent="0.2">
      <c r="A454" s="12"/>
      <c r="B454" s="22"/>
      <c r="C454" s="23"/>
      <c r="D454" s="23"/>
      <c r="E454" s="24"/>
      <c r="F454" s="25"/>
      <c r="G454" s="26"/>
      <c r="H454" s="27"/>
      <c r="I454" s="28"/>
      <c r="J454" s="28"/>
      <c r="K454" s="28"/>
      <c r="L454" s="28"/>
      <c r="M454" s="28"/>
      <c r="N454" s="28"/>
      <c r="O454" s="28"/>
      <c r="P454" s="42"/>
      <c r="Q454" s="29"/>
      <c r="R454" s="29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14"/>
    </row>
    <row r="455" spans="1:29" x14ac:dyDescent="0.2">
      <c r="A455" s="12"/>
      <c r="B455" s="22"/>
      <c r="C455" s="23"/>
      <c r="D455" s="23"/>
      <c r="E455" s="24"/>
      <c r="F455" s="25"/>
      <c r="G455" s="26"/>
      <c r="H455" s="27"/>
      <c r="I455" s="28"/>
      <c r="J455" s="28"/>
      <c r="K455" s="28"/>
      <c r="L455" s="28"/>
      <c r="M455" s="28"/>
      <c r="N455" s="28"/>
      <c r="O455" s="28"/>
      <c r="P455" s="42"/>
      <c r="Q455" s="29"/>
      <c r="R455" s="29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14"/>
    </row>
    <row r="456" spans="1:29" x14ac:dyDescent="0.2">
      <c r="A456" s="12"/>
      <c r="B456" s="22"/>
      <c r="C456" s="23"/>
      <c r="D456" s="23"/>
      <c r="E456" s="24"/>
      <c r="F456" s="25"/>
      <c r="G456" s="26"/>
      <c r="H456" s="27"/>
      <c r="I456" s="28"/>
      <c r="J456" s="28"/>
      <c r="K456" s="28"/>
      <c r="L456" s="28"/>
      <c r="M456" s="28"/>
      <c r="N456" s="28"/>
      <c r="O456" s="28"/>
      <c r="P456" s="42"/>
      <c r="Q456" s="29"/>
      <c r="R456" s="29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14"/>
    </row>
    <row r="457" spans="1:29" x14ac:dyDescent="0.2">
      <c r="A457" s="12"/>
      <c r="B457" s="22"/>
      <c r="C457" s="23"/>
      <c r="D457" s="23"/>
      <c r="E457" s="24"/>
      <c r="F457" s="25"/>
      <c r="G457" s="26"/>
      <c r="H457" s="27"/>
      <c r="I457" s="28"/>
      <c r="J457" s="28"/>
      <c r="K457" s="28"/>
      <c r="L457" s="28"/>
      <c r="M457" s="28"/>
      <c r="N457" s="28"/>
      <c r="O457" s="28"/>
      <c r="P457" s="42"/>
      <c r="Q457" s="29"/>
      <c r="R457" s="29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14"/>
    </row>
    <row r="458" spans="1:29" x14ac:dyDescent="0.2">
      <c r="A458" s="12"/>
      <c r="B458" s="22"/>
      <c r="C458" s="23"/>
      <c r="D458" s="23"/>
      <c r="E458" s="24"/>
      <c r="F458" s="25"/>
      <c r="G458" s="26"/>
      <c r="H458" s="27"/>
      <c r="I458" s="28"/>
      <c r="J458" s="28"/>
      <c r="K458" s="28"/>
      <c r="L458" s="28"/>
      <c r="M458" s="28"/>
      <c r="N458" s="28"/>
      <c r="O458" s="28"/>
      <c r="P458" s="42"/>
      <c r="Q458" s="29"/>
      <c r="R458" s="29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14"/>
    </row>
    <row r="459" spans="1:29" x14ac:dyDescent="0.2">
      <c r="A459" s="12"/>
      <c r="B459" s="22"/>
      <c r="C459" s="23"/>
      <c r="D459" s="23"/>
      <c r="E459" s="24"/>
      <c r="F459" s="25"/>
      <c r="G459" s="26"/>
      <c r="H459" s="27"/>
      <c r="I459" s="28"/>
      <c r="J459" s="28"/>
      <c r="K459" s="28"/>
      <c r="L459" s="28"/>
      <c r="M459" s="28"/>
      <c r="N459" s="28"/>
      <c r="O459" s="28"/>
      <c r="P459" s="42"/>
      <c r="Q459" s="29"/>
      <c r="R459" s="29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14"/>
    </row>
    <row r="460" spans="1:29" x14ac:dyDescent="0.2">
      <c r="A460" s="12"/>
      <c r="B460" s="22"/>
      <c r="C460" s="23"/>
      <c r="D460" s="23"/>
      <c r="E460" s="24"/>
      <c r="F460" s="25"/>
      <c r="G460" s="26"/>
      <c r="H460" s="27"/>
      <c r="I460" s="28"/>
      <c r="J460" s="28"/>
      <c r="K460" s="28"/>
      <c r="L460" s="28"/>
      <c r="M460" s="28"/>
      <c r="N460" s="28"/>
      <c r="O460" s="28"/>
      <c r="P460" s="42"/>
      <c r="Q460" s="29"/>
      <c r="R460" s="29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14"/>
    </row>
    <row r="461" spans="1:29" x14ac:dyDescent="0.2">
      <c r="A461" s="12"/>
      <c r="B461" s="22"/>
      <c r="C461" s="23"/>
      <c r="D461" s="23"/>
      <c r="E461" s="24"/>
      <c r="F461" s="25"/>
      <c r="G461" s="26"/>
      <c r="H461" s="27"/>
      <c r="I461" s="28"/>
      <c r="J461" s="28"/>
      <c r="K461" s="28"/>
      <c r="L461" s="28"/>
      <c r="M461" s="28"/>
      <c r="N461" s="28"/>
      <c r="O461" s="28"/>
      <c r="P461" s="42"/>
      <c r="Q461" s="29"/>
      <c r="R461" s="29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14"/>
    </row>
    <row r="462" spans="1:29" x14ac:dyDescent="0.2">
      <c r="A462" s="12"/>
      <c r="B462" s="22"/>
      <c r="C462" s="23"/>
      <c r="D462" s="23"/>
      <c r="E462" s="24"/>
      <c r="F462" s="25"/>
      <c r="G462" s="26"/>
      <c r="H462" s="27"/>
      <c r="I462" s="28"/>
      <c r="J462" s="28"/>
      <c r="K462" s="28"/>
      <c r="L462" s="28"/>
      <c r="M462" s="28"/>
      <c r="N462" s="28"/>
      <c r="O462" s="28"/>
      <c r="P462" s="42"/>
      <c r="Q462" s="29"/>
      <c r="R462" s="29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14"/>
    </row>
    <row r="463" spans="1:29" x14ac:dyDescent="0.2">
      <c r="A463" s="12"/>
      <c r="B463" s="22"/>
      <c r="C463" s="23"/>
      <c r="D463" s="23"/>
      <c r="E463" s="24"/>
      <c r="F463" s="25"/>
      <c r="G463" s="26"/>
      <c r="H463" s="27"/>
      <c r="I463" s="28"/>
      <c r="J463" s="28"/>
      <c r="K463" s="28"/>
      <c r="L463" s="28"/>
      <c r="M463" s="28"/>
      <c r="N463" s="28"/>
      <c r="O463" s="28"/>
      <c r="P463" s="42"/>
      <c r="Q463" s="29"/>
      <c r="R463" s="29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14"/>
    </row>
    <row r="464" spans="1:29" x14ac:dyDescent="0.2">
      <c r="A464" s="12"/>
      <c r="B464" s="22"/>
      <c r="C464" s="23"/>
      <c r="D464" s="23"/>
      <c r="E464" s="24"/>
      <c r="F464" s="25"/>
      <c r="G464" s="26"/>
      <c r="H464" s="27"/>
      <c r="I464" s="28"/>
      <c r="J464" s="28"/>
      <c r="K464" s="28"/>
      <c r="L464" s="28"/>
      <c r="M464" s="28"/>
      <c r="N464" s="28"/>
      <c r="O464" s="28"/>
      <c r="P464" s="42"/>
      <c r="Q464" s="29"/>
      <c r="R464" s="29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14"/>
    </row>
    <row r="465" spans="1:29" x14ac:dyDescent="0.2">
      <c r="A465" s="12"/>
      <c r="B465" s="22"/>
      <c r="C465" s="23"/>
      <c r="D465" s="23"/>
      <c r="E465" s="24"/>
      <c r="F465" s="25"/>
      <c r="G465" s="26"/>
      <c r="H465" s="27"/>
      <c r="I465" s="28"/>
      <c r="J465" s="28"/>
      <c r="K465" s="28"/>
      <c r="L465" s="28"/>
      <c r="M465" s="28"/>
      <c r="N465" s="28"/>
      <c r="O465" s="28"/>
      <c r="P465" s="42"/>
      <c r="Q465" s="29"/>
      <c r="R465" s="29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14"/>
    </row>
    <row r="466" spans="1:29" x14ac:dyDescent="0.2">
      <c r="A466" s="12"/>
      <c r="B466" s="22"/>
      <c r="C466" s="23"/>
      <c r="D466" s="23"/>
      <c r="E466" s="24"/>
      <c r="F466" s="25"/>
      <c r="G466" s="26"/>
      <c r="H466" s="27"/>
      <c r="I466" s="28"/>
      <c r="J466" s="28"/>
      <c r="K466" s="28"/>
      <c r="L466" s="28"/>
      <c r="M466" s="28"/>
      <c r="N466" s="28"/>
      <c r="O466" s="28"/>
      <c r="P466" s="42"/>
      <c r="Q466" s="29"/>
      <c r="R466" s="29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14"/>
    </row>
    <row r="467" spans="1:29" x14ac:dyDescent="0.2">
      <c r="A467" s="12"/>
      <c r="B467" s="22"/>
      <c r="C467" s="23"/>
      <c r="D467" s="23"/>
      <c r="E467" s="24"/>
      <c r="F467" s="25"/>
      <c r="G467" s="26"/>
      <c r="H467" s="27"/>
      <c r="I467" s="28"/>
      <c r="J467" s="28"/>
      <c r="K467" s="28"/>
      <c r="L467" s="28"/>
      <c r="M467" s="28"/>
      <c r="N467" s="28"/>
      <c r="O467" s="28"/>
      <c r="P467" s="42"/>
      <c r="Q467" s="29"/>
      <c r="R467" s="29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14"/>
    </row>
    <row r="468" spans="1:29" x14ac:dyDescent="0.2">
      <c r="A468" s="12"/>
      <c r="B468" s="22"/>
      <c r="C468" s="23"/>
      <c r="D468" s="23"/>
      <c r="E468" s="24"/>
      <c r="F468" s="25"/>
      <c r="G468" s="26"/>
      <c r="H468" s="27"/>
      <c r="I468" s="28"/>
      <c r="J468" s="28"/>
      <c r="K468" s="28"/>
      <c r="L468" s="28"/>
      <c r="M468" s="28"/>
      <c r="N468" s="28"/>
      <c r="O468" s="28"/>
      <c r="P468" s="42"/>
      <c r="Q468" s="29"/>
      <c r="R468" s="29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14"/>
    </row>
    <row r="469" spans="1:29" x14ac:dyDescent="0.2">
      <c r="A469" s="12"/>
      <c r="B469" s="22"/>
      <c r="C469" s="23"/>
      <c r="D469" s="23"/>
      <c r="E469" s="24"/>
      <c r="F469" s="25"/>
      <c r="G469" s="26"/>
      <c r="H469" s="27"/>
      <c r="I469" s="28"/>
      <c r="J469" s="28"/>
      <c r="K469" s="28"/>
      <c r="L469" s="28"/>
      <c r="M469" s="28"/>
      <c r="N469" s="28"/>
      <c r="O469" s="28"/>
      <c r="P469" s="42"/>
      <c r="Q469" s="29"/>
      <c r="R469" s="29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14"/>
    </row>
    <row r="470" spans="1:29" x14ac:dyDescent="0.2">
      <c r="A470" s="12"/>
      <c r="B470" s="22"/>
      <c r="C470" s="23"/>
      <c r="D470" s="23"/>
      <c r="E470" s="24"/>
      <c r="F470" s="25"/>
      <c r="G470" s="26"/>
      <c r="H470" s="27"/>
      <c r="I470" s="28"/>
      <c r="J470" s="28"/>
      <c r="K470" s="28"/>
      <c r="L470" s="28"/>
      <c r="M470" s="28"/>
      <c r="N470" s="28"/>
      <c r="O470" s="28"/>
      <c r="P470" s="42"/>
      <c r="Q470" s="29"/>
      <c r="R470" s="29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14"/>
    </row>
    <row r="471" spans="1:29" x14ac:dyDescent="0.2">
      <c r="A471" s="12"/>
      <c r="B471" s="22"/>
      <c r="C471" s="23"/>
      <c r="D471" s="23"/>
      <c r="E471" s="24"/>
      <c r="F471" s="25"/>
      <c r="G471" s="26"/>
      <c r="H471" s="27"/>
      <c r="I471" s="28"/>
      <c r="J471" s="28"/>
      <c r="K471" s="28"/>
      <c r="L471" s="28"/>
      <c r="M471" s="28"/>
      <c r="N471" s="28"/>
      <c r="O471" s="28"/>
      <c r="P471" s="42"/>
      <c r="Q471" s="29"/>
      <c r="R471" s="29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14"/>
    </row>
    <row r="472" spans="1:29" x14ac:dyDescent="0.2">
      <c r="A472" s="12"/>
      <c r="B472" s="22"/>
      <c r="C472" s="23"/>
      <c r="D472" s="23"/>
      <c r="E472" s="24"/>
      <c r="F472" s="25"/>
      <c r="G472" s="26"/>
      <c r="H472" s="27"/>
      <c r="I472" s="28"/>
      <c r="J472" s="28"/>
      <c r="K472" s="28"/>
      <c r="L472" s="28"/>
      <c r="M472" s="28"/>
      <c r="N472" s="28"/>
      <c r="O472" s="28"/>
      <c r="P472" s="42"/>
      <c r="Q472" s="29"/>
      <c r="R472" s="29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14"/>
    </row>
    <row r="473" spans="1:29" x14ac:dyDescent="0.2">
      <c r="A473" s="12"/>
      <c r="B473" s="22"/>
      <c r="C473" s="23"/>
      <c r="D473" s="23"/>
      <c r="E473" s="24"/>
      <c r="F473" s="25"/>
      <c r="G473" s="26"/>
      <c r="H473" s="27"/>
      <c r="I473" s="28"/>
      <c r="J473" s="28"/>
      <c r="K473" s="28"/>
      <c r="L473" s="28"/>
      <c r="M473" s="28"/>
      <c r="N473" s="28"/>
      <c r="O473" s="28"/>
      <c r="P473" s="42"/>
      <c r="Q473" s="29"/>
      <c r="R473" s="29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14"/>
    </row>
    <row r="474" spans="1:29" x14ac:dyDescent="0.2">
      <c r="A474" s="12"/>
      <c r="B474" s="22"/>
      <c r="C474" s="23"/>
      <c r="D474" s="23"/>
      <c r="E474" s="24"/>
      <c r="F474" s="25"/>
      <c r="G474" s="26"/>
      <c r="H474" s="27"/>
      <c r="I474" s="28"/>
      <c r="J474" s="28"/>
      <c r="K474" s="28"/>
      <c r="L474" s="28"/>
      <c r="M474" s="28"/>
      <c r="N474" s="28"/>
      <c r="O474" s="28"/>
      <c r="P474" s="42"/>
      <c r="Q474" s="29"/>
      <c r="R474" s="29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14"/>
    </row>
    <row r="475" spans="1:29" x14ac:dyDescent="0.2">
      <c r="A475" s="12"/>
      <c r="B475" s="22"/>
      <c r="C475" s="23"/>
      <c r="D475" s="23"/>
      <c r="E475" s="24"/>
      <c r="F475" s="25"/>
      <c r="G475" s="26"/>
      <c r="H475" s="27"/>
      <c r="I475" s="28"/>
      <c r="J475" s="28"/>
      <c r="K475" s="28"/>
      <c r="L475" s="28"/>
      <c r="M475" s="28"/>
      <c r="N475" s="28"/>
      <c r="O475" s="28"/>
      <c r="P475" s="42"/>
      <c r="Q475" s="29"/>
      <c r="R475" s="29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14"/>
    </row>
    <row r="476" spans="1:29" x14ac:dyDescent="0.2">
      <c r="A476" s="12"/>
      <c r="B476" s="22"/>
      <c r="C476" s="23"/>
      <c r="D476" s="23"/>
      <c r="E476" s="24"/>
      <c r="F476" s="25"/>
      <c r="G476" s="26"/>
      <c r="H476" s="27"/>
      <c r="I476" s="28"/>
      <c r="J476" s="28"/>
      <c r="K476" s="28"/>
      <c r="L476" s="28"/>
      <c r="M476" s="28"/>
      <c r="N476" s="28"/>
      <c r="O476" s="28"/>
      <c r="P476" s="42"/>
      <c r="Q476" s="29"/>
      <c r="R476" s="29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14"/>
    </row>
    <row r="477" spans="1:29" x14ac:dyDescent="0.2">
      <c r="A477" s="12"/>
      <c r="B477" s="22"/>
      <c r="C477" s="23"/>
      <c r="D477" s="23"/>
      <c r="E477" s="24"/>
      <c r="F477" s="25"/>
      <c r="G477" s="26"/>
      <c r="H477" s="27"/>
      <c r="I477" s="28"/>
      <c r="J477" s="28"/>
      <c r="K477" s="28"/>
      <c r="L477" s="28"/>
      <c r="M477" s="28"/>
      <c r="N477" s="28"/>
      <c r="O477" s="28"/>
      <c r="P477" s="42"/>
      <c r="Q477" s="29"/>
      <c r="R477" s="29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14"/>
    </row>
    <row r="478" spans="1:29" x14ac:dyDescent="0.2">
      <c r="A478" s="12"/>
      <c r="B478" s="22"/>
      <c r="C478" s="23"/>
      <c r="D478" s="23"/>
      <c r="E478" s="24"/>
      <c r="F478" s="25"/>
      <c r="G478" s="26"/>
      <c r="H478" s="27"/>
      <c r="I478" s="28"/>
      <c r="J478" s="28"/>
      <c r="K478" s="28"/>
      <c r="L478" s="28"/>
      <c r="M478" s="28"/>
      <c r="N478" s="28"/>
      <c r="O478" s="28"/>
      <c r="P478" s="42"/>
      <c r="Q478" s="29"/>
      <c r="R478" s="29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14"/>
    </row>
    <row r="479" spans="1:29" x14ac:dyDescent="0.2">
      <c r="A479" s="12"/>
      <c r="B479" s="22"/>
      <c r="C479" s="23"/>
      <c r="D479" s="23"/>
      <c r="E479" s="24"/>
      <c r="F479" s="25"/>
      <c r="G479" s="26"/>
      <c r="H479" s="27"/>
      <c r="I479" s="28"/>
      <c r="J479" s="28"/>
      <c r="K479" s="28"/>
      <c r="L479" s="28"/>
      <c r="M479" s="28"/>
      <c r="N479" s="28"/>
      <c r="O479" s="28"/>
      <c r="P479" s="42"/>
      <c r="Q479" s="29"/>
      <c r="R479" s="29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14"/>
    </row>
    <row r="480" spans="1:29" x14ac:dyDescent="0.2">
      <c r="A480" s="12"/>
      <c r="B480" s="22"/>
      <c r="C480" s="23"/>
      <c r="D480" s="23"/>
      <c r="E480" s="24"/>
      <c r="F480" s="25"/>
      <c r="G480" s="26"/>
      <c r="H480" s="27"/>
      <c r="I480" s="28"/>
      <c r="J480" s="28"/>
      <c r="K480" s="28"/>
      <c r="L480" s="28"/>
      <c r="M480" s="28"/>
      <c r="N480" s="28"/>
      <c r="O480" s="28"/>
      <c r="P480" s="42"/>
      <c r="Q480" s="29"/>
      <c r="R480" s="29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14"/>
    </row>
    <row r="481" spans="1:29" x14ac:dyDescent="0.2">
      <c r="A481" s="12"/>
      <c r="B481" s="22"/>
      <c r="C481" s="23"/>
      <c r="D481" s="23"/>
      <c r="E481" s="24"/>
      <c r="F481" s="25"/>
      <c r="G481" s="26"/>
      <c r="H481" s="27"/>
      <c r="I481" s="28"/>
      <c r="J481" s="28"/>
      <c r="K481" s="28"/>
      <c r="L481" s="28"/>
      <c r="M481" s="28"/>
      <c r="N481" s="28"/>
      <c r="O481" s="28"/>
      <c r="P481" s="42"/>
      <c r="Q481" s="29"/>
      <c r="R481" s="29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14"/>
    </row>
    <row r="482" spans="1:29" x14ac:dyDescent="0.2">
      <c r="A482" s="12"/>
      <c r="B482" s="22"/>
      <c r="C482" s="23"/>
      <c r="D482" s="23"/>
      <c r="E482" s="24"/>
      <c r="F482" s="25"/>
      <c r="G482" s="26"/>
      <c r="H482" s="27"/>
      <c r="I482" s="28"/>
      <c r="J482" s="28"/>
      <c r="K482" s="28"/>
      <c r="L482" s="28"/>
      <c r="M482" s="28"/>
      <c r="N482" s="28"/>
      <c r="O482" s="28"/>
      <c r="P482" s="42"/>
      <c r="Q482" s="29"/>
      <c r="R482" s="29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14"/>
    </row>
    <row r="483" spans="1:29" x14ac:dyDescent="0.2">
      <c r="A483" s="12"/>
      <c r="B483" s="22"/>
      <c r="C483" s="23"/>
      <c r="D483" s="23"/>
      <c r="E483" s="24"/>
      <c r="F483" s="25"/>
      <c r="G483" s="26"/>
      <c r="H483" s="27"/>
      <c r="I483" s="28"/>
      <c r="J483" s="28"/>
      <c r="K483" s="28"/>
      <c r="L483" s="28"/>
      <c r="M483" s="28"/>
      <c r="N483" s="28"/>
      <c r="O483" s="28"/>
      <c r="P483" s="42"/>
      <c r="Q483" s="29"/>
      <c r="R483" s="29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14"/>
    </row>
    <row r="484" spans="1:29" x14ac:dyDescent="0.2">
      <c r="A484" s="12"/>
      <c r="B484" s="22"/>
      <c r="C484" s="23"/>
      <c r="D484" s="23"/>
      <c r="E484" s="24"/>
      <c r="F484" s="25"/>
      <c r="G484" s="26"/>
      <c r="H484" s="27"/>
      <c r="I484" s="28"/>
      <c r="J484" s="28"/>
      <c r="K484" s="28"/>
      <c r="L484" s="28"/>
      <c r="M484" s="28"/>
      <c r="N484" s="28"/>
      <c r="O484" s="28"/>
      <c r="P484" s="42"/>
      <c r="Q484" s="29"/>
      <c r="R484" s="29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14"/>
    </row>
    <row r="485" spans="1:29" x14ac:dyDescent="0.2">
      <c r="A485" s="12"/>
      <c r="B485" s="22"/>
      <c r="C485" s="23"/>
      <c r="D485" s="23"/>
      <c r="E485" s="24"/>
      <c r="F485" s="25"/>
      <c r="G485" s="26"/>
      <c r="H485" s="27"/>
      <c r="I485" s="28"/>
      <c r="J485" s="28"/>
      <c r="K485" s="28"/>
      <c r="L485" s="28"/>
      <c r="M485" s="28"/>
      <c r="N485" s="28"/>
      <c r="O485" s="28"/>
      <c r="P485" s="42"/>
      <c r="Q485" s="29"/>
      <c r="R485" s="29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14"/>
    </row>
    <row r="486" spans="1:29" x14ac:dyDescent="0.2">
      <c r="A486" s="12"/>
      <c r="B486" s="22"/>
      <c r="C486" s="23"/>
      <c r="D486" s="23"/>
      <c r="E486" s="24"/>
      <c r="F486" s="25"/>
      <c r="G486" s="26"/>
      <c r="H486" s="27"/>
      <c r="I486" s="28"/>
      <c r="J486" s="28"/>
      <c r="K486" s="28"/>
      <c r="L486" s="28"/>
      <c r="M486" s="28"/>
      <c r="N486" s="28"/>
      <c r="O486" s="28"/>
      <c r="P486" s="42"/>
      <c r="Q486" s="29"/>
      <c r="R486" s="29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14"/>
    </row>
    <row r="487" spans="1:29" x14ac:dyDescent="0.2">
      <c r="A487" s="12"/>
      <c r="B487" s="22"/>
      <c r="C487" s="23"/>
      <c r="D487" s="23"/>
      <c r="E487" s="24"/>
      <c r="F487" s="25"/>
      <c r="G487" s="26"/>
      <c r="H487" s="27"/>
      <c r="I487" s="28"/>
      <c r="J487" s="28"/>
      <c r="K487" s="28"/>
      <c r="L487" s="28"/>
      <c r="M487" s="28"/>
      <c r="N487" s="28"/>
      <c r="O487" s="28"/>
      <c r="P487" s="42"/>
      <c r="Q487" s="29"/>
      <c r="R487" s="29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14"/>
    </row>
    <row r="488" spans="1:29" x14ac:dyDescent="0.2">
      <c r="A488" s="12"/>
      <c r="B488" s="22"/>
      <c r="C488" s="23"/>
      <c r="D488" s="23"/>
      <c r="E488" s="24"/>
      <c r="F488" s="25"/>
      <c r="G488" s="26"/>
      <c r="H488" s="27"/>
      <c r="I488" s="28"/>
      <c r="J488" s="28"/>
      <c r="K488" s="28"/>
      <c r="L488" s="28"/>
      <c r="M488" s="28"/>
      <c r="N488" s="28"/>
      <c r="O488" s="28"/>
      <c r="P488" s="42"/>
      <c r="Q488" s="29"/>
      <c r="R488" s="29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14"/>
    </row>
    <row r="489" spans="1:29" x14ac:dyDescent="0.2">
      <c r="A489" s="12"/>
      <c r="B489" s="22"/>
      <c r="C489" s="23"/>
      <c r="D489" s="23"/>
      <c r="E489" s="24"/>
      <c r="F489" s="25"/>
      <c r="G489" s="26"/>
      <c r="H489" s="27"/>
      <c r="I489" s="28"/>
      <c r="J489" s="28"/>
      <c r="K489" s="28"/>
      <c r="L489" s="28"/>
      <c r="M489" s="28"/>
      <c r="N489" s="28"/>
      <c r="O489" s="28"/>
      <c r="P489" s="42"/>
      <c r="Q489" s="29"/>
      <c r="R489" s="29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14"/>
    </row>
    <row r="490" spans="1:29" x14ac:dyDescent="0.2">
      <c r="A490" s="12"/>
      <c r="B490" s="22"/>
      <c r="C490" s="23"/>
      <c r="D490" s="23"/>
      <c r="E490" s="24"/>
      <c r="F490" s="25"/>
      <c r="G490" s="26"/>
      <c r="H490" s="27"/>
      <c r="I490" s="28"/>
      <c r="J490" s="28"/>
      <c r="K490" s="28"/>
      <c r="L490" s="28"/>
      <c r="M490" s="28"/>
      <c r="N490" s="28"/>
      <c r="O490" s="28"/>
      <c r="P490" s="42"/>
      <c r="Q490" s="29"/>
      <c r="R490" s="29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14"/>
    </row>
    <row r="491" spans="1:29" x14ac:dyDescent="0.2">
      <c r="A491" s="12"/>
      <c r="B491" s="22"/>
      <c r="C491" s="23"/>
      <c r="D491" s="23"/>
      <c r="E491" s="24"/>
      <c r="F491" s="25"/>
      <c r="G491" s="26"/>
      <c r="H491" s="27"/>
      <c r="I491" s="28"/>
      <c r="J491" s="28"/>
      <c r="K491" s="28"/>
      <c r="L491" s="28"/>
      <c r="M491" s="28"/>
      <c r="N491" s="28"/>
      <c r="O491" s="28"/>
      <c r="P491" s="42"/>
      <c r="Q491" s="29"/>
      <c r="R491" s="29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14"/>
    </row>
    <row r="492" spans="1:29" x14ac:dyDescent="0.2">
      <c r="A492" s="12"/>
      <c r="B492" s="22"/>
      <c r="C492" s="23"/>
      <c r="D492" s="23"/>
      <c r="E492" s="24"/>
      <c r="F492" s="25"/>
      <c r="G492" s="26"/>
      <c r="H492" s="27"/>
      <c r="I492" s="28"/>
      <c r="J492" s="28"/>
      <c r="K492" s="28"/>
      <c r="L492" s="28"/>
      <c r="M492" s="28"/>
      <c r="N492" s="28"/>
      <c r="O492" s="28"/>
      <c r="P492" s="42"/>
      <c r="Q492" s="29"/>
      <c r="R492" s="29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14"/>
    </row>
    <row r="493" spans="1:29" x14ac:dyDescent="0.2">
      <c r="A493" s="12"/>
      <c r="B493" s="22"/>
      <c r="C493" s="23"/>
      <c r="D493" s="23"/>
      <c r="E493" s="24"/>
      <c r="F493" s="25"/>
      <c r="G493" s="26"/>
      <c r="H493" s="27"/>
      <c r="I493" s="28"/>
      <c r="J493" s="28"/>
      <c r="K493" s="28"/>
      <c r="L493" s="28"/>
      <c r="M493" s="28"/>
      <c r="N493" s="28"/>
      <c r="O493" s="28"/>
      <c r="P493" s="42"/>
      <c r="Q493" s="29"/>
      <c r="R493" s="29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14"/>
    </row>
    <row r="494" spans="1:29" x14ac:dyDescent="0.2">
      <c r="A494" s="12"/>
      <c r="B494" s="22"/>
      <c r="C494" s="23"/>
      <c r="D494" s="23"/>
      <c r="E494" s="24"/>
      <c r="F494" s="25"/>
      <c r="G494" s="26"/>
      <c r="H494" s="27"/>
      <c r="I494" s="28"/>
      <c r="J494" s="28"/>
      <c r="K494" s="28"/>
      <c r="L494" s="28"/>
      <c r="M494" s="28"/>
      <c r="N494" s="28"/>
      <c r="O494" s="28"/>
      <c r="P494" s="42"/>
      <c r="Q494" s="29"/>
      <c r="R494" s="29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14"/>
    </row>
    <row r="495" spans="1:29" x14ac:dyDescent="0.2">
      <c r="A495" s="12"/>
      <c r="B495" s="22"/>
      <c r="C495" s="23"/>
      <c r="D495" s="23"/>
      <c r="E495" s="24"/>
      <c r="F495" s="25"/>
      <c r="G495" s="26"/>
      <c r="H495" s="27"/>
      <c r="I495" s="28"/>
      <c r="J495" s="28"/>
      <c r="K495" s="28"/>
      <c r="L495" s="28"/>
      <c r="M495" s="28"/>
      <c r="N495" s="28"/>
      <c r="O495" s="28"/>
      <c r="P495" s="42"/>
      <c r="Q495" s="29"/>
      <c r="R495" s="29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14"/>
    </row>
    <row r="496" spans="1:29" x14ac:dyDescent="0.2">
      <c r="A496" s="12"/>
      <c r="B496" s="22"/>
      <c r="C496" s="23"/>
      <c r="D496" s="23"/>
      <c r="E496" s="24"/>
      <c r="F496" s="25"/>
      <c r="G496" s="26"/>
      <c r="H496" s="27"/>
      <c r="I496" s="28"/>
      <c r="J496" s="28"/>
      <c r="K496" s="28"/>
      <c r="L496" s="28"/>
      <c r="M496" s="28"/>
      <c r="N496" s="28"/>
      <c r="O496" s="28"/>
      <c r="P496" s="42"/>
      <c r="Q496" s="29"/>
      <c r="R496" s="29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14"/>
    </row>
    <row r="497" spans="1:29" x14ac:dyDescent="0.2">
      <c r="A497" s="12"/>
      <c r="B497" s="22"/>
      <c r="C497" s="23"/>
      <c r="D497" s="23"/>
      <c r="E497" s="24"/>
      <c r="F497" s="25"/>
      <c r="G497" s="26"/>
      <c r="H497" s="27"/>
      <c r="I497" s="28"/>
      <c r="J497" s="28"/>
      <c r="K497" s="28"/>
      <c r="L497" s="28"/>
      <c r="M497" s="28"/>
      <c r="N497" s="28"/>
      <c r="O497" s="28"/>
      <c r="P497" s="42"/>
      <c r="Q497" s="29"/>
      <c r="R497" s="29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14"/>
    </row>
    <row r="498" spans="1:29" x14ac:dyDescent="0.2">
      <c r="A498" s="12"/>
      <c r="B498" s="22"/>
      <c r="C498" s="23"/>
      <c r="D498" s="23"/>
      <c r="E498" s="24"/>
      <c r="F498" s="25"/>
      <c r="G498" s="26"/>
      <c r="H498" s="27"/>
      <c r="I498" s="28"/>
      <c r="J498" s="28"/>
      <c r="K498" s="28"/>
      <c r="L498" s="28"/>
      <c r="M498" s="28"/>
      <c r="N498" s="28"/>
      <c r="O498" s="28"/>
      <c r="P498" s="42"/>
      <c r="Q498" s="29"/>
      <c r="R498" s="29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14"/>
    </row>
    <row r="499" spans="1:29" x14ac:dyDescent="0.2">
      <c r="A499" s="12"/>
      <c r="B499" s="22"/>
      <c r="C499" s="23"/>
      <c r="D499" s="23"/>
      <c r="E499" s="24"/>
      <c r="F499" s="25"/>
      <c r="G499" s="26"/>
      <c r="H499" s="27"/>
      <c r="I499" s="28"/>
      <c r="J499" s="28"/>
      <c r="K499" s="28"/>
      <c r="L499" s="28"/>
      <c r="M499" s="28"/>
      <c r="N499" s="28"/>
      <c r="O499" s="28"/>
      <c r="P499" s="42"/>
      <c r="Q499" s="29"/>
      <c r="R499" s="29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14"/>
    </row>
    <row r="500" spans="1:29" x14ac:dyDescent="0.2">
      <c r="A500" s="12"/>
      <c r="B500" s="22"/>
      <c r="C500" s="23"/>
      <c r="D500" s="23"/>
      <c r="E500" s="24"/>
      <c r="F500" s="25"/>
      <c r="G500" s="26"/>
      <c r="H500" s="27"/>
      <c r="I500" s="28"/>
      <c r="J500" s="28"/>
      <c r="K500" s="28"/>
      <c r="L500" s="28"/>
      <c r="M500" s="28"/>
      <c r="N500" s="28"/>
      <c r="O500" s="28"/>
      <c r="P500" s="42"/>
      <c r="Q500" s="29"/>
      <c r="R500" s="29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14"/>
    </row>
    <row r="501" spans="1:29" x14ac:dyDescent="0.2">
      <c r="A501" s="12"/>
      <c r="B501" s="22"/>
      <c r="C501" s="23"/>
      <c r="D501" s="23"/>
      <c r="E501" s="24"/>
      <c r="F501" s="25"/>
      <c r="G501" s="26"/>
      <c r="H501" s="27"/>
      <c r="I501" s="28"/>
      <c r="J501" s="28"/>
      <c r="K501" s="28"/>
      <c r="L501" s="28"/>
      <c r="M501" s="28"/>
      <c r="N501" s="28"/>
      <c r="O501" s="28"/>
      <c r="P501" s="42"/>
      <c r="Q501" s="29"/>
      <c r="R501" s="29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14"/>
    </row>
    <row r="502" spans="1:29" x14ac:dyDescent="0.2">
      <c r="A502" s="12"/>
      <c r="B502" s="22"/>
      <c r="C502" s="23"/>
      <c r="D502" s="23"/>
      <c r="E502" s="24"/>
      <c r="F502" s="25"/>
      <c r="G502" s="26"/>
      <c r="H502" s="27"/>
      <c r="I502" s="28"/>
      <c r="J502" s="28"/>
      <c r="K502" s="28"/>
      <c r="L502" s="28"/>
      <c r="M502" s="28"/>
      <c r="N502" s="28"/>
      <c r="O502" s="28"/>
      <c r="P502" s="42"/>
      <c r="Q502" s="29"/>
      <c r="R502" s="29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14"/>
    </row>
    <row r="503" spans="1:29" x14ac:dyDescent="0.2">
      <c r="A503" s="12"/>
      <c r="B503" s="22"/>
      <c r="C503" s="23"/>
      <c r="D503" s="23"/>
      <c r="E503" s="24"/>
      <c r="F503" s="25"/>
      <c r="G503" s="26"/>
      <c r="H503" s="27"/>
      <c r="I503" s="28"/>
      <c r="J503" s="28"/>
      <c r="K503" s="28"/>
      <c r="L503" s="28"/>
      <c r="M503" s="28"/>
      <c r="N503" s="28"/>
      <c r="O503" s="28"/>
      <c r="P503" s="42"/>
      <c r="Q503" s="29"/>
      <c r="R503" s="29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14"/>
    </row>
    <row r="504" spans="1:29" x14ac:dyDescent="0.2">
      <c r="A504" s="12"/>
      <c r="B504" s="22"/>
      <c r="C504" s="23"/>
      <c r="D504" s="23"/>
      <c r="E504" s="24"/>
      <c r="F504" s="25"/>
      <c r="G504" s="26"/>
      <c r="H504" s="27"/>
      <c r="I504" s="28"/>
      <c r="J504" s="28"/>
      <c r="K504" s="28"/>
      <c r="L504" s="28"/>
      <c r="M504" s="28"/>
      <c r="N504" s="28"/>
      <c r="O504" s="28"/>
      <c r="P504" s="42"/>
      <c r="Q504" s="29"/>
      <c r="R504" s="29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14"/>
    </row>
    <row r="505" spans="1:29" x14ac:dyDescent="0.2">
      <c r="A505" s="12"/>
      <c r="B505" s="22"/>
      <c r="C505" s="23"/>
      <c r="D505" s="23"/>
      <c r="E505" s="24"/>
      <c r="F505" s="25"/>
      <c r="G505" s="26"/>
      <c r="H505" s="27"/>
      <c r="I505" s="28"/>
      <c r="J505" s="28"/>
      <c r="K505" s="28"/>
      <c r="L505" s="28"/>
      <c r="M505" s="28"/>
      <c r="N505" s="28"/>
      <c r="O505" s="28"/>
      <c r="P505" s="42"/>
      <c r="Q505" s="29"/>
      <c r="R505" s="29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14"/>
    </row>
    <row r="506" spans="1:29" x14ac:dyDescent="0.2">
      <c r="A506" s="12"/>
      <c r="B506" s="22"/>
      <c r="C506" s="23"/>
      <c r="D506" s="23"/>
      <c r="E506" s="24"/>
      <c r="F506" s="25"/>
      <c r="G506" s="26"/>
      <c r="H506" s="27"/>
      <c r="I506" s="28"/>
      <c r="J506" s="28"/>
      <c r="K506" s="28"/>
      <c r="L506" s="28"/>
      <c r="M506" s="28"/>
      <c r="N506" s="28"/>
      <c r="O506" s="28"/>
      <c r="P506" s="42"/>
      <c r="Q506" s="29"/>
      <c r="R506" s="29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14"/>
    </row>
    <row r="507" spans="1:29" x14ac:dyDescent="0.2">
      <c r="A507" s="12"/>
      <c r="B507" s="22"/>
      <c r="C507" s="23"/>
      <c r="D507" s="23"/>
      <c r="E507" s="24"/>
      <c r="F507" s="25"/>
      <c r="G507" s="26"/>
      <c r="H507" s="27"/>
      <c r="I507" s="28"/>
      <c r="J507" s="28"/>
      <c r="K507" s="28"/>
      <c r="L507" s="28"/>
      <c r="M507" s="28"/>
      <c r="N507" s="28"/>
      <c r="O507" s="28"/>
      <c r="P507" s="42"/>
      <c r="Q507" s="29"/>
      <c r="R507" s="29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14"/>
    </row>
    <row r="508" spans="1:29" x14ac:dyDescent="0.2">
      <c r="A508" s="12"/>
      <c r="B508" s="22"/>
      <c r="C508" s="23"/>
      <c r="D508" s="23"/>
      <c r="E508" s="24"/>
      <c r="F508" s="25"/>
      <c r="G508" s="26"/>
      <c r="H508" s="27"/>
      <c r="I508" s="28"/>
      <c r="J508" s="28"/>
      <c r="K508" s="28"/>
      <c r="L508" s="28"/>
      <c r="M508" s="28"/>
      <c r="N508" s="28"/>
      <c r="O508" s="28"/>
      <c r="P508" s="42"/>
      <c r="Q508" s="29"/>
      <c r="R508" s="29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14"/>
    </row>
    <row r="509" spans="1:29" x14ac:dyDescent="0.2">
      <c r="A509" s="12"/>
      <c r="B509" s="22"/>
      <c r="C509" s="23"/>
      <c r="D509" s="23"/>
      <c r="E509" s="24"/>
      <c r="F509" s="25"/>
      <c r="G509" s="26"/>
      <c r="H509" s="27"/>
      <c r="I509" s="28"/>
      <c r="J509" s="28"/>
      <c r="K509" s="28"/>
      <c r="L509" s="28"/>
      <c r="M509" s="28"/>
      <c r="N509" s="28"/>
      <c r="O509" s="28"/>
      <c r="P509" s="42"/>
      <c r="Q509" s="29"/>
      <c r="R509" s="29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14"/>
    </row>
    <row r="510" spans="1:29" x14ac:dyDescent="0.2">
      <c r="A510" s="12"/>
      <c r="B510" s="22"/>
      <c r="C510" s="23"/>
      <c r="D510" s="23"/>
      <c r="E510" s="24"/>
      <c r="F510" s="25"/>
      <c r="G510" s="26"/>
      <c r="H510" s="27"/>
      <c r="I510" s="28"/>
      <c r="J510" s="28"/>
      <c r="K510" s="28"/>
      <c r="L510" s="28"/>
      <c r="M510" s="28"/>
      <c r="N510" s="28"/>
      <c r="O510" s="28"/>
      <c r="P510" s="42"/>
      <c r="Q510" s="29"/>
      <c r="R510" s="29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14"/>
    </row>
    <row r="511" spans="1:29" x14ac:dyDescent="0.2">
      <c r="A511" s="12"/>
      <c r="B511" s="22"/>
      <c r="C511" s="23"/>
      <c r="D511" s="23"/>
      <c r="E511" s="24"/>
      <c r="F511" s="25"/>
      <c r="G511" s="26"/>
      <c r="H511" s="27"/>
      <c r="I511" s="28"/>
      <c r="J511" s="28"/>
      <c r="K511" s="28"/>
      <c r="L511" s="28"/>
      <c r="M511" s="28"/>
      <c r="N511" s="28"/>
      <c r="O511" s="28"/>
      <c r="P511" s="42"/>
      <c r="Q511" s="29"/>
      <c r="R511" s="29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14"/>
    </row>
    <row r="512" spans="1:29" x14ac:dyDescent="0.2">
      <c r="A512" s="12"/>
      <c r="B512" s="22"/>
      <c r="C512" s="23"/>
      <c r="D512" s="23"/>
      <c r="E512" s="24"/>
      <c r="F512" s="25"/>
      <c r="G512" s="26"/>
      <c r="H512" s="27"/>
      <c r="I512" s="28"/>
      <c r="J512" s="28"/>
      <c r="K512" s="28"/>
      <c r="L512" s="28"/>
      <c r="M512" s="28"/>
      <c r="N512" s="28"/>
      <c r="O512" s="28"/>
      <c r="P512" s="42"/>
      <c r="Q512" s="29"/>
      <c r="R512" s="29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14"/>
    </row>
    <row r="513" spans="1:29" x14ac:dyDescent="0.2">
      <c r="A513" s="12"/>
      <c r="B513" s="22"/>
      <c r="C513" s="23"/>
      <c r="D513" s="23"/>
      <c r="E513" s="24"/>
      <c r="F513" s="25"/>
      <c r="G513" s="26"/>
      <c r="H513" s="27"/>
      <c r="I513" s="28"/>
      <c r="J513" s="28"/>
      <c r="K513" s="28"/>
      <c r="L513" s="28"/>
      <c r="M513" s="28"/>
      <c r="N513" s="28"/>
      <c r="O513" s="28"/>
      <c r="P513" s="42"/>
      <c r="Q513" s="29"/>
      <c r="R513" s="29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14"/>
    </row>
    <row r="514" spans="1:29" x14ac:dyDescent="0.2">
      <c r="A514" s="12"/>
      <c r="B514" s="22"/>
      <c r="C514" s="23"/>
      <c r="D514" s="23"/>
      <c r="E514" s="24"/>
      <c r="F514" s="25"/>
      <c r="G514" s="26"/>
      <c r="H514" s="27"/>
      <c r="I514" s="28"/>
      <c r="J514" s="28"/>
      <c r="K514" s="28"/>
      <c r="L514" s="28"/>
      <c r="M514" s="28"/>
      <c r="N514" s="28"/>
      <c r="O514" s="28"/>
      <c r="P514" s="42"/>
      <c r="Q514" s="29"/>
      <c r="R514" s="29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14"/>
    </row>
    <row r="515" spans="1:29" x14ac:dyDescent="0.2">
      <c r="A515" s="12"/>
      <c r="B515" s="22"/>
      <c r="C515" s="23"/>
      <c r="D515" s="23"/>
      <c r="E515" s="24"/>
      <c r="F515" s="25"/>
      <c r="G515" s="26"/>
      <c r="H515" s="27"/>
      <c r="I515" s="28"/>
      <c r="J515" s="28"/>
      <c r="K515" s="28"/>
      <c r="L515" s="28"/>
      <c r="M515" s="28"/>
      <c r="N515" s="28"/>
      <c r="O515" s="28"/>
      <c r="P515" s="42"/>
      <c r="Q515" s="29"/>
      <c r="R515" s="29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14"/>
    </row>
    <row r="516" spans="1:29" x14ac:dyDescent="0.2">
      <c r="A516" s="12"/>
      <c r="B516" s="22"/>
      <c r="C516" s="23"/>
      <c r="D516" s="23"/>
      <c r="E516" s="24"/>
      <c r="F516" s="25"/>
      <c r="G516" s="26"/>
      <c r="H516" s="27"/>
      <c r="I516" s="28"/>
      <c r="J516" s="28"/>
      <c r="K516" s="28"/>
      <c r="L516" s="28"/>
      <c r="M516" s="28"/>
      <c r="N516" s="28"/>
      <c r="O516" s="28"/>
      <c r="P516" s="42"/>
      <c r="Q516" s="29"/>
      <c r="R516" s="29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14"/>
    </row>
    <row r="517" spans="1:29" x14ac:dyDescent="0.2">
      <c r="A517" s="12"/>
      <c r="B517" s="22"/>
      <c r="C517" s="23"/>
      <c r="D517" s="23"/>
      <c r="E517" s="24"/>
      <c r="F517" s="25"/>
      <c r="G517" s="26"/>
      <c r="H517" s="27"/>
      <c r="I517" s="28"/>
      <c r="J517" s="28"/>
      <c r="K517" s="28"/>
      <c r="L517" s="28"/>
      <c r="M517" s="28"/>
      <c r="N517" s="28"/>
      <c r="O517" s="28"/>
      <c r="P517" s="42"/>
      <c r="Q517" s="29"/>
      <c r="R517" s="29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14"/>
    </row>
    <row r="518" spans="1:29" x14ac:dyDescent="0.2">
      <c r="A518" s="12"/>
      <c r="B518" s="22"/>
      <c r="C518" s="23"/>
      <c r="D518" s="23"/>
      <c r="E518" s="24"/>
      <c r="F518" s="25"/>
      <c r="G518" s="26"/>
      <c r="H518" s="27"/>
      <c r="I518" s="28"/>
      <c r="J518" s="28"/>
      <c r="K518" s="28"/>
      <c r="L518" s="28"/>
      <c r="M518" s="28"/>
      <c r="N518" s="28"/>
      <c r="O518" s="28"/>
      <c r="P518" s="42"/>
      <c r="Q518" s="29"/>
      <c r="R518" s="29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14"/>
    </row>
    <row r="519" spans="1:29" x14ac:dyDescent="0.2">
      <c r="A519" s="12"/>
      <c r="B519" s="22"/>
      <c r="C519" s="23"/>
      <c r="D519" s="23"/>
      <c r="E519" s="24"/>
      <c r="F519" s="25"/>
      <c r="G519" s="26"/>
      <c r="H519" s="27"/>
      <c r="I519" s="28"/>
      <c r="J519" s="28"/>
      <c r="K519" s="28"/>
      <c r="L519" s="28"/>
      <c r="M519" s="28"/>
      <c r="N519" s="28"/>
      <c r="O519" s="28"/>
      <c r="P519" s="42"/>
      <c r="Q519" s="29"/>
      <c r="R519" s="29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14"/>
    </row>
    <row r="520" spans="1:29" x14ac:dyDescent="0.2">
      <c r="A520" s="12"/>
      <c r="B520" s="22"/>
      <c r="C520" s="23"/>
      <c r="D520" s="23"/>
      <c r="E520" s="24"/>
      <c r="F520" s="25"/>
      <c r="G520" s="26"/>
      <c r="H520" s="27"/>
      <c r="I520" s="28"/>
      <c r="J520" s="28"/>
      <c r="K520" s="28"/>
      <c r="L520" s="28"/>
      <c r="M520" s="28"/>
      <c r="N520" s="28"/>
      <c r="O520" s="28"/>
      <c r="P520" s="42"/>
      <c r="Q520" s="29"/>
      <c r="R520" s="29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14"/>
    </row>
    <row r="521" spans="1:29" x14ac:dyDescent="0.2">
      <c r="A521" s="12"/>
      <c r="B521" s="22"/>
      <c r="C521" s="23"/>
      <c r="D521" s="23"/>
      <c r="E521" s="24"/>
      <c r="F521" s="25"/>
      <c r="G521" s="26"/>
      <c r="H521" s="27"/>
      <c r="I521" s="28"/>
      <c r="J521" s="28"/>
      <c r="K521" s="28"/>
      <c r="L521" s="28"/>
      <c r="M521" s="28"/>
      <c r="N521" s="28"/>
      <c r="O521" s="28"/>
      <c r="P521" s="42"/>
      <c r="Q521" s="29"/>
      <c r="R521" s="29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14"/>
    </row>
    <row r="522" spans="1:29" x14ac:dyDescent="0.2">
      <c r="A522" s="12"/>
      <c r="B522" s="22"/>
      <c r="C522" s="23"/>
      <c r="D522" s="23"/>
      <c r="E522" s="24"/>
      <c r="F522" s="25"/>
      <c r="G522" s="26"/>
      <c r="H522" s="27"/>
      <c r="I522" s="28"/>
      <c r="J522" s="28"/>
      <c r="K522" s="28"/>
      <c r="L522" s="28"/>
      <c r="M522" s="28"/>
      <c r="N522" s="28"/>
      <c r="O522" s="28"/>
      <c r="P522" s="42"/>
      <c r="Q522" s="29"/>
      <c r="R522" s="29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14"/>
    </row>
    <row r="523" spans="1:29" x14ac:dyDescent="0.2">
      <c r="A523" s="12"/>
      <c r="B523" s="22"/>
      <c r="C523" s="23"/>
      <c r="D523" s="23"/>
      <c r="E523" s="24"/>
      <c r="F523" s="25"/>
      <c r="G523" s="26"/>
      <c r="H523" s="27"/>
      <c r="I523" s="28"/>
      <c r="J523" s="28"/>
      <c r="K523" s="28"/>
      <c r="L523" s="28"/>
      <c r="M523" s="28"/>
      <c r="N523" s="28"/>
      <c r="O523" s="28"/>
      <c r="P523" s="42"/>
      <c r="Q523" s="29"/>
      <c r="R523" s="29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14"/>
    </row>
    <row r="524" spans="1:29" x14ac:dyDescent="0.2">
      <c r="A524" s="12"/>
      <c r="B524" s="22"/>
      <c r="C524" s="23"/>
      <c r="D524" s="23"/>
      <c r="E524" s="24"/>
      <c r="F524" s="25"/>
      <c r="G524" s="26"/>
      <c r="H524" s="27"/>
      <c r="I524" s="28"/>
      <c r="J524" s="28"/>
      <c r="K524" s="28"/>
      <c r="L524" s="28"/>
      <c r="M524" s="28"/>
      <c r="N524" s="28"/>
      <c r="O524" s="28"/>
      <c r="P524" s="42"/>
      <c r="Q524" s="29"/>
      <c r="R524" s="29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14"/>
    </row>
    <row r="525" spans="1:29" x14ac:dyDescent="0.2">
      <c r="A525" s="12"/>
      <c r="B525" s="22"/>
      <c r="C525" s="23"/>
      <c r="D525" s="23"/>
      <c r="E525" s="24"/>
      <c r="F525" s="25"/>
      <c r="G525" s="26"/>
      <c r="H525" s="27"/>
      <c r="I525" s="28"/>
      <c r="J525" s="28"/>
      <c r="K525" s="28"/>
      <c r="L525" s="28"/>
      <c r="M525" s="28"/>
      <c r="N525" s="28"/>
      <c r="O525" s="28"/>
      <c r="P525" s="42"/>
      <c r="Q525" s="29"/>
      <c r="R525" s="29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14"/>
    </row>
    <row r="526" spans="1:29" x14ac:dyDescent="0.2">
      <c r="A526" s="12"/>
      <c r="B526" s="22"/>
      <c r="C526" s="23"/>
      <c r="D526" s="23"/>
      <c r="E526" s="24"/>
      <c r="F526" s="25"/>
      <c r="G526" s="26"/>
      <c r="H526" s="27"/>
      <c r="I526" s="28"/>
      <c r="J526" s="28"/>
      <c r="K526" s="28"/>
      <c r="L526" s="28"/>
      <c r="M526" s="28"/>
      <c r="N526" s="28"/>
      <c r="O526" s="28"/>
      <c r="P526" s="42"/>
      <c r="Q526" s="29"/>
      <c r="R526" s="29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14"/>
    </row>
    <row r="527" spans="1:29" x14ac:dyDescent="0.2">
      <c r="A527" s="12"/>
      <c r="B527" s="22"/>
      <c r="C527" s="23"/>
      <c r="D527" s="23"/>
      <c r="E527" s="24"/>
      <c r="F527" s="25"/>
      <c r="G527" s="26"/>
      <c r="H527" s="27"/>
      <c r="I527" s="28"/>
      <c r="J527" s="28"/>
      <c r="K527" s="28"/>
      <c r="L527" s="28"/>
      <c r="M527" s="28"/>
      <c r="N527" s="28"/>
      <c r="O527" s="28"/>
      <c r="P527" s="42"/>
      <c r="Q527" s="29"/>
      <c r="R527" s="29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14"/>
    </row>
    <row r="528" spans="1:29" x14ac:dyDescent="0.2">
      <c r="A528" s="12"/>
      <c r="B528" s="22"/>
      <c r="C528" s="23"/>
      <c r="D528" s="23"/>
      <c r="E528" s="24"/>
      <c r="F528" s="25"/>
      <c r="G528" s="26"/>
      <c r="H528" s="27"/>
      <c r="I528" s="28"/>
      <c r="J528" s="28"/>
      <c r="K528" s="28"/>
      <c r="L528" s="28"/>
      <c r="M528" s="28"/>
      <c r="N528" s="28"/>
      <c r="O528" s="28"/>
      <c r="P528" s="42"/>
      <c r="Q528" s="29"/>
      <c r="R528" s="29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14"/>
    </row>
    <row r="529" spans="1:29" x14ac:dyDescent="0.2">
      <c r="A529" s="12"/>
      <c r="B529" s="22"/>
      <c r="C529" s="23"/>
      <c r="D529" s="23"/>
      <c r="E529" s="24"/>
      <c r="F529" s="25"/>
      <c r="G529" s="26"/>
      <c r="H529" s="27"/>
      <c r="I529" s="28"/>
      <c r="J529" s="28"/>
      <c r="K529" s="28"/>
      <c r="L529" s="28"/>
      <c r="M529" s="28"/>
      <c r="N529" s="28"/>
      <c r="O529" s="28"/>
      <c r="P529" s="42"/>
      <c r="Q529" s="29"/>
      <c r="R529" s="29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14"/>
    </row>
    <row r="530" spans="1:29" x14ac:dyDescent="0.2">
      <c r="A530" s="12"/>
      <c r="B530" s="22"/>
      <c r="C530" s="23"/>
      <c r="D530" s="23"/>
      <c r="E530" s="24"/>
      <c r="F530" s="25"/>
      <c r="G530" s="26"/>
      <c r="H530" s="27"/>
      <c r="I530" s="28"/>
      <c r="J530" s="28"/>
      <c r="K530" s="28"/>
      <c r="L530" s="28"/>
      <c r="M530" s="28"/>
      <c r="N530" s="28"/>
      <c r="O530" s="28"/>
      <c r="P530" s="42"/>
      <c r="Q530" s="29"/>
      <c r="R530" s="29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14"/>
    </row>
    <row r="531" spans="1:29" x14ac:dyDescent="0.2">
      <c r="A531" s="12"/>
      <c r="B531" s="22"/>
      <c r="C531" s="23"/>
      <c r="D531" s="23"/>
      <c r="E531" s="24"/>
      <c r="F531" s="25"/>
      <c r="G531" s="26"/>
      <c r="H531" s="27"/>
      <c r="I531" s="28"/>
      <c r="J531" s="28"/>
      <c r="K531" s="28"/>
      <c r="L531" s="28"/>
      <c r="M531" s="28"/>
      <c r="N531" s="28"/>
      <c r="O531" s="28"/>
      <c r="P531" s="42"/>
      <c r="Q531" s="29"/>
      <c r="R531" s="29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14"/>
    </row>
    <row r="532" spans="1:29" x14ac:dyDescent="0.2">
      <c r="A532" s="12"/>
      <c r="B532" s="22"/>
      <c r="C532" s="23"/>
      <c r="D532" s="23"/>
      <c r="E532" s="24"/>
      <c r="F532" s="25"/>
      <c r="G532" s="26"/>
      <c r="H532" s="27"/>
      <c r="I532" s="28"/>
      <c r="J532" s="28"/>
      <c r="K532" s="28"/>
      <c r="L532" s="28"/>
      <c r="M532" s="28"/>
      <c r="N532" s="28"/>
      <c r="O532" s="28"/>
      <c r="P532" s="42"/>
      <c r="Q532" s="29"/>
      <c r="R532" s="29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14"/>
    </row>
    <row r="533" spans="1:29" x14ac:dyDescent="0.2">
      <c r="A533" s="12"/>
      <c r="B533" s="22"/>
      <c r="C533" s="23"/>
      <c r="D533" s="23"/>
      <c r="E533" s="24"/>
      <c r="F533" s="25"/>
      <c r="G533" s="26"/>
      <c r="H533" s="27"/>
      <c r="I533" s="28"/>
      <c r="J533" s="28"/>
      <c r="K533" s="28"/>
      <c r="L533" s="28"/>
      <c r="M533" s="28"/>
      <c r="N533" s="28"/>
      <c r="O533" s="28"/>
      <c r="P533" s="42"/>
      <c r="Q533" s="29"/>
      <c r="R533" s="29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14"/>
    </row>
    <row r="534" spans="1:29" x14ac:dyDescent="0.2">
      <c r="A534" s="12"/>
      <c r="B534" s="22"/>
      <c r="C534" s="23"/>
      <c r="D534" s="23"/>
      <c r="E534" s="24"/>
      <c r="F534" s="25"/>
      <c r="G534" s="26"/>
      <c r="H534" s="27"/>
      <c r="I534" s="28"/>
      <c r="J534" s="28"/>
      <c r="K534" s="28"/>
      <c r="L534" s="28"/>
      <c r="M534" s="28"/>
      <c r="N534" s="28"/>
      <c r="O534" s="28"/>
      <c r="P534" s="42"/>
      <c r="Q534" s="29"/>
      <c r="R534" s="29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14"/>
    </row>
    <row r="535" spans="1:29" x14ac:dyDescent="0.2">
      <c r="A535" s="12"/>
      <c r="B535" s="22"/>
      <c r="C535" s="23"/>
      <c r="D535" s="23"/>
      <c r="E535" s="24"/>
      <c r="F535" s="25"/>
      <c r="G535" s="26"/>
      <c r="H535" s="27"/>
      <c r="I535" s="28"/>
      <c r="J535" s="28"/>
      <c r="K535" s="28"/>
      <c r="L535" s="28"/>
      <c r="M535" s="28"/>
      <c r="N535" s="28"/>
      <c r="O535" s="28"/>
      <c r="P535" s="42"/>
      <c r="Q535" s="29"/>
      <c r="R535" s="29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14"/>
    </row>
    <row r="536" spans="1:29" x14ac:dyDescent="0.2">
      <c r="A536" s="12"/>
      <c r="B536" s="22"/>
      <c r="C536" s="23"/>
      <c r="D536" s="23"/>
      <c r="E536" s="24"/>
      <c r="F536" s="25"/>
      <c r="G536" s="26"/>
      <c r="H536" s="27"/>
      <c r="I536" s="28"/>
      <c r="J536" s="28"/>
      <c r="K536" s="28"/>
      <c r="L536" s="28"/>
      <c r="M536" s="28"/>
      <c r="N536" s="28"/>
      <c r="O536" s="28"/>
      <c r="P536" s="42"/>
      <c r="Q536" s="29"/>
      <c r="R536" s="29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14"/>
    </row>
    <row r="537" spans="1:29" x14ac:dyDescent="0.2">
      <c r="A537" s="12"/>
      <c r="B537" s="22"/>
      <c r="C537" s="23"/>
      <c r="D537" s="23"/>
      <c r="E537" s="24"/>
      <c r="F537" s="25"/>
      <c r="G537" s="26"/>
      <c r="H537" s="27"/>
      <c r="I537" s="28"/>
      <c r="J537" s="28"/>
      <c r="K537" s="28"/>
      <c r="L537" s="28"/>
      <c r="M537" s="28"/>
      <c r="N537" s="28"/>
      <c r="O537" s="28"/>
      <c r="P537" s="42"/>
      <c r="Q537" s="29"/>
      <c r="R537" s="29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14"/>
    </row>
    <row r="538" spans="1:29" x14ac:dyDescent="0.2">
      <c r="A538" s="12"/>
      <c r="B538" s="22"/>
      <c r="C538" s="23"/>
      <c r="D538" s="23"/>
      <c r="E538" s="24"/>
      <c r="F538" s="25"/>
      <c r="G538" s="26"/>
      <c r="H538" s="27"/>
      <c r="I538" s="28"/>
      <c r="J538" s="28"/>
      <c r="K538" s="28"/>
      <c r="L538" s="28"/>
      <c r="M538" s="28"/>
      <c r="N538" s="28"/>
      <c r="O538" s="28"/>
      <c r="P538" s="42"/>
      <c r="Q538" s="29"/>
      <c r="R538" s="29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14"/>
    </row>
    <row r="539" spans="1:29" x14ac:dyDescent="0.2">
      <c r="A539" s="12"/>
      <c r="B539" s="22"/>
      <c r="C539" s="23"/>
      <c r="D539" s="23"/>
      <c r="E539" s="24"/>
      <c r="F539" s="25"/>
      <c r="G539" s="26"/>
      <c r="H539" s="27"/>
      <c r="I539" s="28"/>
      <c r="J539" s="28"/>
      <c r="K539" s="28"/>
      <c r="L539" s="28"/>
      <c r="M539" s="28"/>
      <c r="N539" s="28"/>
      <c r="O539" s="28"/>
      <c r="P539" s="42"/>
      <c r="Q539" s="29"/>
      <c r="R539" s="29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14"/>
    </row>
    <row r="540" spans="1:29" x14ac:dyDescent="0.2">
      <c r="A540" s="12"/>
      <c r="B540" s="22"/>
      <c r="C540" s="23"/>
      <c r="D540" s="23"/>
      <c r="E540" s="24"/>
      <c r="F540" s="25"/>
      <c r="G540" s="26"/>
      <c r="H540" s="27"/>
      <c r="I540" s="28"/>
      <c r="J540" s="28"/>
      <c r="K540" s="28"/>
      <c r="L540" s="28"/>
      <c r="M540" s="28"/>
      <c r="N540" s="28"/>
      <c r="O540" s="28"/>
      <c r="P540" s="42"/>
      <c r="Q540" s="29"/>
      <c r="R540" s="29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14"/>
    </row>
    <row r="541" spans="1:29" x14ac:dyDescent="0.2">
      <c r="A541" s="12"/>
      <c r="B541" s="22"/>
      <c r="C541" s="23"/>
      <c r="D541" s="23"/>
      <c r="E541" s="24"/>
      <c r="F541" s="25"/>
      <c r="G541" s="26"/>
      <c r="H541" s="27"/>
      <c r="I541" s="28"/>
      <c r="J541" s="28"/>
      <c r="K541" s="28"/>
      <c r="L541" s="28"/>
      <c r="M541" s="28"/>
      <c r="N541" s="28"/>
      <c r="O541" s="28"/>
      <c r="P541" s="42"/>
      <c r="Q541" s="29"/>
      <c r="R541" s="29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14"/>
    </row>
    <row r="542" spans="1:29" x14ac:dyDescent="0.2">
      <c r="A542" s="12"/>
      <c r="B542" s="22"/>
      <c r="C542" s="23"/>
      <c r="D542" s="23"/>
      <c r="E542" s="24"/>
      <c r="F542" s="25"/>
      <c r="G542" s="26"/>
      <c r="H542" s="27"/>
      <c r="I542" s="28"/>
      <c r="J542" s="28"/>
      <c r="K542" s="28"/>
      <c r="L542" s="28"/>
      <c r="M542" s="28"/>
      <c r="N542" s="28"/>
      <c r="O542" s="28"/>
      <c r="P542" s="42"/>
      <c r="Q542" s="29"/>
      <c r="R542" s="29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14"/>
    </row>
    <row r="543" spans="1:29" x14ac:dyDescent="0.2">
      <c r="A543" s="12"/>
      <c r="B543" s="22"/>
      <c r="C543" s="23"/>
      <c r="D543" s="23"/>
      <c r="E543" s="24"/>
      <c r="F543" s="25"/>
      <c r="G543" s="26"/>
      <c r="H543" s="27"/>
      <c r="I543" s="28"/>
      <c r="J543" s="28"/>
      <c r="K543" s="28"/>
      <c r="L543" s="28"/>
      <c r="M543" s="28"/>
      <c r="N543" s="28"/>
      <c r="O543" s="28"/>
      <c r="P543" s="42"/>
      <c r="Q543" s="29"/>
      <c r="R543" s="29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14"/>
    </row>
    <row r="544" spans="1:29" x14ac:dyDescent="0.2">
      <c r="A544" s="12"/>
      <c r="B544" s="22"/>
      <c r="C544" s="23"/>
      <c r="D544" s="23"/>
      <c r="E544" s="24"/>
      <c r="F544" s="25"/>
      <c r="G544" s="26"/>
      <c r="H544" s="27"/>
      <c r="I544" s="28"/>
      <c r="J544" s="28"/>
      <c r="K544" s="28"/>
      <c r="L544" s="28"/>
      <c r="M544" s="28"/>
      <c r="N544" s="28"/>
      <c r="O544" s="28"/>
      <c r="P544" s="42"/>
      <c r="Q544" s="29"/>
      <c r="R544" s="29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14"/>
    </row>
    <row r="545" spans="1:29" x14ac:dyDescent="0.2">
      <c r="A545" s="12"/>
      <c r="B545" s="22"/>
      <c r="C545" s="23"/>
      <c r="D545" s="23"/>
      <c r="E545" s="24"/>
      <c r="F545" s="25"/>
      <c r="G545" s="26"/>
      <c r="H545" s="27"/>
      <c r="I545" s="28"/>
      <c r="J545" s="28"/>
      <c r="K545" s="28"/>
      <c r="L545" s="28"/>
      <c r="M545" s="28"/>
      <c r="N545" s="28"/>
      <c r="O545" s="28"/>
      <c r="P545" s="42"/>
      <c r="Q545" s="29"/>
      <c r="R545" s="29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14"/>
    </row>
    <row r="546" spans="1:29" x14ac:dyDescent="0.2">
      <c r="A546" s="12"/>
      <c r="B546" s="22"/>
      <c r="C546" s="23"/>
      <c r="D546" s="23"/>
      <c r="E546" s="24"/>
      <c r="F546" s="25"/>
      <c r="G546" s="26"/>
      <c r="H546" s="27"/>
      <c r="I546" s="28"/>
      <c r="J546" s="28"/>
      <c r="K546" s="28"/>
      <c r="L546" s="28"/>
      <c r="M546" s="28"/>
      <c r="N546" s="28"/>
      <c r="O546" s="28"/>
      <c r="P546" s="42"/>
      <c r="Q546" s="29"/>
      <c r="R546" s="29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14"/>
    </row>
    <row r="547" spans="1:29" x14ac:dyDescent="0.2">
      <c r="A547" s="12"/>
      <c r="B547" s="22"/>
      <c r="C547" s="23"/>
      <c r="D547" s="23"/>
      <c r="E547" s="24"/>
      <c r="F547" s="25"/>
      <c r="G547" s="26"/>
      <c r="H547" s="27"/>
      <c r="I547" s="28"/>
      <c r="J547" s="28"/>
      <c r="K547" s="28"/>
      <c r="L547" s="28"/>
      <c r="M547" s="28"/>
      <c r="N547" s="28"/>
      <c r="O547" s="28"/>
      <c r="P547" s="42"/>
      <c r="Q547" s="29"/>
      <c r="R547" s="29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14"/>
    </row>
    <row r="548" spans="1:29" x14ac:dyDescent="0.2">
      <c r="A548" s="12"/>
      <c r="B548" s="22"/>
      <c r="C548" s="23"/>
      <c r="D548" s="23"/>
      <c r="E548" s="24"/>
      <c r="F548" s="25"/>
      <c r="G548" s="26"/>
      <c r="H548" s="27"/>
      <c r="I548" s="28"/>
      <c r="J548" s="28"/>
      <c r="K548" s="28"/>
      <c r="L548" s="28"/>
      <c r="M548" s="28"/>
      <c r="N548" s="28"/>
      <c r="O548" s="28"/>
      <c r="P548" s="42"/>
      <c r="Q548" s="29"/>
      <c r="R548" s="29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14"/>
    </row>
    <row r="549" spans="1:29" x14ac:dyDescent="0.2">
      <c r="A549" s="12"/>
      <c r="B549" s="22"/>
      <c r="C549" s="23"/>
      <c r="D549" s="23"/>
      <c r="E549" s="24"/>
      <c r="F549" s="25"/>
      <c r="G549" s="26"/>
      <c r="H549" s="27"/>
      <c r="I549" s="28"/>
      <c r="J549" s="28"/>
      <c r="K549" s="28"/>
      <c r="L549" s="28"/>
      <c r="M549" s="28"/>
      <c r="N549" s="28"/>
      <c r="O549" s="28"/>
      <c r="P549" s="42"/>
      <c r="Q549" s="29"/>
      <c r="R549" s="29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14"/>
    </row>
    <row r="550" spans="1:29" x14ac:dyDescent="0.2">
      <c r="A550" s="12"/>
      <c r="B550" s="22"/>
      <c r="C550" s="23"/>
      <c r="D550" s="23"/>
      <c r="E550" s="24"/>
      <c r="F550" s="25"/>
      <c r="G550" s="26"/>
      <c r="H550" s="27"/>
      <c r="I550" s="28"/>
      <c r="J550" s="28"/>
      <c r="K550" s="28"/>
      <c r="L550" s="28"/>
      <c r="M550" s="28"/>
      <c r="N550" s="28"/>
      <c r="O550" s="28"/>
      <c r="P550" s="42"/>
      <c r="Q550" s="29"/>
      <c r="R550" s="29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14"/>
    </row>
    <row r="551" spans="1:29" x14ac:dyDescent="0.2">
      <c r="A551" s="12"/>
      <c r="B551" s="22"/>
      <c r="C551" s="23"/>
      <c r="D551" s="23"/>
      <c r="E551" s="24"/>
      <c r="F551" s="25"/>
      <c r="G551" s="26"/>
      <c r="H551" s="27"/>
      <c r="I551" s="28"/>
      <c r="J551" s="28"/>
      <c r="K551" s="28"/>
      <c r="L551" s="28"/>
      <c r="M551" s="28"/>
      <c r="N551" s="28"/>
      <c r="O551" s="28"/>
      <c r="P551" s="42"/>
      <c r="Q551" s="29"/>
      <c r="R551" s="29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14"/>
    </row>
    <row r="552" spans="1:29" x14ac:dyDescent="0.2">
      <c r="A552" s="12"/>
      <c r="B552" s="22"/>
      <c r="C552" s="23"/>
      <c r="D552" s="23"/>
      <c r="E552" s="24"/>
      <c r="F552" s="25"/>
      <c r="G552" s="26"/>
      <c r="H552" s="27"/>
      <c r="I552" s="28"/>
      <c r="J552" s="28"/>
      <c r="K552" s="28"/>
      <c r="L552" s="28"/>
      <c r="M552" s="28"/>
      <c r="N552" s="28"/>
      <c r="O552" s="28"/>
      <c r="P552" s="42"/>
      <c r="Q552" s="29"/>
      <c r="R552" s="29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14"/>
    </row>
    <row r="553" spans="1:29" x14ac:dyDescent="0.2">
      <c r="A553" s="12"/>
      <c r="B553" s="22"/>
      <c r="C553" s="23"/>
      <c r="D553" s="23"/>
      <c r="E553" s="24"/>
      <c r="F553" s="25"/>
      <c r="G553" s="26"/>
      <c r="H553" s="27"/>
      <c r="I553" s="28"/>
      <c r="J553" s="28"/>
      <c r="K553" s="28"/>
      <c r="L553" s="28"/>
      <c r="M553" s="28"/>
      <c r="N553" s="28"/>
      <c r="O553" s="28"/>
      <c r="P553" s="42"/>
      <c r="Q553" s="29"/>
      <c r="R553" s="29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14"/>
    </row>
    <row r="554" spans="1:29" x14ac:dyDescent="0.2">
      <c r="A554" s="12"/>
      <c r="B554" s="22"/>
      <c r="C554" s="23"/>
      <c r="D554" s="23"/>
      <c r="E554" s="24"/>
      <c r="F554" s="25"/>
      <c r="G554" s="26"/>
      <c r="H554" s="27"/>
      <c r="I554" s="28"/>
      <c r="J554" s="28"/>
      <c r="K554" s="28"/>
      <c r="L554" s="28"/>
      <c r="M554" s="28"/>
      <c r="N554" s="28"/>
      <c r="O554" s="28"/>
      <c r="P554" s="42"/>
      <c r="Q554" s="29"/>
      <c r="R554" s="29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14"/>
    </row>
    <row r="555" spans="1:29" x14ac:dyDescent="0.2">
      <c r="A555" s="12"/>
      <c r="B555" s="22"/>
      <c r="C555" s="23"/>
      <c r="D555" s="23"/>
      <c r="E555" s="24"/>
      <c r="F555" s="25"/>
      <c r="G555" s="26"/>
      <c r="H555" s="27"/>
      <c r="I555" s="28"/>
      <c r="J555" s="28"/>
      <c r="K555" s="28"/>
      <c r="L555" s="28"/>
      <c r="M555" s="28"/>
      <c r="N555" s="28"/>
      <c r="O555" s="28"/>
      <c r="P555" s="42"/>
      <c r="Q555" s="29"/>
      <c r="R555" s="29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14"/>
    </row>
    <row r="556" spans="1:29" x14ac:dyDescent="0.2">
      <c r="A556" s="12"/>
      <c r="B556" s="22"/>
      <c r="C556" s="23"/>
      <c r="D556" s="23"/>
      <c r="E556" s="24"/>
      <c r="F556" s="25"/>
      <c r="G556" s="26"/>
      <c r="H556" s="27"/>
      <c r="I556" s="28"/>
      <c r="J556" s="28"/>
      <c r="K556" s="28"/>
      <c r="L556" s="28"/>
      <c r="M556" s="28"/>
      <c r="N556" s="28"/>
      <c r="O556" s="28"/>
      <c r="P556" s="42"/>
      <c r="Q556" s="29"/>
      <c r="R556" s="29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14"/>
    </row>
    <row r="557" spans="1:29" x14ac:dyDescent="0.2">
      <c r="A557" s="12"/>
      <c r="B557" s="22"/>
      <c r="C557" s="23"/>
      <c r="D557" s="23"/>
      <c r="E557" s="24"/>
      <c r="F557" s="25"/>
      <c r="G557" s="26"/>
      <c r="H557" s="27"/>
      <c r="I557" s="28"/>
      <c r="J557" s="28"/>
      <c r="K557" s="28"/>
      <c r="L557" s="28"/>
      <c r="M557" s="28"/>
      <c r="N557" s="28"/>
      <c r="O557" s="28"/>
      <c r="P557" s="42"/>
      <c r="Q557" s="29"/>
      <c r="R557" s="29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14"/>
    </row>
    <row r="558" spans="1:29" x14ac:dyDescent="0.2">
      <c r="A558" s="12"/>
      <c r="B558" s="22"/>
      <c r="C558" s="23"/>
      <c r="D558" s="23"/>
      <c r="E558" s="24"/>
      <c r="F558" s="25"/>
      <c r="G558" s="26"/>
      <c r="H558" s="27"/>
      <c r="I558" s="28"/>
      <c r="J558" s="28"/>
      <c r="K558" s="28"/>
      <c r="L558" s="28"/>
      <c r="M558" s="28"/>
      <c r="N558" s="28"/>
      <c r="O558" s="28"/>
      <c r="P558" s="42"/>
      <c r="Q558" s="29"/>
      <c r="R558" s="29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14"/>
    </row>
    <row r="559" spans="1:29" x14ac:dyDescent="0.2">
      <c r="A559" s="12"/>
      <c r="B559" s="22"/>
      <c r="C559" s="23"/>
      <c r="D559" s="23"/>
      <c r="E559" s="24"/>
      <c r="F559" s="25"/>
      <c r="G559" s="26"/>
      <c r="H559" s="27"/>
      <c r="I559" s="28"/>
      <c r="J559" s="28"/>
      <c r="K559" s="28"/>
      <c r="L559" s="28"/>
      <c r="M559" s="28"/>
      <c r="N559" s="28"/>
      <c r="O559" s="28"/>
      <c r="P559" s="42"/>
      <c r="Q559" s="29"/>
      <c r="R559" s="29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14"/>
    </row>
    <row r="560" spans="1:29" x14ac:dyDescent="0.2">
      <c r="A560" s="12"/>
      <c r="B560" s="22"/>
      <c r="C560" s="23"/>
      <c r="D560" s="23"/>
      <c r="E560" s="24"/>
      <c r="F560" s="25"/>
      <c r="G560" s="26"/>
      <c r="H560" s="27"/>
      <c r="I560" s="28"/>
      <c r="J560" s="28"/>
      <c r="K560" s="28"/>
      <c r="L560" s="28"/>
      <c r="M560" s="28"/>
      <c r="N560" s="28"/>
      <c r="O560" s="28"/>
      <c r="P560" s="42"/>
      <c r="Q560" s="29"/>
      <c r="R560" s="29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14"/>
    </row>
    <row r="561" spans="1:29" x14ac:dyDescent="0.2">
      <c r="A561" s="12"/>
      <c r="B561" s="22"/>
      <c r="C561" s="23"/>
      <c r="D561" s="23"/>
      <c r="E561" s="24"/>
      <c r="F561" s="25"/>
      <c r="G561" s="26"/>
      <c r="H561" s="27"/>
      <c r="I561" s="28"/>
      <c r="J561" s="28"/>
      <c r="K561" s="28"/>
      <c r="L561" s="28"/>
      <c r="M561" s="28"/>
      <c r="N561" s="28"/>
      <c r="O561" s="28"/>
      <c r="P561" s="42"/>
      <c r="Q561" s="29"/>
      <c r="R561" s="29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14"/>
    </row>
    <row r="562" spans="1:29" x14ac:dyDescent="0.2">
      <c r="A562" s="12"/>
      <c r="B562" s="22"/>
      <c r="C562" s="23"/>
      <c r="D562" s="23"/>
      <c r="E562" s="24"/>
      <c r="F562" s="25"/>
      <c r="G562" s="26"/>
      <c r="H562" s="27"/>
      <c r="I562" s="28"/>
      <c r="J562" s="28"/>
      <c r="K562" s="28"/>
      <c r="L562" s="28"/>
      <c r="M562" s="28"/>
      <c r="N562" s="28"/>
      <c r="O562" s="28"/>
      <c r="P562" s="42"/>
      <c r="Q562" s="29"/>
      <c r="R562" s="29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14"/>
    </row>
    <row r="563" spans="1:29" x14ac:dyDescent="0.2">
      <c r="A563" s="12"/>
      <c r="B563" s="22"/>
      <c r="C563" s="23"/>
      <c r="D563" s="23"/>
      <c r="E563" s="24"/>
      <c r="F563" s="25"/>
      <c r="G563" s="26"/>
      <c r="H563" s="27"/>
      <c r="I563" s="28"/>
      <c r="J563" s="28"/>
      <c r="K563" s="28"/>
      <c r="L563" s="28"/>
      <c r="M563" s="28"/>
      <c r="N563" s="28"/>
      <c r="O563" s="28"/>
      <c r="P563" s="42"/>
      <c r="Q563" s="29"/>
      <c r="R563" s="29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14"/>
    </row>
    <row r="564" spans="1:29" x14ac:dyDescent="0.2">
      <c r="A564" s="12"/>
      <c r="B564" s="22"/>
      <c r="C564" s="23"/>
      <c r="D564" s="23"/>
      <c r="E564" s="24"/>
      <c r="F564" s="25"/>
      <c r="G564" s="26"/>
      <c r="H564" s="27"/>
      <c r="I564" s="28"/>
      <c r="J564" s="28"/>
      <c r="K564" s="28"/>
      <c r="L564" s="28"/>
      <c r="M564" s="28"/>
      <c r="N564" s="28"/>
      <c r="O564" s="28"/>
      <c r="P564" s="42"/>
      <c r="Q564" s="29"/>
      <c r="R564" s="29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14"/>
    </row>
    <row r="565" spans="1:29" x14ac:dyDescent="0.2">
      <c r="A565" s="12"/>
      <c r="B565" s="22"/>
      <c r="C565" s="23"/>
      <c r="D565" s="23"/>
      <c r="E565" s="24"/>
      <c r="F565" s="25"/>
      <c r="G565" s="26"/>
      <c r="H565" s="27"/>
      <c r="I565" s="28"/>
      <c r="J565" s="28"/>
      <c r="K565" s="28"/>
      <c r="L565" s="28"/>
      <c r="M565" s="28"/>
      <c r="N565" s="28"/>
      <c r="O565" s="28"/>
      <c r="P565" s="42"/>
      <c r="Q565" s="29"/>
      <c r="R565" s="29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14"/>
    </row>
    <row r="566" spans="1:29" x14ac:dyDescent="0.2">
      <c r="A566" s="12"/>
      <c r="B566" s="22"/>
      <c r="C566" s="23"/>
      <c r="D566" s="23"/>
      <c r="E566" s="24"/>
      <c r="F566" s="25"/>
      <c r="G566" s="26"/>
      <c r="H566" s="27"/>
      <c r="I566" s="28"/>
      <c r="J566" s="28"/>
      <c r="K566" s="28"/>
      <c r="L566" s="28"/>
      <c r="M566" s="28"/>
      <c r="N566" s="28"/>
      <c r="O566" s="28"/>
      <c r="P566" s="42"/>
      <c r="Q566" s="29"/>
      <c r="R566" s="29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14"/>
    </row>
    <row r="567" spans="1:29" x14ac:dyDescent="0.2">
      <c r="A567" s="12"/>
      <c r="B567" s="22"/>
      <c r="C567" s="23"/>
      <c r="D567" s="23"/>
      <c r="E567" s="24"/>
      <c r="F567" s="25"/>
      <c r="G567" s="26"/>
      <c r="H567" s="27"/>
      <c r="I567" s="28"/>
      <c r="J567" s="28"/>
      <c r="K567" s="28"/>
      <c r="L567" s="28"/>
      <c r="M567" s="28"/>
      <c r="N567" s="28"/>
      <c r="O567" s="28"/>
      <c r="P567" s="42"/>
      <c r="Q567" s="29"/>
      <c r="R567" s="29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14"/>
    </row>
    <row r="568" spans="1:29" x14ac:dyDescent="0.2">
      <c r="A568" s="12"/>
      <c r="B568" s="22"/>
      <c r="C568" s="23"/>
      <c r="D568" s="23"/>
      <c r="E568" s="24"/>
      <c r="F568" s="25"/>
      <c r="G568" s="26"/>
      <c r="H568" s="27"/>
      <c r="I568" s="28"/>
      <c r="J568" s="28"/>
      <c r="K568" s="28"/>
      <c r="L568" s="28"/>
      <c r="M568" s="28"/>
      <c r="N568" s="28"/>
      <c r="O568" s="28"/>
      <c r="P568" s="42"/>
      <c r="Q568" s="29"/>
      <c r="R568" s="29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14"/>
    </row>
    <row r="569" spans="1:29" x14ac:dyDescent="0.2">
      <c r="A569" s="12"/>
      <c r="B569" s="22"/>
      <c r="C569" s="23"/>
      <c r="D569" s="23"/>
      <c r="E569" s="24"/>
      <c r="F569" s="25"/>
      <c r="G569" s="26"/>
      <c r="H569" s="27"/>
      <c r="I569" s="28"/>
      <c r="J569" s="28"/>
      <c r="K569" s="28"/>
      <c r="L569" s="28"/>
      <c r="M569" s="28"/>
      <c r="N569" s="28"/>
      <c r="O569" s="28"/>
      <c r="P569" s="42"/>
      <c r="Q569" s="29"/>
      <c r="R569" s="29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14"/>
    </row>
    <row r="570" spans="1:29" x14ac:dyDescent="0.2">
      <c r="A570" s="12"/>
      <c r="B570" s="22"/>
      <c r="C570" s="23"/>
      <c r="D570" s="23"/>
      <c r="E570" s="24"/>
      <c r="F570" s="25"/>
      <c r="G570" s="26"/>
      <c r="H570" s="27"/>
      <c r="I570" s="28"/>
      <c r="J570" s="28"/>
      <c r="K570" s="28"/>
      <c r="L570" s="28"/>
      <c r="M570" s="28"/>
      <c r="N570" s="28"/>
      <c r="O570" s="28"/>
      <c r="P570" s="42"/>
      <c r="Q570" s="29"/>
      <c r="R570" s="29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14"/>
    </row>
    <row r="571" spans="1:29" x14ac:dyDescent="0.2">
      <c r="A571" s="12"/>
      <c r="B571" s="22"/>
      <c r="C571" s="23"/>
      <c r="D571" s="23"/>
      <c r="E571" s="24"/>
      <c r="F571" s="25"/>
      <c r="G571" s="26"/>
      <c r="H571" s="27"/>
      <c r="I571" s="28"/>
      <c r="J571" s="28"/>
      <c r="K571" s="28"/>
      <c r="L571" s="28"/>
      <c r="M571" s="28"/>
      <c r="N571" s="28"/>
      <c r="O571" s="28"/>
      <c r="P571" s="42"/>
      <c r="Q571" s="29"/>
      <c r="R571" s="29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14"/>
    </row>
    <row r="572" spans="1:29" x14ac:dyDescent="0.2">
      <c r="A572" s="12"/>
      <c r="B572" s="22"/>
      <c r="C572" s="23"/>
      <c r="D572" s="23"/>
      <c r="E572" s="24"/>
      <c r="F572" s="25"/>
      <c r="G572" s="26"/>
      <c r="H572" s="27"/>
      <c r="I572" s="28"/>
      <c r="J572" s="28"/>
      <c r="K572" s="28"/>
      <c r="L572" s="28"/>
      <c r="M572" s="28"/>
      <c r="N572" s="28"/>
      <c r="O572" s="28"/>
      <c r="P572" s="42"/>
      <c r="Q572" s="29"/>
      <c r="R572" s="29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14"/>
    </row>
    <row r="573" spans="1:29" x14ac:dyDescent="0.2">
      <c r="A573" s="12"/>
      <c r="B573" s="22"/>
      <c r="C573" s="23"/>
      <c r="D573" s="23"/>
      <c r="E573" s="24"/>
      <c r="F573" s="25"/>
      <c r="G573" s="26"/>
      <c r="H573" s="27"/>
      <c r="I573" s="28"/>
      <c r="J573" s="28"/>
      <c r="K573" s="28"/>
      <c r="L573" s="28"/>
      <c r="M573" s="28"/>
      <c r="N573" s="28"/>
      <c r="O573" s="28"/>
      <c r="P573" s="42"/>
      <c r="Q573" s="29"/>
      <c r="R573" s="29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14"/>
    </row>
    <row r="574" spans="1:29" x14ac:dyDescent="0.2">
      <c r="A574" s="12"/>
      <c r="B574" s="22"/>
      <c r="C574" s="23"/>
      <c r="D574" s="23"/>
      <c r="E574" s="24"/>
      <c r="F574" s="25"/>
      <c r="G574" s="26"/>
      <c r="H574" s="27"/>
      <c r="I574" s="28"/>
      <c r="J574" s="28"/>
      <c r="K574" s="28"/>
      <c r="L574" s="28"/>
      <c r="M574" s="28"/>
      <c r="N574" s="28"/>
      <c r="O574" s="28"/>
      <c r="P574" s="42"/>
      <c r="Q574" s="29"/>
      <c r="R574" s="29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14"/>
    </row>
    <row r="575" spans="1:29" x14ac:dyDescent="0.2">
      <c r="A575" s="12"/>
      <c r="B575" s="22"/>
      <c r="C575" s="23"/>
      <c r="D575" s="23"/>
      <c r="E575" s="24"/>
      <c r="F575" s="25"/>
      <c r="G575" s="26"/>
      <c r="H575" s="27"/>
      <c r="I575" s="28"/>
      <c r="J575" s="28"/>
      <c r="K575" s="28"/>
      <c r="L575" s="28"/>
      <c r="M575" s="28"/>
      <c r="N575" s="28"/>
      <c r="O575" s="28"/>
      <c r="P575" s="42"/>
      <c r="Q575" s="29"/>
      <c r="R575" s="29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14"/>
    </row>
    <row r="576" spans="1:29" x14ac:dyDescent="0.2">
      <c r="A576" s="12"/>
      <c r="B576" s="22"/>
      <c r="C576" s="23"/>
      <c r="D576" s="23"/>
      <c r="E576" s="24"/>
      <c r="F576" s="25"/>
      <c r="G576" s="26"/>
      <c r="H576" s="27"/>
      <c r="I576" s="28"/>
      <c r="J576" s="28"/>
      <c r="K576" s="28"/>
      <c r="L576" s="28"/>
      <c r="M576" s="28"/>
      <c r="N576" s="28"/>
      <c r="O576" s="28"/>
      <c r="P576" s="42"/>
      <c r="Q576" s="29"/>
      <c r="R576" s="29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14"/>
    </row>
    <row r="577" spans="1:29" x14ac:dyDescent="0.2">
      <c r="A577" s="12"/>
      <c r="B577" s="22"/>
      <c r="C577" s="23"/>
      <c r="D577" s="23"/>
      <c r="E577" s="24"/>
      <c r="F577" s="25"/>
      <c r="G577" s="26"/>
      <c r="H577" s="27"/>
      <c r="I577" s="28"/>
      <c r="J577" s="28"/>
      <c r="K577" s="28"/>
      <c r="L577" s="28"/>
      <c r="M577" s="28"/>
      <c r="N577" s="28"/>
      <c r="O577" s="28"/>
      <c r="P577" s="42"/>
      <c r="Q577" s="29"/>
      <c r="R577" s="29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14"/>
    </row>
    <row r="578" spans="1:29" x14ac:dyDescent="0.2">
      <c r="A578" s="12"/>
      <c r="B578" s="22"/>
      <c r="C578" s="23"/>
      <c r="D578" s="23"/>
      <c r="E578" s="24"/>
      <c r="F578" s="25"/>
      <c r="G578" s="26"/>
      <c r="H578" s="27"/>
      <c r="I578" s="28"/>
      <c r="J578" s="28"/>
      <c r="K578" s="28"/>
      <c r="L578" s="28"/>
      <c r="M578" s="28"/>
      <c r="N578" s="28"/>
      <c r="O578" s="28"/>
      <c r="P578" s="42"/>
      <c r="Q578" s="29"/>
      <c r="R578" s="29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14"/>
    </row>
    <row r="579" spans="1:29" x14ac:dyDescent="0.2">
      <c r="A579" s="12"/>
      <c r="B579" s="22"/>
      <c r="C579" s="23"/>
      <c r="D579" s="23"/>
      <c r="E579" s="24"/>
      <c r="F579" s="25"/>
      <c r="G579" s="26"/>
      <c r="H579" s="27"/>
      <c r="I579" s="28"/>
      <c r="J579" s="28"/>
      <c r="K579" s="28"/>
      <c r="L579" s="28"/>
      <c r="M579" s="28"/>
      <c r="N579" s="28"/>
      <c r="O579" s="28"/>
      <c r="P579" s="42"/>
      <c r="Q579" s="29"/>
      <c r="R579" s="29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14"/>
    </row>
    <row r="580" spans="1:29" x14ac:dyDescent="0.2">
      <c r="A580" s="12"/>
      <c r="B580" s="22"/>
      <c r="C580" s="23"/>
      <c r="D580" s="23"/>
      <c r="E580" s="24"/>
      <c r="F580" s="25"/>
      <c r="G580" s="26"/>
      <c r="H580" s="27"/>
      <c r="I580" s="28"/>
      <c r="J580" s="28"/>
      <c r="K580" s="28"/>
      <c r="L580" s="28"/>
      <c r="M580" s="28"/>
      <c r="N580" s="28"/>
      <c r="O580" s="28"/>
      <c r="P580" s="42"/>
      <c r="Q580" s="29"/>
      <c r="R580" s="29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14"/>
    </row>
    <row r="581" spans="1:29" x14ac:dyDescent="0.2">
      <c r="A581" s="12"/>
      <c r="B581" s="22"/>
      <c r="C581" s="23"/>
      <c r="D581" s="23"/>
      <c r="E581" s="24"/>
      <c r="F581" s="25"/>
      <c r="G581" s="26"/>
      <c r="H581" s="27"/>
      <c r="I581" s="28"/>
      <c r="J581" s="28"/>
      <c r="K581" s="28"/>
      <c r="L581" s="28"/>
      <c r="M581" s="28"/>
      <c r="N581" s="28"/>
      <c r="O581" s="28"/>
      <c r="P581" s="42"/>
      <c r="Q581" s="29"/>
      <c r="R581" s="29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14"/>
    </row>
    <row r="582" spans="1:29" x14ac:dyDescent="0.2">
      <c r="A582" s="12"/>
      <c r="B582" s="22"/>
      <c r="C582" s="23"/>
      <c r="D582" s="23"/>
      <c r="E582" s="24"/>
      <c r="F582" s="25"/>
      <c r="G582" s="26"/>
      <c r="H582" s="27"/>
      <c r="I582" s="28"/>
      <c r="J582" s="28"/>
      <c r="K582" s="28"/>
      <c r="L582" s="28"/>
      <c r="M582" s="28"/>
      <c r="N582" s="28"/>
      <c r="O582" s="28"/>
      <c r="P582" s="42"/>
      <c r="Q582" s="29"/>
      <c r="R582" s="29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14"/>
    </row>
    <row r="583" spans="1:29" x14ac:dyDescent="0.2">
      <c r="A583" s="12"/>
      <c r="B583" s="22"/>
      <c r="C583" s="23"/>
      <c r="D583" s="23"/>
      <c r="E583" s="24"/>
      <c r="F583" s="25"/>
      <c r="G583" s="26"/>
      <c r="H583" s="27"/>
      <c r="I583" s="28"/>
      <c r="J583" s="28"/>
      <c r="K583" s="28"/>
      <c r="L583" s="28"/>
      <c r="M583" s="28"/>
      <c r="N583" s="28"/>
      <c r="O583" s="28"/>
      <c r="P583" s="42"/>
      <c r="Q583" s="29"/>
      <c r="R583" s="29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14"/>
    </row>
    <row r="584" spans="1:29" x14ac:dyDescent="0.2">
      <c r="A584" s="12"/>
      <c r="B584" s="22"/>
      <c r="C584" s="23"/>
      <c r="D584" s="23"/>
      <c r="E584" s="24"/>
      <c r="F584" s="25"/>
      <c r="G584" s="26"/>
      <c r="H584" s="27"/>
      <c r="I584" s="28"/>
      <c r="J584" s="28"/>
      <c r="K584" s="28"/>
      <c r="L584" s="28"/>
      <c r="M584" s="28"/>
      <c r="N584" s="28"/>
      <c r="O584" s="28"/>
      <c r="P584" s="42"/>
      <c r="Q584" s="29"/>
      <c r="R584" s="29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14"/>
    </row>
    <row r="585" spans="1:29" x14ac:dyDescent="0.2">
      <c r="A585" s="12"/>
      <c r="B585" s="22"/>
      <c r="C585" s="23"/>
      <c r="D585" s="23"/>
      <c r="E585" s="24"/>
      <c r="F585" s="25"/>
      <c r="G585" s="26"/>
      <c r="H585" s="27"/>
      <c r="I585" s="28"/>
      <c r="J585" s="28"/>
      <c r="K585" s="28"/>
      <c r="L585" s="28"/>
      <c r="M585" s="28"/>
      <c r="N585" s="28"/>
      <c r="O585" s="28"/>
      <c r="P585" s="42"/>
      <c r="Q585" s="29"/>
      <c r="R585" s="29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14"/>
    </row>
    <row r="586" spans="1:29" x14ac:dyDescent="0.2">
      <c r="A586" s="12"/>
      <c r="B586" s="22"/>
      <c r="C586" s="23"/>
      <c r="D586" s="23"/>
      <c r="E586" s="24"/>
      <c r="F586" s="25"/>
      <c r="G586" s="26"/>
      <c r="H586" s="27"/>
      <c r="I586" s="28"/>
      <c r="J586" s="28"/>
      <c r="K586" s="28"/>
      <c r="L586" s="28"/>
      <c r="M586" s="28"/>
      <c r="N586" s="28"/>
      <c r="O586" s="28"/>
      <c r="P586" s="42"/>
      <c r="Q586" s="29"/>
      <c r="R586" s="29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14"/>
    </row>
    <row r="587" spans="1:29" x14ac:dyDescent="0.2">
      <c r="A587" s="12"/>
      <c r="B587" s="22"/>
      <c r="C587" s="23"/>
      <c r="D587" s="23"/>
      <c r="E587" s="24"/>
      <c r="F587" s="25"/>
      <c r="G587" s="26"/>
      <c r="H587" s="27"/>
      <c r="I587" s="28"/>
      <c r="J587" s="28"/>
      <c r="K587" s="28"/>
      <c r="L587" s="28"/>
      <c r="M587" s="28"/>
      <c r="N587" s="28"/>
      <c r="O587" s="28"/>
      <c r="P587" s="42"/>
      <c r="Q587" s="29"/>
      <c r="R587" s="29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14"/>
    </row>
    <row r="588" spans="1:29" x14ac:dyDescent="0.2">
      <c r="A588" s="12"/>
      <c r="B588" s="22"/>
      <c r="C588" s="23"/>
      <c r="D588" s="23"/>
      <c r="E588" s="24"/>
      <c r="F588" s="25"/>
      <c r="G588" s="26"/>
      <c r="H588" s="27"/>
      <c r="I588" s="28"/>
      <c r="J588" s="28"/>
      <c r="K588" s="28"/>
      <c r="L588" s="28"/>
      <c r="M588" s="28"/>
      <c r="N588" s="28"/>
      <c r="O588" s="28"/>
      <c r="P588" s="42"/>
      <c r="Q588" s="29"/>
      <c r="R588" s="29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14"/>
    </row>
    <row r="589" spans="1:29" x14ac:dyDescent="0.2">
      <c r="A589" s="12"/>
      <c r="B589" s="22"/>
      <c r="C589" s="23"/>
      <c r="D589" s="23"/>
      <c r="E589" s="24"/>
      <c r="F589" s="25"/>
      <c r="G589" s="26"/>
      <c r="H589" s="27"/>
      <c r="I589" s="28"/>
      <c r="J589" s="28"/>
      <c r="K589" s="28"/>
      <c r="L589" s="28"/>
      <c r="M589" s="28"/>
      <c r="N589" s="28"/>
      <c r="O589" s="28"/>
      <c r="P589" s="42"/>
      <c r="Q589" s="29"/>
      <c r="R589" s="29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14"/>
    </row>
    <row r="590" spans="1:29" x14ac:dyDescent="0.2">
      <c r="A590" s="12"/>
      <c r="B590" s="22"/>
      <c r="C590" s="23"/>
      <c r="D590" s="23"/>
      <c r="E590" s="24"/>
      <c r="F590" s="25"/>
      <c r="G590" s="26"/>
      <c r="H590" s="27"/>
      <c r="I590" s="28"/>
      <c r="J590" s="28"/>
      <c r="K590" s="28"/>
      <c r="L590" s="28"/>
      <c r="M590" s="28"/>
      <c r="N590" s="28"/>
      <c r="O590" s="28"/>
      <c r="P590" s="42"/>
      <c r="Q590" s="29"/>
      <c r="R590" s="29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14"/>
    </row>
    <row r="591" spans="1:29" x14ac:dyDescent="0.2">
      <c r="A591" s="12"/>
      <c r="B591" s="22"/>
      <c r="C591" s="23"/>
      <c r="D591" s="23"/>
      <c r="E591" s="24"/>
      <c r="F591" s="25"/>
      <c r="G591" s="26"/>
      <c r="H591" s="27"/>
      <c r="I591" s="28"/>
      <c r="J591" s="28"/>
      <c r="K591" s="28"/>
      <c r="L591" s="28"/>
      <c r="M591" s="28"/>
      <c r="N591" s="28"/>
      <c r="O591" s="28"/>
      <c r="P591" s="42"/>
      <c r="Q591" s="29"/>
      <c r="R591" s="29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14"/>
    </row>
    <row r="592" spans="1:29" x14ac:dyDescent="0.2">
      <c r="A592" s="12"/>
      <c r="B592" s="22"/>
      <c r="C592" s="23"/>
      <c r="D592" s="23"/>
      <c r="E592" s="24"/>
      <c r="F592" s="25"/>
      <c r="G592" s="26"/>
      <c r="H592" s="27"/>
      <c r="I592" s="28"/>
      <c r="J592" s="28"/>
      <c r="K592" s="28"/>
      <c r="L592" s="28"/>
      <c r="M592" s="28"/>
      <c r="N592" s="28"/>
      <c r="O592" s="28"/>
      <c r="P592" s="42"/>
      <c r="Q592" s="29"/>
      <c r="R592" s="29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14"/>
    </row>
    <row r="593" spans="1:29" x14ac:dyDescent="0.2">
      <c r="A593" s="12"/>
      <c r="B593" s="22"/>
      <c r="C593" s="23"/>
      <c r="D593" s="23"/>
      <c r="E593" s="24"/>
      <c r="F593" s="25"/>
      <c r="G593" s="26"/>
      <c r="H593" s="27"/>
      <c r="I593" s="28"/>
      <c r="J593" s="28"/>
      <c r="K593" s="28"/>
      <c r="L593" s="28"/>
      <c r="M593" s="28"/>
      <c r="N593" s="28"/>
      <c r="O593" s="28"/>
      <c r="P593" s="42"/>
      <c r="Q593" s="29"/>
      <c r="R593" s="29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14"/>
    </row>
    <row r="594" spans="1:29" x14ac:dyDescent="0.2">
      <c r="A594" s="12"/>
      <c r="B594" s="22"/>
      <c r="C594" s="23"/>
      <c r="D594" s="23"/>
      <c r="E594" s="24"/>
      <c r="F594" s="25"/>
      <c r="G594" s="26"/>
      <c r="H594" s="27"/>
      <c r="I594" s="28"/>
      <c r="J594" s="28"/>
      <c r="K594" s="28"/>
      <c r="L594" s="28"/>
      <c r="M594" s="28"/>
      <c r="N594" s="28"/>
      <c r="O594" s="28"/>
      <c r="P594" s="42"/>
      <c r="Q594" s="29"/>
      <c r="R594" s="29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14"/>
    </row>
    <row r="595" spans="1:29" x14ac:dyDescent="0.2">
      <c r="A595" s="12"/>
      <c r="B595" s="22"/>
      <c r="C595" s="23"/>
      <c r="D595" s="23"/>
      <c r="E595" s="24"/>
      <c r="F595" s="25"/>
      <c r="G595" s="26"/>
      <c r="H595" s="27"/>
      <c r="I595" s="28"/>
      <c r="J595" s="28"/>
      <c r="K595" s="28"/>
      <c r="L595" s="28"/>
      <c r="M595" s="28"/>
      <c r="N595" s="28"/>
      <c r="O595" s="28"/>
      <c r="P595" s="42"/>
      <c r="Q595" s="29"/>
      <c r="R595" s="29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14"/>
    </row>
    <row r="596" spans="1:29" x14ac:dyDescent="0.2">
      <c r="A596" s="12"/>
      <c r="B596" s="22"/>
      <c r="C596" s="23"/>
      <c r="D596" s="23"/>
      <c r="E596" s="24"/>
      <c r="F596" s="25"/>
      <c r="G596" s="26"/>
      <c r="H596" s="27"/>
      <c r="I596" s="28"/>
      <c r="J596" s="28"/>
      <c r="K596" s="28"/>
      <c r="L596" s="28"/>
      <c r="M596" s="28"/>
      <c r="N596" s="28"/>
      <c r="O596" s="28"/>
      <c r="P596" s="42"/>
      <c r="Q596" s="29"/>
      <c r="R596" s="29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14"/>
    </row>
    <row r="597" spans="1:29" x14ac:dyDescent="0.2">
      <c r="A597" s="12"/>
      <c r="B597" s="22"/>
      <c r="C597" s="23"/>
      <c r="D597" s="23"/>
      <c r="E597" s="24"/>
      <c r="F597" s="25"/>
      <c r="G597" s="26"/>
      <c r="H597" s="27"/>
      <c r="I597" s="28"/>
      <c r="J597" s="28"/>
      <c r="K597" s="28"/>
      <c r="L597" s="28"/>
      <c r="M597" s="28"/>
      <c r="N597" s="28"/>
      <c r="O597" s="28"/>
      <c r="P597" s="42"/>
      <c r="Q597" s="29"/>
      <c r="R597" s="29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14"/>
    </row>
    <row r="598" spans="1:29" x14ac:dyDescent="0.2">
      <c r="A598" s="12"/>
      <c r="B598" s="22"/>
      <c r="C598" s="23"/>
      <c r="D598" s="23"/>
      <c r="E598" s="24"/>
      <c r="F598" s="25"/>
      <c r="G598" s="26"/>
      <c r="H598" s="27"/>
      <c r="I598" s="28"/>
      <c r="J598" s="28"/>
      <c r="K598" s="28"/>
      <c r="L598" s="28"/>
      <c r="M598" s="28"/>
      <c r="N598" s="28"/>
      <c r="O598" s="28"/>
      <c r="P598" s="42"/>
      <c r="Q598" s="29"/>
      <c r="R598" s="29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14"/>
    </row>
    <row r="599" spans="1:29" x14ac:dyDescent="0.2">
      <c r="A599" s="12"/>
      <c r="B599" s="22"/>
      <c r="C599" s="23"/>
      <c r="D599" s="23"/>
      <c r="E599" s="24"/>
      <c r="F599" s="25"/>
      <c r="G599" s="26"/>
      <c r="H599" s="27"/>
      <c r="I599" s="28"/>
      <c r="J599" s="28"/>
      <c r="K599" s="28"/>
      <c r="L599" s="28"/>
      <c r="M599" s="28"/>
      <c r="N599" s="28"/>
      <c r="O599" s="28"/>
      <c r="P599" s="42"/>
      <c r="Q599" s="29"/>
      <c r="R599" s="29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14"/>
    </row>
    <row r="600" spans="1:29" x14ac:dyDescent="0.2">
      <c r="A600" s="12"/>
      <c r="B600" s="22"/>
      <c r="C600" s="23"/>
      <c r="D600" s="23"/>
      <c r="E600" s="24"/>
      <c r="F600" s="25"/>
      <c r="G600" s="26"/>
      <c r="H600" s="27"/>
      <c r="I600" s="28"/>
      <c r="J600" s="28"/>
      <c r="K600" s="28"/>
      <c r="L600" s="28"/>
      <c r="M600" s="28"/>
      <c r="N600" s="28"/>
      <c r="O600" s="28"/>
      <c r="P600" s="42"/>
      <c r="Q600" s="29"/>
      <c r="R600" s="29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14"/>
    </row>
    <row r="601" spans="1:29" x14ac:dyDescent="0.2">
      <c r="A601" s="12"/>
      <c r="B601" s="22"/>
      <c r="C601" s="23"/>
      <c r="D601" s="23"/>
      <c r="E601" s="24"/>
      <c r="F601" s="25"/>
      <c r="G601" s="26"/>
      <c r="H601" s="27"/>
      <c r="I601" s="28"/>
      <c r="J601" s="28"/>
      <c r="K601" s="28"/>
      <c r="L601" s="28"/>
      <c r="M601" s="28"/>
      <c r="N601" s="28"/>
      <c r="O601" s="28"/>
      <c r="P601" s="42"/>
      <c r="Q601" s="29"/>
      <c r="R601" s="29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14"/>
    </row>
    <row r="602" spans="1:29" x14ac:dyDescent="0.2">
      <c r="A602" s="12"/>
      <c r="B602" s="22"/>
      <c r="C602" s="23"/>
      <c r="D602" s="23"/>
      <c r="E602" s="24"/>
      <c r="F602" s="25"/>
      <c r="G602" s="26"/>
      <c r="H602" s="27"/>
      <c r="I602" s="28"/>
      <c r="J602" s="28"/>
      <c r="K602" s="28"/>
      <c r="L602" s="28"/>
      <c r="M602" s="28"/>
      <c r="N602" s="28"/>
      <c r="O602" s="28"/>
      <c r="P602" s="42"/>
      <c r="Q602" s="29"/>
      <c r="R602" s="29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14"/>
    </row>
    <row r="603" spans="1:29" x14ac:dyDescent="0.2">
      <c r="A603" s="12"/>
      <c r="B603" s="22"/>
      <c r="C603" s="23"/>
      <c r="D603" s="23"/>
      <c r="E603" s="24"/>
      <c r="F603" s="25"/>
      <c r="G603" s="26"/>
      <c r="H603" s="27"/>
      <c r="I603" s="28"/>
      <c r="J603" s="28"/>
      <c r="K603" s="28"/>
      <c r="L603" s="28"/>
      <c r="M603" s="28"/>
      <c r="N603" s="28"/>
      <c r="O603" s="28"/>
      <c r="P603" s="42"/>
      <c r="Q603" s="29"/>
      <c r="R603" s="29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14"/>
    </row>
    <row r="604" spans="1:29" x14ac:dyDescent="0.2">
      <c r="A604" s="12"/>
      <c r="B604" s="22"/>
      <c r="C604" s="23"/>
      <c r="D604" s="23"/>
      <c r="E604" s="24"/>
      <c r="F604" s="25"/>
      <c r="G604" s="26"/>
      <c r="H604" s="27"/>
      <c r="I604" s="28"/>
      <c r="J604" s="28"/>
      <c r="K604" s="28"/>
      <c r="L604" s="28"/>
      <c r="M604" s="28"/>
      <c r="N604" s="28"/>
      <c r="O604" s="28"/>
      <c r="P604" s="42"/>
      <c r="Q604" s="29"/>
      <c r="R604" s="29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14"/>
    </row>
    <row r="605" spans="1:29" x14ac:dyDescent="0.2">
      <c r="A605" s="12"/>
      <c r="B605" s="22"/>
      <c r="C605" s="23"/>
      <c r="D605" s="23"/>
      <c r="E605" s="24"/>
      <c r="F605" s="25"/>
      <c r="G605" s="26"/>
      <c r="H605" s="27"/>
      <c r="I605" s="28"/>
      <c r="J605" s="28"/>
      <c r="K605" s="28"/>
      <c r="L605" s="28"/>
      <c r="M605" s="28"/>
      <c r="N605" s="28"/>
      <c r="O605" s="28"/>
      <c r="P605" s="42"/>
      <c r="Q605" s="29"/>
      <c r="R605" s="29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14"/>
    </row>
    <row r="606" spans="1:29" x14ac:dyDescent="0.2">
      <c r="A606" s="12"/>
      <c r="B606" s="22"/>
      <c r="C606" s="23"/>
      <c r="D606" s="23"/>
      <c r="E606" s="24"/>
      <c r="F606" s="25"/>
      <c r="G606" s="26"/>
      <c r="H606" s="27"/>
      <c r="I606" s="28"/>
      <c r="J606" s="28"/>
      <c r="K606" s="28"/>
      <c r="L606" s="28"/>
      <c r="M606" s="28"/>
      <c r="N606" s="28"/>
      <c r="O606" s="28"/>
      <c r="P606" s="42"/>
      <c r="Q606" s="29"/>
      <c r="R606" s="29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14"/>
    </row>
    <row r="607" spans="1:29" x14ac:dyDescent="0.2">
      <c r="A607" s="12"/>
      <c r="B607" s="22"/>
      <c r="C607" s="23"/>
      <c r="D607" s="23"/>
      <c r="E607" s="24"/>
      <c r="F607" s="25"/>
      <c r="G607" s="26"/>
      <c r="H607" s="27"/>
      <c r="I607" s="28"/>
      <c r="J607" s="28"/>
      <c r="K607" s="28"/>
      <c r="L607" s="28"/>
      <c r="M607" s="28"/>
      <c r="N607" s="28"/>
      <c r="O607" s="28"/>
      <c r="P607" s="42"/>
      <c r="Q607" s="29"/>
      <c r="R607" s="29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14"/>
    </row>
    <row r="608" spans="1:29" x14ac:dyDescent="0.2">
      <c r="A608" s="12"/>
      <c r="B608" s="22"/>
      <c r="C608" s="23"/>
      <c r="D608" s="23"/>
      <c r="E608" s="24"/>
      <c r="F608" s="25"/>
      <c r="G608" s="26"/>
      <c r="H608" s="27"/>
      <c r="I608" s="28"/>
      <c r="J608" s="28"/>
      <c r="K608" s="28"/>
      <c r="L608" s="28"/>
      <c r="M608" s="28"/>
      <c r="N608" s="28"/>
      <c r="O608" s="28"/>
      <c r="P608" s="42"/>
      <c r="Q608" s="29"/>
      <c r="R608" s="29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14"/>
    </row>
    <row r="609" spans="1:29" x14ac:dyDescent="0.2">
      <c r="A609" s="12"/>
      <c r="B609" s="22"/>
      <c r="C609" s="23"/>
      <c r="D609" s="23"/>
      <c r="E609" s="24"/>
      <c r="F609" s="25"/>
      <c r="G609" s="26"/>
      <c r="H609" s="27"/>
      <c r="I609" s="28"/>
      <c r="J609" s="28"/>
      <c r="K609" s="28"/>
      <c r="L609" s="28"/>
      <c r="M609" s="28"/>
      <c r="N609" s="28"/>
      <c r="O609" s="28"/>
      <c r="P609" s="42"/>
      <c r="Q609" s="29"/>
      <c r="R609" s="29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14"/>
    </row>
    <row r="610" spans="1:29" x14ac:dyDescent="0.2">
      <c r="A610" s="12"/>
      <c r="B610" s="22"/>
      <c r="C610" s="23"/>
      <c r="D610" s="23"/>
      <c r="E610" s="24"/>
      <c r="F610" s="25"/>
      <c r="G610" s="26"/>
      <c r="H610" s="27"/>
      <c r="I610" s="28"/>
      <c r="J610" s="28"/>
      <c r="K610" s="28"/>
      <c r="L610" s="28"/>
      <c r="M610" s="28"/>
      <c r="N610" s="28"/>
      <c r="O610" s="28"/>
      <c r="P610" s="42"/>
      <c r="Q610" s="29"/>
      <c r="R610" s="29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14"/>
    </row>
    <row r="611" spans="1:29" x14ac:dyDescent="0.2">
      <c r="A611" s="12"/>
      <c r="B611" s="22"/>
      <c r="C611" s="23"/>
      <c r="D611" s="23"/>
      <c r="E611" s="24"/>
      <c r="F611" s="25"/>
      <c r="G611" s="26"/>
      <c r="H611" s="27"/>
      <c r="I611" s="28"/>
      <c r="J611" s="28"/>
      <c r="K611" s="28"/>
      <c r="L611" s="28"/>
      <c r="M611" s="28"/>
      <c r="N611" s="28"/>
      <c r="O611" s="28"/>
      <c r="P611" s="42"/>
      <c r="Q611" s="29"/>
      <c r="R611" s="29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14"/>
    </row>
    <row r="612" spans="1:29" x14ac:dyDescent="0.2">
      <c r="A612" s="12"/>
      <c r="B612" s="22"/>
      <c r="C612" s="23"/>
      <c r="D612" s="23"/>
      <c r="E612" s="24"/>
      <c r="F612" s="25"/>
      <c r="G612" s="26"/>
      <c r="H612" s="27"/>
      <c r="I612" s="28"/>
      <c r="J612" s="28"/>
      <c r="K612" s="28"/>
      <c r="L612" s="28"/>
      <c r="M612" s="28"/>
      <c r="N612" s="28"/>
      <c r="O612" s="28"/>
      <c r="P612" s="42"/>
      <c r="Q612" s="29"/>
      <c r="R612" s="29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14"/>
    </row>
    <row r="613" spans="1:29" x14ac:dyDescent="0.2">
      <c r="A613" s="12"/>
      <c r="B613" s="22"/>
      <c r="C613" s="23"/>
      <c r="D613" s="23"/>
      <c r="E613" s="24"/>
      <c r="F613" s="25"/>
      <c r="G613" s="26"/>
      <c r="H613" s="27"/>
      <c r="I613" s="28"/>
      <c r="J613" s="28"/>
      <c r="K613" s="28"/>
      <c r="L613" s="28"/>
      <c r="M613" s="28"/>
      <c r="N613" s="28"/>
      <c r="O613" s="28"/>
      <c r="P613" s="42"/>
      <c r="Q613" s="29"/>
      <c r="R613" s="29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14"/>
    </row>
    <row r="614" spans="1:29" x14ac:dyDescent="0.2">
      <c r="A614" s="12"/>
      <c r="B614" s="22"/>
      <c r="C614" s="23"/>
      <c r="D614" s="23"/>
      <c r="E614" s="24"/>
      <c r="F614" s="25"/>
      <c r="G614" s="26"/>
      <c r="H614" s="27"/>
      <c r="I614" s="28"/>
      <c r="J614" s="28"/>
      <c r="K614" s="28"/>
      <c r="L614" s="28"/>
      <c r="M614" s="28"/>
      <c r="N614" s="28"/>
      <c r="O614" s="28"/>
      <c r="P614" s="42"/>
      <c r="Q614" s="29"/>
      <c r="R614" s="29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14"/>
    </row>
    <row r="615" spans="1:29" x14ac:dyDescent="0.2">
      <c r="A615" s="12"/>
      <c r="B615" s="22"/>
      <c r="C615" s="23"/>
      <c r="D615" s="23"/>
      <c r="E615" s="24"/>
      <c r="F615" s="25"/>
      <c r="G615" s="26"/>
      <c r="H615" s="27"/>
      <c r="I615" s="28"/>
      <c r="J615" s="28"/>
      <c r="K615" s="28"/>
      <c r="L615" s="28"/>
      <c r="M615" s="28"/>
      <c r="N615" s="28"/>
      <c r="O615" s="28"/>
      <c r="P615" s="42"/>
      <c r="Q615" s="29"/>
      <c r="R615" s="29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14"/>
    </row>
    <row r="616" spans="1:29" x14ac:dyDescent="0.2">
      <c r="A616" s="12"/>
      <c r="B616" s="22"/>
      <c r="C616" s="23"/>
      <c r="D616" s="23"/>
      <c r="E616" s="24"/>
      <c r="F616" s="25"/>
      <c r="G616" s="26"/>
      <c r="H616" s="27"/>
      <c r="I616" s="28"/>
      <c r="J616" s="28"/>
      <c r="K616" s="28"/>
      <c r="L616" s="28"/>
      <c r="M616" s="28"/>
      <c r="N616" s="28"/>
      <c r="O616" s="28"/>
      <c r="P616" s="42"/>
      <c r="Q616" s="29"/>
      <c r="R616" s="29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14"/>
    </row>
    <row r="617" spans="1:29" x14ac:dyDescent="0.2">
      <c r="A617" s="12"/>
      <c r="B617" s="22"/>
      <c r="C617" s="23"/>
      <c r="D617" s="23"/>
      <c r="E617" s="24"/>
      <c r="F617" s="25"/>
      <c r="G617" s="26"/>
      <c r="H617" s="27"/>
      <c r="I617" s="28"/>
      <c r="J617" s="28"/>
      <c r="K617" s="28"/>
      <c r="L617" s="28"/>
      <c r="M617" s="28"/>
      <c r="N617" s="28"/>
      <c r="O617" s="28"/>
      <c r="P617" s="42"/>
      <c r="Q617" s="29"/>
      <c r="R617" s="29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14"/>
    </row>
    <row r="618" spans="1:29" x14ac:dyDescent="0.2">
      <c r="A618" s="12"/>
      <c r="B618" s="22"/>
      <c r="C618" s="23"/>
      <c r="D618" s="23"/>
      <c r="E618" s="24"/>
      <c r="F618" s="25"/>
      <c r="G618" s="26"/>
      <c r="H618" s="27"/>
      <c r="I618" s="28"/>
      <c r="J618" s="28"/>
      <c r="K618" s="28"/>
      <c r="L618" s="28"/>
      <c r="M618" s="28"/>
      <c r="N618" s="28"/>
      <c r="O618" s="28"/>
      <c r="P618" s="42"/>
      <c r="Q618" s="29"/>
      <c r="R618" s="29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14"/>
    </row>
    <row r="619" spans="1:29" x14ac:dyDescent="0.2">
      <c r="A619" s="12"/>
      <c r="B619" s="22"/>
      <c r="C619" s="23"/>
      <c r="D619" s="23"/>
      <c r="E619" s="24"/>
      <c r="F619" s="25"/>
      <c r="G619" s="26"/>
      <c r="H619" s="27"/>
      <c r="I619" s="28"/>
      <c r="J619" s="28"/>
      <c r="K619" s="28"/>
      <c r="L619" s="28"/>
      <c r="M619" s="28"/>
      <c r="N619" s="28"/>
      <c r="O619" s="28"/>
      <c r="P619" s="42"/>
      <c r="Q619" s="29"/>
      <c r="R619" s="29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14"/>
    </row>
    <row r="620" spans="1:29" x14ac:dyDescent="0.2">
      <c r="A620" s="12"/>
      <c r="B620" s="22"/>
      <c r="C620" s="23"/>
      <c r="D620" s="23"/>
      <c r="E620" s="24"/>
      <c r="F620" s="25"/>
      <c r="G620" s="26"/>
      <c r="H620" s="27"/>
      <c r="I620" s="28"/>
      <c r="J620" s="28"/>
      <c r="K620" s="28"/>
      <c r="L620" s="28"/>
      <c r="M620" s="28"/>
      <c r="N620" s="28"/>
      <c r="O620" s="28"/>
      <c r="P620" s="42"/>
      <c r="Q620" s="29"/>
      <c r="R620" s="29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14"/>
    </row>
    <row r="621" spans="1:29" x14ac:dyDescent="0.2">
      <c r="A621" s="12"/>
      <c r="B621" s="22"/>
      <c r="C621" s="23"/>
      <c r="D621" s="23"/>
      <c r="E621" s="24"/>
      <c r="F621" s="25"/>
      <c r="G621" s="26"/>
      <c r="H621" s="27"/>
      <c r="I621" s="28"/>
      <c r="J621" s="28"/>
      <c r="K621" s="28"/>
      <c r="L621" s="28"/>
      <c r="M621" s="28"/>
      <c r="N621" s="28"/>
      <c r="O621" s="28"/>
      <c r="P621" s="42"/>
      <c r="Q621" s="29"/>
      <c r="R621" s="29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14"/>
    </row>
    <row r="622" spans="1:29" x14ac:dyDescent="0.2">
      <c r="A622" s="12"/>
      <c r="B622" s="22"/>
      <c r="C622" s="23"/>
      <c r="D622" s="23"/>
      <c r="E622" s="24"/>
      <c r="F622" s="25"/>
      <c r="G622" s="26"/>
      <c r="H622" s="27"/>
      <c r="I622" s="28"/>
      <c r="J622" s="28"/>
      <c r="K622" s="28"/>
      <c r="L622" s="28"/>
      <c r="M622" s="28"/>
      <c r="N622" s="28"/>
      <c r="O622" s="28"/>
      <c r="P622" s="42"/>
      <c r="Q622" s="29"/>
      <c r="R622" s="29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14"/>
    </row>
    <row r="623" spans="1:29" x14ac:dyDescent="0.2">
      <c r="A623" s="12"/>
      <c r="B623" s="22"/>
      <c r="C623" s="23"/>
      <c r="D623" s="23"/>
      <c r="E623" s="24"/>
      <c r="F623" s="25"/>
      <c r="G623" s="26"/>
      <c r="H623" s="27"/>
      <c r="I623" s="28"/>
      <c r="J623" s="28"/>
      <c r="K623" s="28"/>
      <c r="L623" s="28"/>
      <c r="M623" s="28"/>
      <c r="N623" s="28"/>
      <c r="O623" s="28"/>
      <c r="P623" s="42"/>
      <c r="Q623" s="29"/>
      <c r="R623" s="29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14"/>
    </row>
    <row r="624" spans="1:29" x14ac:dyDescent="0.2">
      <c r="A624" s="12"/>
      <c r="B624" s="22"/>
      <c r="C624" s="23"/>
      <c r="D624" s="23"/>
      <c r="E624" s="24"/>
      <c r="F624" s="25"/>
      <c r="G624" s="26"/>
      <c r="H624" s="27"/>
      <c r="I624" s="28"/>
      <c r="J624" s="28"/>
      <c r="K624" s="28"/>
      <c r="L624" s="28"/>
      <c r="M624" s="28"/>
      <c r="N624" s="28"/>
      <c r="O624" s="28"/>
      <c r="P624" s="42"/>
      <c r="Q624" s="29"/>
      <c r="R624" s="29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14"/>
    </row>
    <row r="625" spans="1:29" x14ac:dyDescent="0.2">
      <c r="A625" s="12"/>
      <c r="B625" s="22"/>
      <c r="C625" s="23"/>
      <c r="D625" s="23"/>
      <c r="E625" s="24"/>
      <c r="F625" s="25"/>
      <c r="G625" s="26"/>
      <c r="H625" s="27"/>
      <c r="I625" s="28"/>
      <c r="J625" s="28"/>
      <c r="K625" s="28"/>
      <c r="L625" s="28"/>
      <c r="M625" s="28"/>
      <c r="N625" s="28"/>
      <c r="O625" s="28"/>
      <c r="P625" s="42"/>
      <c r="Q625" s="29"/>
      <c r="R625" s="29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14"/>
    </row>
    <row r="626" spans="1:29" x14ac:dyDescent="0.2">
      <c r="A626" s="12"/>
      <c r="B626" s="22"/>
      <c r="C626" s="23"/>
      <c r="D626" s="23"/>
      <c r="E626" s="24"/>
      <c r="F626" s="25"/>
      <c r="G626" s="26"/>
      <c r="H626" s="27"/>
      <c r="I626" s="28"/>
      <c r="J626" s="28"/>
      <c r="K626" s="28"/>
      <c r="L626" s="28"/>
      <c r="M626" s="28"/>
      <c r="N626" s="28"/>
      <c r="O626" s="28"/>
      <c r="P626" s="42"/>
      <c r="Q626" s="29"/>
      <c r="R626" s="29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14"/>
    </row>
    <row r="627" spans="1:29" x14ac:dyDescent="0.2">
      <c r="A627" s="12"/>
      <c r="B627" s="22"/>
      <c r="C627" s="23"/>
      <c r="D627" s="23"/>
      <c r="E627" s="24"/>
      <c r="F627" s="25"/>
      <c r="G627" s="26"/>
      <c r="H627" s="27"/>
      <c r="I627" s="28"/>
      <c r="J627" s="28"/>
      <c r="K627" s="28"/>
      <c r="L627" s="28"/>
      <c r="M627" s="28"/>
      <c r="N627" s="28"/>
      <c r="O627" s="28"/>
      <c r="P627" s="42"/>
      <c r="Q627" s="29"/>
      <c r="R627" s="29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14"/>
    </row>
    <row r="628" spans="1:29" x14ac:dyDescent="0.2">
      <c r="A628" s="12"/>
      <c r="B628" s="22"/>
      <c r="C628" s="23"/>
      <c r="D628" s="23"/>
      <c r="E628" s="24"/>
      <c r="F628" s="25"/>
      <c r="G628" s="26"/>
      <c r="H628" s="27"/>
      <c r="I628" s="28"/>
      <c r="J628" s="28"/>
      <c r="K628" s="28"/>
      <c r="L628" s="28"/>
      <c r="M628" s="28"/>
      <c r="N628" s="28"/>
      <c r="O628" s="28"/>
      <c r="P628" s="42"/>
      <c r="Q628" s="29"/>
      <c r="R628" s="29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14"/>
    </row>
    <row r="629" spans="1:29" x14ac:dyDescent="0.2">
      <c r="A629" s="12"/>
      <c r="B629" s="22"/>
      <c r="C629" s="23"/>
      <c r="D629" s="23"/>
      <c r="E629" s="24"/>
      <c r="F629" s="25"/>
      <c r="G629" s="26"/>
      <c r="H629" s="27"/>
      <c r="I629" s="28"/>
      <c r="J629" s="28"/>
      <c r="K629" s="28"/>
      <c r="L629" s="28"/>
      <c r="M629" s="28"/>
      <c r="N629" s="28"/>
      <c r="O629" s="28"/>
      <c r="P629" s="42"/>
      <c r="Q629" s="29"/>
      <c r="R629" s="29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14"/>
    </row>
    <row r="630" spans="1:29" x14ac:dyDescent="0.2">
      <c r="A630" s="12"/>
      <c r="B630" s="22"/>
      <c r="C630" s="23"/>
      <c r="D630" s="23"/>
      <c r="E630" s="24"/>
      <c r="F630" s="25"/>
      <c r="G630" s="26"/>
      <c r="H630" s="27"/>
      <c r="I630" s="28"/>
      <c r="J630" s="28"/>
      <c r="K630" s="28"/>
      <c r="L630" s="28"/>
      <c r="M630" s="28"/>
      <c r="N630" s="28"/>
      <c r="O630" s="28"/>
      <c r="P630" s="42"/>
      <c r="Q630" s="29"/>
      <c r="R630" s="29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14"/>
    </row>
    <row r="631" spans="1:29" x14ac:dyDescent="0.2">
      <c r="A631" s="12"/>
      <c r="B631" s="22"/>
      <c r="C631" s="23"/>
      <c r="D631" s="23"/>
      <c r="E631" s="24"/>
      <c r="F631" s="25"/>
      <c r="G631" s="26"/>
      <c r="H631" s="27"/>
      <c r="I631" s="28"/>
      <c r="J631" s="28"/>
      <c r="K631" s="28"/>
      <c r="L631" s="28"/>
      <c r="M631" s="28"/>
      <c r="N631" s="28"/>
      <c r="O631" s="28"/>
      <c r="P631" s="42"/>
      <c r="Q631" s="29"/>
      <c r="R631" s="29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14"/>
    </row>
    <row r="632" spans="1:29" x14ac:dyDescent="0.2">
      <c r="A632" s="12"/>
      <c r="B632" s="22"/>
      <c r="C632" s="23"/>
      <c r="D632" s="23"/>
      <c r="E632" s="24"/>
      <c r="F632" s="25"/>
      <c r="G632" s="26"/>
      <c r="H632" s="27"/>
      <c r="I632" s="28"/>
      <c r="J632" s="28"/>
      <c r="K632" s="28"/>
      <c r="L632" s="28"/>
      <c r="M632" s="28"/>
      <c r="N632" s="28"/>
      <c r="O632" s="28"/>
      <c r="P632" s="42"/>
      <c r="Q632" s="29"/>
      <c r="R632" s="29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14"/>
    </row>
    <row r="633" spans="1:29" x14ac:dyDescent="0.2">
      <c r="A633" s="12"/>
      <c r="B633" s="22"/>
      <c r="C633" s="23"/>
      <c r="D633" s="23"/>
      <c r="E633" s="24"/>
      <c r="F633" s="25"/>
      <c r="G633" s="26"/>
      <c r="H633" s="27"/>
      <c r="I633" s="28"/>
      <c r="J633" s="28"/>
      <c r="K633" s="28"/>
      <c r="L633" s="28"/>
      <c r="M633" s="28"/>
      <c r="N633" s="28"/>
      <c r="O633" s="28"/>
      <c r="P633" s="42"/>
      <c r="Q633" s="29"/>
      <c r="R633" s="29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14"/>
    </row>
    <row r="634" spans="1:29" x14ac:dyDescent="0.2">
      <c r="A634" s="12"/>
      <c r="B634" s="22"/>
      <c r="C634" s="23"/>
      <c r="D634" s="23"/>
      <c r="E634" s="24"/>
      <c r="F634" s="25"/>
      <c r="G634" s="26"/>
      <c r="H634" s="27"/>
      <c r="I634" s="28"/>
      <c r="J634" s="28"/>
      <c r="K634" s="28"/>
      <c r="L634" s="28"/>
      <c r="M634" s="28"/>
      <c r="N634" s="28"/>
      <c r="O634" s="28"/>
      <c r="P634" s="42"/>
      <c r="Q634" s="29"/>
      <c r="R634" s="29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14"/>
    </row>
  </sheetData>
  <autoFilter ref="A2:AC96"/>
  <mergeCells count="15">
    <mergeCell ref="A1:A2"/>
    <mergeCell ref="B1:B2"/>
    <mergeCell ref="C1:C2"/>
    <mergeCell ref="D1:D2"/>
    <mergeCell ref="E1:E2"/>
    <mergeCell ref="F1:F2"/>
    <mergeCell ref="T1:Y1"/>
    <mergeCell ref="Z1:AB1"/>
    <mergeCell ref="AC1:AC2"/>
    <mergeCell ref="G1:H1"/>
    <mergeCell ref="I1:I2"/>
    <mergeCell ref="J1:J2"/>
    <mergeCell ref="K1:K2"/>
    <mergeCell ref="L1:L2"/>
    <mergeCell ref="M1:S1"/>
  </mergeCells>
  <pageMargins left="0.2" right="0.22" top="0.5" bottom="0.5" header="0.3" footer="0.3"/>
  <pageSetup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8"/>
  <sheetViews>
    <sheetView workbookViewId="0">
      <pane ySplit="2" topLeftCell="A3" activePane="bottomLeft" state="frozen"/>
      <selection activeCell="A2" sqref="A2"/>
      <selection pane="bottomLeft" activeCell="K98" sqref="K98"/>
    </sheetView>
  </sheetViews>
  <sheetFormatPr defaultRowHeight="15" x14ac:dyDescent="0.25"/>
  <cols>
    <col min="1" max="1" width="20.5703125" bestFit="1" customWidth="1"/>
    <col min="2" max="2" width="15" style="46" customWidth="1"/>
    <col min="3" max="3" width="12.28515625" style="45" customWidth="1"/>
    <col min="4" max="4" width="11.5703125" style="59" customWidth="1"/>
    <col min="5" max="5" width="13.85546875" style="57" customWidth="1"/>
    <col min="6" max="6" width="15.140625" style="57" customWidth="1"/>
    <col min="7" max="8" width="14.5703125" style="50" customWidth="1"/>
    <col min="9" max="9" width="14.28515625" style="59" customWidth="1"/>
  </cols>
  <sheetData>
    <row r="1" spans="1:12" x14ac:dyDescent="0.25">
      <c r="A1" s="54" t="s">
        <v>380</v>
      </c>
      <c r="B1" s="55" t="s">
        <v>381</v>
      </c>
      <c r="C1" s="54" t="s">
        <v>382</v>
      </c>
      <c r="D1" s="54" t="s">
        <v>383</v>
      </c>
      <c r="E1" s="52">
        <f>Info!B16</f>
        <v>43221</v>
      </c>
      <c r="F1" s="52">
        <f>Info!B19</f>
        <v>43252</v>
      </c>
      <c r="G1" s="52">
        <f>Info!B22</f>
        <v>43282</v>
      </c>
      <c r="H1" s="52" t="s">
        <v>444</v>
      </c>
      <c r="I1" s="54" t="s">
        <v>384</v>
      </c>
    </row>
    <row r="2" spans="1:12" s="65" customFormat="1" ht="31.5" customHeight="1" x14ac:dyDescent="0.25">
      <c r="B2" s="66"/>
      <c r="C2" s="67"/>
      <c r="D2" s="68"/>
      <c r="E2" s="69" t="e">
        <f ca="1">SUM(E3:E920)</f>
        <v>#REF!</v>
      </c>
      <c r="F2" s="69" t="e">
        <f ca="1">SUM(F3:F920)</f>
        <v>#REF!</v>
      </c>
      <c r="G2" s="70" t="e">
        <f ca="1">SUM(G3:G920)</f>
        <v>#REF!</v>
      </c>
      <c r="H2" s="70" t="e">
        <f ca="1">SUM(E2:G2)</f>
        <v>#REF!</v>
      </c>
      <c r="I2" s="68"/>
      <c r="J2" s="71"/>
      <c r="K2" s="71"/>
      <c r="L2" s="71"/>
    </row>
    <row r="3" spans="1:12" x14ac:dyDescent="0.25">
      <c r="A3" s="64" t="str">
        <f>IF(B3="","", Info!$B$2)</f>
        <v>DVN-FP3330-180404</v>
      </c>
      <c r="B3" s="8" t="s">
        <v>371</v>
      </c>
      <c r="C3" s="56" t="e">
        <f>IF(B3="","",IFERROR(VLOOKUP(B3,Reel!$E$3:$F$1013,2,0),VLOOKUP(B3,Ring!$E$3:$F$1000,2,0)))</f>
        <v>#N/A</v>
      </c>
      <c r="D3" s="60" t="e">
        <f>IF(C3="","",IFERROR(VLOOKUP(C3,Reel!$F$2:$H$1013,3,0),VLOOKUP(C3,Ring!$F$3:$H$1000,3,0)))</f>
        <v>#N/A</v>
      </c>
      <c r="E3" s="58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$17,INDIRECT("'["&amp;Info!$B$5&amp;"]"&amp;Info!$B$6&amp;"'!"&amp;Info!$B$15),"&lt;="&amp;Info!$B$18))</f>
        <v>#REF!</v>
      </c>
      <c r="F3" s="58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$20,INDIRECT("'["&amp;Info!$B$5&amp;"]"&amp;Info!$B$6&amp;"'!"&amp;Info!$B$15),"&lt;="&amp;Info!$B$21))</f>
        <v>#REF!</v>
      </c>
      <c r="G3" s="51" t="e">
        <f ca="1">IF(B3="","",SUMIFS(INDIRECT("'["&amp;Info!$B$5&amp;"]"&amp;Info!$B$6&amp;"'!"&amp;Info!$B$11),INDIRECT("'["&amp;Info!$B$5&amp;"]"&amp;Info!$B$6&amp;"'!"&amp;Info!$B$9),B3,INDIRECT("'["&amp;Info!$B$5&amp;"]"&amp;Info!$B$6&amp;"'!"&amp;Info!$B$15),"&gt;="&amp;Info!$B$23,INDIRECT("'["&amp;Info!$B$5&amp;"]"&amp;Info!$B$6&amp;"'!"&amp;Info!$B$15),"&lt;="&amp;Info!$B$24))</f>
        <v>#REF!</v>
      </c>
      <c r="H3" s="51" t="e">
        <f t="shared" ref="H3:H39" ca="1" si="0">SUM(E3:G3)</f>
        <v>#REF!</v>
      </c>
      <c r="I3" s="60" t="e">
        <f ca="1">IF(B3="","",IFERROR(SUMIF(INDIRECT("'["&amp;Info!$B$5&amp;"]"&amp;Info!$B$6&amp;"'!"&amp;Info!$B$9),B3,INDIRECT("'["&amp;Info!$B$5&amp;"]"&amp;Info!$B$6&amp;"'!"&amp;Info!$B$13))/COUNTIF(INDIRECT("'["&amp;Info!$B$5&amp;"]"&amp;Info!$B$6&amp;"'!"&amp;Info!$B$9),B3),D3))</f>
        <v>#N/A</v>
      </c>
    </row>
    <row r="4" spans="1:12" x14ac:dyDescent="0.25">
      <c r="A4" s="64" t="str">
        <f>IF(B4="","", Info!$B$2)</f>
        <v>DVN-FP3330-180404</v>
      </c>
      <c r="B4" s="8" t="s">
        <v>2</v>
      </c>
      <c r="C4" s="56" t="e">
        <f>IF(B4="","",IFERROR(VLOOKUP(B4,Reel!$E$3:$F$1013,2,0),VLOOKUP(B4,Ring!$E$3:$F$1000,2,0)))</f>
        <v>#N/A</v>
      </c>
      <c r="D4" s="60" t="e">
        <f>IF(C4="","",IFERROR(VLOOKUP(C4,Reel!$F$2:$H$1013,3,0),VLOOKUP(C4,Ring!$F$3:$H$1000,3,0)))</f>
        <v>#N/A</v>
      </c>
      <c r="E4" s="58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$17,INDIRECT("'["&amp;Info!$B$5&amp;"]"&amp;Info!$B$6&amp;"'!"&amp;Info!$B$15),"&lt;="&amp;Info!$B$18))</f>
        <v>#REF!</v>
      </c>
      <c r="F4" s="58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$20,INDIRECT("'["&amp;Info!$B$5&amp;"]"&amp;Info!$B$6&amp;"'!"&amp;Info!$B$15),"&lt;="&amp;Info!$B$21))</f>
        <v>#REF!</v>
      </c>
      <c r="G4" s="51" t="e">
        <f ca="1">IF(B4="","",SUMIFS(INDIRECT("'["&amp;Info!$B$5&amp;"]"&amp;Info!$B$6&amp;"'!"&amp;Info!$B$11),INDIRECT("'["&amp;Info!$B$5&amp;"]"&amp;Info!$B$6&amp;"'!"&amp;Info!$B$9),B4,INDIRECT("'["&amp;Info!$B$5&amp;"]"&amp;Info!$B$6&amp;"'!"&amp;Info!$B$15),"&gt;="&amp;Info!$B$23,INDIRECT("'["&amp;Info!$B$5&amp;"]"&amp;Info!$B$6&amp;"'!"&amp;Info!$B$15),"&lt;="&amp;Info!$B$24))</f>
        <v>#REF!</v>
      </c>
      <c r="H4" s="51" t="e">
        <f t="shared" ca="1" si="0"/>
        <v>#REF!</v>
      </c>
      <c r="I4" s="60" t="e">
        <f ca="1">IF(B4="","",IFERROR(SUMIF(INDIRECT("'["&amp;Info!$B$5&amp;"]"&amp;Info!$B$6&amp;"'!"&amp;Info!$B$9),B4,INDIRECT("'["&amp;Info!$B$5&amp;"]"&amp;Info!$B$6&amp;"'!"&amp;Info!$B$13))/COUNTIF(INDIRECT("'["&amp;Info!$B$5&amp;"]"&amp;Info!$B$6&amp;"'!"&amp;Info!$B$9),B4),D4))</f>
        <v>#N/A</v>
      </c>
    </row>
    <row r="5" spans="1:12" x14ac:dyDescent="0.25">
      <c r="A5" s="64" t="str">
        <f>IF(B5="","", Info!$B$2)</f>
        <v>DVN-FP3330-180404</v>
      </c>
      <c r="B5" s="8" t="s">
        <v>3</v>
      </c>
      <c r="C5" s="56" t="e">
        <f>IF(B5="","",IFERROR(VLOOKUP(B5,Reel!$E$3:$F$1013,2,0),VLOOKUP(B5,Ring!$E$3:$F$1000,2,0)))</f>
        <v>#N/A</v>
      </c>
      <c r="D5" s="60" t="e">
        <f>IF(C5="","",IFERROR(VLOOKUP(C5,Reel!$F$2:$H$1013,3,0),VLOOKUP(C5,Ring!$F$3:$H$1000,3,0)))</f>
        <v>#N/A</v>
      </c>
      <c r="E5" s="58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$17,INDIRECT("'["&amp;Info!$B$5&amp;"]"&amp;Info!$B$6&amp;"'!"&amp;Info!$B$15),"&lt;="&amp;Info!$B$18))</f>
        <v>#REF!</v>
      </c>
      <c r="F5" s="58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$20,INDIRECT("'["&amp;Info!$B$5&amp;"]"&amp;Info!$B$6&amp;"'!"&amp;Info!$B$15),"&lt;="&amp;Info!$B$21))</f>
        <v>#REF!</v>
      </c>
      <c r="G5" s="51" t="e">
        <f ca="1">IF(B5="","",SUMIFS(INDIRECT("'["&amp;Info!$B$5&amp;"]"&amp;Info!$B$6&amp;"'!"&amp;Info!$B$11),INDIRECT("'["&amp;Info!$B$5&amp;"]"&amp;Info!$B$6&amp;"'!"&amp;Info!$B$9),B5,INDIRECT("'["&amp;Info!$B$5&amp;"]"&amp;Info!$B$6&amp;"'!"&amp;Info!$B$15),"&gt;="&amp;Info!$B$23,INDIRECT("'["&amp;Info!$B$5&amp;"]"&amp;Info!$B$6&amp;"'!"&amp;Info!$B$15),"&lt;="&amp;Info!$B$24))</f>
        <v>#REF!</v>
      </c>
      <c r="H5" s="51" t="e">
        <f t="shared" ca="1" si="0"/>
        <v>#REF!</v>
      </c>
      <c r="I5" s="60" t="e">
        <f ca="1">IF(B5="","",IFERROR(SUMIF(INDIRECT("'["&amp;Info!$B$5&amp;"]"&amp;Info!$B$6&amp;"'!"&amp;Info!$B$9),B5,INDIRECT("'["&amp;Info!$B$5&amp;"]"&amp;Info!$B$6&amp;"'!"&amp;Info!$B$13))/COUNTIF(INDIRECT("'["&amp;Info!$B$5&amp;"]"&amp;Info!$B$6&amp;"'!"&amp;Info!$B$9),B5),D5))</f>
        <v>#N/A</v>
      </c>
      <c r="L5" s="50"/>
    </row>
    <row r="6" spans="1:12" x14ac:dyDescent="0.25">
      <c r="A6" s="64" t="str">
        <f>IF(B6="","", Info!$B$2)</f>
        <v>DVN-FP3330-180404</v>
      </c>
      <c r="B6" s="8" t="s">
        <v>4</v>
      </c>
      <c r="C6" s="56" t="e">
        <f>IF(B6="","",IFERROR(VLOOKUP(B6,Reel!$E$3:$F$1013,2,0),VLOOKUP(B6,Ring!$E$3:$F$1000,2,0)))</f>
        <v>#N/A</v>
      </c>
      <c r="D6" s="60" t="e">
        <f>IF(C6="","",IFERROR(VLOOKUP(C6,Reel!$F$2:$H$1013,3,0),VLOOKUP(C6,Ring!$F$3:$H$1000,3,0)))</f>
        <v>#N/A</v>
      </c>
      <c r="E6" s="58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$17,INDIRECT("'["&amp;Info!$B$5&amp;"]"&amp;Info!$B$6&amp;"'!"&amp;Info!$B$15),"&lt;="&amp;Info!$B$18))</f>
        <v>#REF!</v>
      </c>
      <c r="F6" s="58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$20,INDIRECT("'["&amp;Info!$B$5&amp;"]"&amp;Info!$B$6&amp;"'!"&amp;Info!$B$15),"&lt;="&amp;Info!$B$21))</f>
        <v>#REF!</v>
      </c>
      <c r="G6" s="51" t="e">
        <f ca="1">IF(B6="","",SUMIFS(INDIRECT("'["&amp;Info!$B$5&amp;"]"&amp;Info!$B$6&amp;"'!"&amp;Info!$B$11),INDIRECT("'["&amp;Info!$B$5&amp;"]"&amp;Info!$B$6&amp;"'!"&amp;Info!$B$9),B6,INDIRECT("'["&amp;Info!$B$5&amp;"]"&amp;Info!$B$6&amp;"'!"&amp;Info!$B$15),"&gt;="&amp;Info!$B$23,INDIRECT("'["&amp;Info!$B$5&amp;"]"&amp;Info!$B$6&amp;"'!"&amp;Info!$B$15),"&lt;="&amp;Info!$B$24))</f>
        <v>#REF!</v>
      </c>
      <c r="H6" s="51" t="e">
        <f t="shared" ca="1" si="0"/>
        <v>#REF!</v>
      </c>
      <c r="I6" s="60" t="e">
        <f ca="1">IF(B6="","",IFERROR(SUMIF(INDIRECT("'["&amp;Info!$B$5&amp;"]"&amp;Info!$B$6&amp;"'!"&amp;Info!$B$9),B6,INDIRECT("'["&amp;Info!$B$5&amp;"]"&amp;Info!$B$6&amp;"'!"&amp;Info!$B$13))/COUNTIF(INDIRECT("'["&amp;Info!$B$5&amp;"]"&amp;Info!$B$6&amp;"'!"&amp;Info!$B$9),B6),D6))</f>
        <v>#N/A</v>
      </c>
      <c r="L6" s="50"/>
    </row>
    <row r="7" spans="1:12" x14ac:dyDescent="0.25">
      <c r="A7" s="64" t="str">
        <f>IF(B7="","", Info!$B$2)</f>
        <v>DVN-FP3330-180404</v>
      </c>
      <c r="B7" s="8" t="s">
        <v>5</v>
      </c>
      <c r="C7" s="56" t="e">
        <f>IF(B7="","",IFERROR(VLOOKUP(B7,Reel!$E$3:$F$1013,2,0),VLOOKUP(B7,Ring!$E$3:$F$1000,2,0)))</f>
        <v>#N/A</v>
      </c>
      <c r="D7" s="60" t="e">
        <f>IF(C7="","",IFERROR(VLOOKUP(C7,Reel!$F$2:$H$1013,3,0),VLOOKUP(C7,Ring!$F$3:$H$1000,3,0)))</f>
        <v>#N/A</v>
      </c>
      <c r="E7" s="58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$17,INDIRECT("'["&amp;Info!$B$5&amp;"]"&amp;Info!$B$6&amp;"'!"&amp;Info!$B$15),"&lt;="&amp;Info!$B$18))</f>
        <v>#REF!</v>
      </c>
      <c r="F7" s="58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$20,INDIRECT("'["&amp;Info!$B$5&amp;"]"&amp;Info!$B$6&amp;"'!"&amp;Info!$B$15),"&lt;="&amp;Info!$B$21))</f>
        <v>#REF!</v>
      </c>
      <c r="G7" s="51" t="e">
        <f ca="1">IF(B7="","",SUMIFS(INDIRECT("'["&amp;Info!$B$5&amp;"]"&amp;Info!$B$6&amp;"'!"&amp;Info!$B$11),INDIRECT("'["&amp;Info!$B$5&amp;"]"&amp;Info!$B$6&amp;"'!"&amp;Info!$B$9),B7,INDIRECT("'["&amp;Info!$B$5&amp;"]"&amp;Info!$B$6&amp;"'!"&amp;Info!$B$15),"&gt;="&amp;Info!$B$23,INDIRECT("'["&amp;Info!$B$5&amp;"]"&amp;Info!$B$6&amp;"'!"&amp;Info!$B$15),"&lt;="&amp;Info!$B$24))</f>
        <v>#REF!</v>
      </c>
      <c r="H7" s="51" t="e">
        <f t="shared" ca="1" si="0"/>
        <v>#REF!</v>
      </c>
      <c r="I7" s="60" t="e">
        <f ca="1">IF(B7="","",IFERROR(SUMIF(INDIRECT("'["&amp;Info!$B$5&amp;"]"&amp;Info!$B$6&amp;"'!"&amp;Info!$B$9),B7,INDIRECT("'["&amp;Info!$B$5&amp;"]"&amp;Info!$B$6&amp;"'!"&amp;Info!$B$13))/COUNTIF(INDIRECT("'["&amp;Info!$B$5&amp;"]"&amp;Info!$B$6&amp;"'!"&amp;Info!$B$9),B7),D7))</f>
        <v>#N/A</v>
      </c>
    </row>
    <row r="8" spans="1:12" x14ac:dyDescent="0.25">
      <c r="A8" s="64" t="str">
        <f>IF(B8="","", Info!$B$2)</f>
        <v>DVN-FP3330-180404</v>
      </c>
      <c r="B8" s="8" t="s">
        <v>6</v>
      </c>
      <c r="C8" s="56" t="e">
        <f>IF(B8="","",IFERROR(VLOOKUP(B8,Reel!$E$3:$F$1013,2,0),VLOOKUP(B8,Ring!$E$3:$F$1000,2,0)))</f>
        <v>#N/A</v>
      </c>
      <c r="D8" s="60" t="e">
        <f>IF(C8="","",IFERROR(VLOOKUP(C8,Reel!$F$2:$H$1013,3,0),VLOOKUP(C8,Ring!$F$3:$H$1000,3,0)))</f>
        <v>#N/A</v>
      </c>
      <c r="E8" s="58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$17,INDIRECT("'["&amp;Info!$B$5&amp;"]"&amp;Info!$B$6&amp;"'!"&amp;Info!$B$15),"&lt;="&amp;Info!$B$18))</f>
        <v>#REF!</v>
      </c>
      <c r="F8" s="58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$20,INDIRECT("'["&amp;Info!$B$5&amp;"]"&amp;Info!$B$6&amp;"'!"&amp;Info!$B$15),"&lt;="&amp;Info!$B$21))</f>
        <v>#REF!</v>
      </c>
      <c r="G8" s="51" t="e">
        <f ca="1">IF(B8="","",SUMIFS(INDIRECT("'["&amp;Info!$B$5&amp;"]"&amp;Info!$B$6&amp;"'!"&amp;Info!$B$11),INDIRECT("'["&amp;Info!$B$5&amp;"]"&amp;Info!$B$6&amp;"'!"&amp;Info!$B$9),B8,INDIRECT("'["&amp;Info!$B$5&amp;"]"&amp;Info!$B$6&amp;"'!"&amp;Info!$B$15),"&gt;="&amp;Info!$B$23,INDIRECT("'["&amp;Info!$B$5&amp;"]"&amp;Info!$B$6&amp;"'!"&amp;Info!$B$15),"&lt;="&amp;Info!$B$24))</f>
        <v>#REF!</v>
      </c>
      <c r="H8" s="51" t="e">
        <f t="shared" ca="1" si="0"/>
        <v>#REF!</v>
      </c>
      <c r="I8" s="60" t="e">
        <f ca="1">IF(B8="","",IFERROR(SUMIF(INDIRECT("'["&amp;Info!$B$5&amp;"]"&amp;Info!$B$6&amp;"'!"&amp;Info!$B$9),B8,INDIRECT("'["&amp;Info!$B$5&amp;"]"&amp;Info!$B$6&amp;"'!"&amp;Info!$B$13))/COUNTIF(INDIRECT("'["&amp;Info!$B$5&amp;"]"&amp;Info!$B$6&amp;"'!"&amp;Info!$B$9),B8),D8))</f>
        <v>#N/A</v>
      </c>
    </row>
    <row r="9" spans="1:12" x14ac:dyDescent="0.25">
      <c r="A9" s="64" t="str">
        <f>IF(B9="","", Info!$B$2)</f>
        <v>DVN-FP3330-180404</v>
      </c>
      <c r="B9" s="8" t="s">
        <v>7</v>
      </c>
      <c r="C9" s="56" t="e">
        <f>IF(B9="","",IFERROR(VLOOKUP(B9,Reel!$E$3:$F$1013,2,0),VLOOKUP(B9,Ring!$E$3:$F$1000,2,0)))</f>
        <v>#N/A</v>
      </c>
      <c r="D9" s="60" t="e">
        <f>IF(C9="","",IFERROR(VLOOKUP(C9,Reel!$F$2:$H$1013,3,0),VLOOKUP(C9,Ring!$F$3:$H$1000,3,0)))</f>
        <v>#N/A</v>
      </c>
      <c r="E9" s="58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$17,INDIRECT("'["&amp;Info!$B$5&amp;"]"&amp;Info!$B$6&amp;"'!"&amp;Info!$B$15),"&lt;="&amp;Info!$B$18))</f>
        <v>#REF!</v>
      </c>
      <c r="F9" s="58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$20,INDIRECT("'["&amp;Info!$B$5&amp;"]"&amp;Info!$B$6&amp;"'!"&amp;Info!$B$15),"&lt;="&amp;Info!$B$21))</f>
        <v>#REF!</v>
      </c>
      <c r="G9" s="51" t="e">
        <f ca="1">IF(B9="","",SUMIFS(INDIRECT("'["&amp;Info!$B$5&amp;"]"&amp;Info!$B$6&amp;"'!"&amp;Info!$B$11),INDIRECT("'["&amp;Info!$B$5&amp;"]"&amp;Info!$B$6&amp;"'!"&amp;Info!$B$9),B9,INDIRECT("'["&amp;Info!$B$5&amp;"]"&amp;Info!$B$6&amp;"'!"&amp;Info!$B$15),"&gt;="&amp;Info!$B$23,INDIRECT("'["&amp;Info!$B$5&amp;"]"&amp;Info!$B$6&amp;"'!"&amp;Info!$B$15),"&lt;="&amp;Info!$B$24))</f>
        <v>#REF!</v>
      </c>
      <c r="H9" s="51" t="e">
        <f t="shared" ca="1" si="0"/>
        <v>#REF!</v>
      </c>
      <c r="I9" s="60" t="e">
        <f ca="1">IF(B9="","",IFERROR(SUMIF(INDIRECT("'["&amp;Info!$B$5&amp;"]"&amp;Info!$B$6&amp;"'!"&amp;Info!$B$9),B9,INDIRECT("'["&amp;Info!$B$5&amp;"]"&amp;Info!$B$6&amp;"'!"&amp;Info!$B$13))/COUNTIF(INDIRECT("'["&amp;Info!$B$5&amp;"]"&amp;Info!$B$6&amp;"'!"&amp;Info!$B$9),B9),D9))</f>
        <v>#N/A</v>
      </c>
    </row>
    <row r="10" spans="1:12" x14ac:dyDescent="0.25">
      <c r="A10" s="64" t="str">
        <f>IF(B10="","", Info!$B$2)</f>
        <v>DVN-FP3330-180404</v>
      </c>
      <c r="B10" s="8" t="s">
        <v>8</v>
      </c>
      <c r="C10" s="56" t="e">
        <f>IF(B10="","",IFERROR(VLOOKUP(B10,Reel!$E$3:$F$1013,2,0),VLOOKUP(B10,Ring!$E$3:$F$1000,2,0)))</f>
        <v>#N/A</v>
      </c>
      <c r="D10" s="60" t="e">
        <f>IF(C10="","",IFERROR(VLOOKUP(C10,Reel!$F$2:$H$1013,3,0),VLOOKUP(C10,Ring!$F$3:$H$1000,3,0)))</f>
        <v>#N/A</v>
      </c>
      <c r="E10" s="58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$17,INDIRECT("'["&amp;Info!$B$5&amp;"]"&amp;Info!$B$6&amp;"'!"&amp;Info!$B$15),"&lt;="&amp;Info!$B$18))</f>
        <v>#REF!</v>
      </c>
      <c r="F10" s="58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$20,INDIRECT("'["&amp;Info!$B$5&amp;"]"&amp;Info!$B$6&amp;"'!"&amp;Info!$B$15),"&lt;="&amp;Info!$B$21))</f>
        <v>#REF!</v>
      </c>
      <c r="G10" s="51" t="e">
        <f ca="1">IF(B10="","",SUMIFS(INDIRECT("'["&amp;Info!$B$5&amp;"]"&amp;Info!$B$6&amp;"'!"&amp;Info!$B$11),INDIRECT("'["&amp;Info!$B$5&amp;"]"&amp;Info!$B$6&amp;"'!"&amp;Info!$B$9),B10,INDIRECT("'["&amp;Info!$B$5&amp;"]"&amp;Info!$B$6&amp;"'!"&amp;Info!$B$15),"&gt;="&amp;Info!$B$23,INDIRECT("'["&amp;Info!$B$5&amp;"]"&amp;Info!$B$6&amp;"'!"&amp;Info!$B$15),"&lt;="&amp;Info!$B$24))</f>
        <v>#REF!</v>
      </c>
      <c r="H10" s="51" t="e">
        <f t="shared" ca="1" si="0"/>
        <v>#REF!</v>
      </c>
      <c r="I10" s="60" t="e">
        <f ca="1">IF(B10="","",IFERROR(SUMIF(INDIRECT("'["&amp;Info!$B$5&amp;"]"&amp;Info!$B$6&amp;"'!"&amp;Info!$B$9),B10,INDIRECT("'["&amp;Info!$B$5&amp;"]"&amp;Info!$B$6&amp;"'!"&amp;Info!$B$13))/COUNTIF(INDIRECT("'["&amp;Info!$B$5&amp;"]"&amp;Info!$B$6&amp;"'!"&amp;Info!$B$9),B10),D10))</f>
        <v>#N/A</v>
      </c>
    </row>
    <row r="11" spans="1:12" x14ac:dyDescent="0.25">
      <c r="A11" s="64" t="str">
        <f>IF(B11="","", Info!$B$2)</f>
        <v>DVN-FP3330-180404</v>
      </c>
      <c r="B11" s="8" t="s">
        <v>9</v>
      </c>
      <c r="C11" s="56" t="e">
        <f>IF(B11="","",IFERROR(VLOOKUP(B11,Reel!$E$3:$F$1013,2,0),VLOOKUP(B11,Ring!$E$3:$F$1000,2,0)))</f>
        <v>#N/A</v>
      </c>
      <c r="D11" s="60" t="e">
        <f>IF(C11="","",IFERROR(VLOOKUP(C11,Reel!$F$2:$H$1013,3,0),VLOOKUP(C11,Ring!$F$3:$H$1000,3,0)))</f>
        <v>#N/A</v>
      </c>
      <c r="E11" s="58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$17,INDIRECT("'["&amp;Info!$B$5&amp;"]"&amp;Info!$B$6&amp;"'!"&amp;Info!$B$15),"&lt;="&amp;Info!$B$18))</f>
        <v>#REF!</v>
      </c>
      <c r="F11" s="58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$20,INDIRECT("'["&amp;Info!$B$5&amp;"]"&amp;Info!$B$6&amp;"'!"&amp;Info!$B$15),"&lt;="&amp;Info!$B$21))</f>
        <v>#REF!</v>
      </c>
      <c r="G11" s="51" t="e">
        <f ca="1">IF(B11="","",SUMIFS(INDIRECT("'["&amp;Info!$B$5&amp;"]"&amp;Info!$B$6&amp;"'!"&amp;Info!$B$11),INDIRECT("'["&amp;Info!$B$5&amp;"]"&amp;Info!$B$6&amp;"'!"&amp;Info!$B$9),B11,INDIRECT("'["&amp;Info!$B$5&amp;"]"&amp;Info!$B$6&amp;"'!"&amp;Info!$B$15),"&gt;="&amp;Info!$B$23,INDIRECT("'["&amp;Info!$B$5&amp;"]"&amp;Info!$B$6&amp;"'!"&amp;Info!$B$15),"&lt;="&amp;Info!$B$24))</f>
        <v>#REF!</v>
      </c>
      <c r="H11" s="51" t="e">
        <f t="shared" ca="1" si="0"/>
        <v>#REF!</v>
      </c>
      <c r="I11" s="60" t="e">
        <f ca="1">IF(B11="","",IFERROR(SUMIF(INDIRECT("'["&amp;Info!$B$5&amp;"]"&amp;Info!$B$6&amp;"'!"&amp;Info!$B$9),B11,INDIRECT("'["&amp;Info!$B$5&amp;"]"&amp;Info!$B$6&amp;"'!"&amp;Info!$B$13))/COUNTIF(INDIRECT("'["&amp;Info!$B$5&amp;"]"&amp;Info!$B$6&amp;"'!"&amp;Info!$B$9),B11),D11))</f>
        <v>#N/A</v>
      </c>
      <c r="K11" s="50"/>
    </row>
    <row r="12" spans="1:12" x14ac:dyDescent="0.25">
      <c r="A12" s="64" t="str">
        <f>IF(B12="","", Info!$B$2)</f>
        <v>DVN-FP3330-180404</v>
      </c>
      <c r="B12" s="8" t="s">
        <v>10</v>
      </c>
      <c r="C12" s="56" t="e">
        <f>IF(B12="","",IFERROR(VLOOKUP(B12,Reel!$E$3:$F$1013,2,0),VLOOKUP(B12,Ring!$E$3:$F$1000,2,0)))</f>
        <v>#N/A</v>
      </c>
      <c r="D12" s="60" t="e">
        <f>IF(C12="","",IFERROR(VLOOKUP(C12,Reel!$F$2:$H$1013,3,0),VLOOKUP(C12,Ring!$F$3:$H$1000,3,0)))</f>
        <v>#N/A</v>
      </c>
      <c r="E12" s="58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$17,INDIRECT("'["&amp;Info!$B$5&amp;"]"&amp;Info!$B$6&amp;"'!"&amp;Info!$B$15),"&lt;="&amp;Info!$B$18))</f>
        <v>#REF!</v>
      </c>
      <c r="F12" s="58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$20,INDIRECT("'["&amp;Info!$B$5&amp;"]"&amp;Info!$B$6&amp;"'!"&amp;Info!$B$15),"&lt;="&amp;Info!$B$21))</f>
        <v>#REF!</v>
      </c>
      <c r="G12" s="51" t="e">
        <f ca="1">IF(B12="","",SUMIFS(INDIRECT("'["&amp;Info!$B$5&amp;"]"&amp;Info!$B$6&amp;"'!"&amp;Info!$B$11),INDIRECT("'["&amp;Info!$B$5&amp;"]"&amp;Info!$B$6&amp;"'!"&amp;Info!$B$9),B12,INDIRECT("'["&amp;Info!$B$5&amp;"]"&amp;Info!$B$6&amp;"'!"&amp;Info!$B$15),"&gt;="&amp;Info!$B$23,INDIRECT("'["&amp;Info!$B$5&amp;"]"&amp;Info!$B$6&amp;"'!"&amp;Info!$B$15),"&lt;="&amp;Info!$B$24))</f>
        <v>#REF!</v>
      </c>
      <c r="H12" s="51" t="e">
        <f t="shared" ca="1" si="0"/>
        <v>#REF!</v>
      </c>
      <c r="I12" s="60" t="e">
        <f ca="1">IF(B12="","",IFERROR(SUMIF(INDIRECT("'["&amp;Info!$B$5&amp;"]"&amp;Info!$B$6&amp;"'!"&amp;Info!$B$9),B12,INDIRECT("'["&amp;Info!$B$5&amp;"]"&amp;Info!$B$6&amp;"'!"&amp;Info!$B$13))/COUNTIF(INDIRECT("'["&amp;Info!$B$5&amp;"]"&amp;Info!$B$6&amp;"'!"&amp;Info!$B$9),B12),D12))</f>
        <v>#N/A</v>
      </c>
    </row>
    <row r="13" spans="1:12" x14ac:dyDescent="0.25">
      <c r="A13" s="64" t="str">
        <f>IF(B13="","", Info!$B$2)</f>
        <v>DVN-FP3330-180404</v>
      </c>
      <c r="B13" s="8" t="s">
        <v>11</v>
      </c>
      <c r="C13" s="56" t="e">
        <f>IF(B13="","",IFERROR(VLOOKUP(B13,Reel!$E$3:$F$1013,2,0),VLOOKUP(B13,Ring!$E$3:$F$1000,2,0)))</f>
        <v>#N/A</v>
      </c>
      <c r="D13" s="60" t="e">
        <f>IF(C13="","",IFERROR(VLOOKUP(C13,Reel!$F$2:$H$1013,3,0),VLOOKUP(C13,Ring!$F$3:$H$1000,3,0)))</f>
        <v>#N/A</v>
      </c>
      <c r="E13" s="58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$17,INDIRECT("'["&amp;Info!$B$5&amp;"]"&amp;Info!$B$6&amp;"'!"&amp;Info!$B$15),"&lt;="&amp;Info!$B$18))</f>
        <v>#REF!</v>
      </c>
      <c r="F13" s="58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$20,INDIRECT("'["&amp;Info!$B$5&amp;"]"&amp;Info!$B$6&amp;"'!"&amp;Info!$B$15),"&lt;="&amp;Info!$B$21))</f>
        <v>#REF!</v>
      </c>
      <c r="G13" s="51" t="e">
        <f ca="1">IF(B13="","",SUMIFS(INDIRECT("'["&amp;Info!$B$5&amp;"]"&amp;Info!$B$6&amp;"'!"&amp;Info!$B$11),INDIRECT("'["&amp;Info!$B$5&amp;"]"&amp;Info!$B$6&amp;"'!"&amp;Info!$B$9),B13,INDIRECT("'["&amp;Info!$B$5&amp;"]"&amp;Info!$B$6&amp;"'!"&amp;Info!$B$15),"&gt;="&amp;Info!$B$23,INDIRECT("'["&amp;Info!$B$5&amp;"]"&amp;Info!$B$6&amp;"'!"&amp;Info!$B$15),"&lt;="&amp;Info!$B$24))</f>
        <v>#REF!</v>
      </c>
      <c r="H13" s="51" t="e">
        <f t="shared" ca="1" si="0"/>
        <v>#REF!</v>
      </c>
      <c r="I13" s="60" t="e">
        <f ca="1">IF(B13="","",IFERROR(SUMIF(INDIRECT("'["&amp;Info!$B$5&amp;"]"&amp;Info!$B$6&amp;"'!"&amp;Info!$B$9),B13,INDIRECT("'["&amp;Info!$B$5&amp;"]"&amp;Info!$B$6&amp;"'!"&amp;Info!$B$13))/COUNTIF(INDIRECT("'["&amp;Info!$B$5&amp;"]"&amp;Info!$B$6&amp;"'!"&amp;Info!$B$9),B13),D13))</f>
        <v>#N/A</v>
      </c>
    </row>
    <row r="14" spans="1:12" x14ac:dyDescent="0.25">
      <c r="A14" s="64" t="str">
        <f>IF(B14="","", Info!$B$2)</f>
        <v>DVN-FP3330-180404</v>
      </c>
      <c r="B14" s="8" t="s">
        <v>12</v>
      </c>
      <c r="C14" s="56" t="e">
        <f>IF(B14="","",IFERROR(VLOOKUP(B14,Reel!$E$3:$F$1013,2,0),VLOOKUP(B14,Ring!$E$3:$F$1000,2,0)))</f>
        <v>#N/A</v>
      </c>
      <c r="D14" s="60" t="e">
        <f>IF(C14="","",IFERROR(VLOOKUP(C14,Reel!$F$2:$H$1013,3,0),VLOOKUP(C14,Ring!$F$3:$H$1000,3,0)))</f>
        <v>#N/A</v>
      </c>
      <c r="E14" s="58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$17,INDIRECT("'["&amp;Info!$B$5&amp;"]"&amp;Info!$B$6&amp;"'!"&amp;Info!$B$15),"&lt;="&amp;Info!$B$18))</f>
        <v>#REF!</v>
      </c>
      <c r="F14" s="58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$20,INDIRECT("'["&amp;Info!$B$5&amp;"]"&amp;Info!$B$6&amp;"'!"&amp;Info!$B$15),"&lt;="&amp;Info!$B$21))</f>
        <v>#REF!</v>
      </c>
      <c r="G14" s="51" t="e">
        <f ca="1">IF(B14="","",SUMIFS(INDIRECT("'["&amp;Info!$B$5&amp;"]"&amp;Info!$B$6&amp;"'!"&amp;Info!$B$11),INDIRECT("'["&amp;Info!$B$5&amp;"]"&amp;Info!$B$6&amp;"'!"&amp;Info!$B$9),B14,INDIRECT("'["&amp;Info!$B$5&amp;"]"&amp;Info!$B$6&amp;"'!"&amp;Info!$B$15),"&gt;="&amp;Info!$B$23,INDIRECT("'["&amp;Info!$B$5&amp;"]"&amp;Info!$B$6&amp;"'!"&amp;Info!$B$15),"&lt;="&amp;Info!$B$24))</f>
        <v>#REF!</v>
      </c>
      <c r="H14" s="51" t="e">
        <f t="shared" ca="1" si="0"/>
        <v>#REF!</v>
      </c>
      <c r="I14" s="60" t="e">
        <f ca="1">IF(B14="","",IFERROR(SUMIF(INDIRECT("'["&amp;Info!$B$5&amp;"]"&amp;Info!$B$6&amp;"'!"&amp;Info!$B$9),B14,INDIRECT("'["&amp;Info!$B$5&amp;"]"&amp;Info!$B$6&amp;"'!"&amp;Info!$B$13))/COUNTIF(INDIRECT("'["&amp;Info!$B$5&amp;"]"&amp;Info!$B$6&amp;"'!"&amp;Info!$B$9),B14),D14))</f>
        <v>#N/A</v>
      </c>
    </row>
    <row r="15" spans="1:12" x14ac:dyDescent="0.25">
      <c r="A15" s="64" t="str">
        <f>IF(B15="","", Info!$B$2)</f>
        <v>DVN-FP3330-180404</v>
      </c>
      <c r="B15" s="8" t="s">
        <v>13</v>
      </c>
      <c r="C15" s="56" t="e">
        <f>IF(B15="","",IFERROR(VLOOKUP(B15,Reel!$E$3:$F$1013,2,0),VLOOKUP(B15,Ring!$E$3:$F$1000,2,0)))</f>
        <v>#N/A</v>
      </c>
      <c r="D15" s="60" t="e">
        <f>IF(C15="","",IFERROR(VLOOKUP(C15,Reel!$F$2:$H$1013,3,0),VLOOKUP(C15,Ring!$F$3:$H$1000,3,0)))</f>
        <v>#N/A</v>
      </c>
      <c r="E15" s="58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$17,INDIRECT("'["&amp;Info!$B$5&amp;"]"&amp;Info!$B$6&amp;"'!"&amp;Info!$B$15),"&lt;="&amp;Info!$B$18))</f>
        <v>#REF!</v>
      </c>
      <c r="F15" s="58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$20,INDIRECT("'["&amp;Info!$B$5&amp;"]"&amp;Info!$B$6&amp;"'!"&amp;Info!$B$15),"&lt;="&amp;Info!$B$21))</f>
        <v>#REF!</v>
      </c>
      <c r="G15" s="51" t="e">
        <f ca="1">IF(B15="","",SUMIFS(INDIRECT("'["&amp;Info!$B$5&amp;"]"&amp;Info!$B$6&amp;"'!"&amp;Info!$B$11),INDIRECT("'["&amp;Info!$B$5&amp;"]"&amp;Info!$B$6&amp;"'!"&amp;Info!$B$9),B15,INDIRECT("'["&amp;Info!$B$5&amp;"]"&amp;Info!$B$6&amp;"'!"&amp;Info!$B$15),"&gt;="&amp;Info!$B$23,INDIRECT("'["&amp;Info!$B$5&amp;"]"&amp;Info!$B$6&amp;"'!"&amp;Info!$B$15),"&lt;="&amp;Info!$B$24))</f>
        <v>#REF!</v>
      </c>
      <c r="H15" s="51" t="e">
        <f t="shared" ca="1" si="0"/>
        <v>#REF!</v>
      </c>
      <c r="I15" s="60" t="e">
        <f ca="1">IF(B15="","",IFERROR(SUMIF(INDIRECT("'["&amp;Info!$B$5&amp;"]"&amp;Info!$B$6&amp;"'!"&amp;Info!$B$9),B15,INDIRECT("'["&amp;Info!$B$5&amp;"]"&amp;Info!$B$6&amp;"'!"&amp;Info!$B$13))/COUNTIF(INDIRECT("'["&amp;Info!$B$5&amp;"]"&amp;Info!$B$6&amp;"'!"&amp;Info!$B$9),B15),D15))</f>
        <v>#N/A</v>
      </c>
    </row>
    <row r="16" spans="1:12" x14ac:dyDescent="0.25">
      <c r="A16" s="64" t="str">
        <f>IF(B16="","", Info!$B$2)</f>
        <v>DVN-FP3330-180404</v>
      </c>
      <c r="B16" s="8" t="s">
        <v>14</v>
      </c>
      <c r="C16" s="56" t="e">
        <f>IF(B16="","",IFERROR(VLOOKUP(B16,Reel!$E$3:$F$1013,2,0),VLOOKUP(B16,Ring!$E$3:$F$1000,2,0)))</f>
        <v>#N/A</v>
      </c>
      <c r="D16" s="60" t="e">
        <f>IF(C16="","",IFERROR(VLOOKUP(C16,Reel!$F$2:$H$1013,3,0),VLOOKUP(C16,Ring!$F$3:$H$1000,3,0)))</f>
        <v>#N/A</v>
      </c>
      <c r="E16" s="58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$17,INDIRECT("'["&amp;Info!$B$5&amp;"]"&amp;Info!$B$6&amp;"'!"&amp;Info!$B$15),"&lt;="&amp;Info!$B$18))</f>
        <v>#REF!</v>
      </c>
      <c r="F16" s="58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$20,INDIRECT("'["&amp;Info!$B$5&amp;"]"&amp;Info!$B$6&amp;"'!"&amp;Info!$B$15),"&lt;="&amp;Info!$B$21))</f>
        <v>#REF!</v>
      </c>
      <c r="G16" s="51" t="e">
        <f ca="1">IF(B16="","",SUMIFS(INDIRECT("'["&amp;Info!$B$5&amp;"]"&amp;Info!$B$6&amp;"'!"&amp;Info!$B$11),INDIRECT("'["&amp;Info!$B$5&amp;"]"&amp;Info!$B$6&amp;"'!"&amp;Info!$B$9),B16,INDIRECT("'["&amp;Info!$B$5&amp;"]"&amp;Info!$B$6&amp;"'!"&amp;Info!$B$15),"&gt;="&amp;Info!$B$23,INDIRECT("'["&amp;Info!$B$5&amp;"]"&amp;Info!$B$6&amp;"'!"&amp;Info!$B$15),"&lt;="&amp;Info!$B$24))</f>
        <v>#REF!</v>
      </c>
      <c r="H16" s="51" t="e">
        <f t="shared" ca="1" si="0"/>
        <v>#REF!</v>
      </c>
      <c r="I16" s="60" t="e">
        <f ca="1">IF(B16="","",IFERROR(SUMIF(INDIRECT("'["&amp;Info!$B$5&amp;"]"&amp;Info!$B$6&amp;"'!"&amp;Info!$B$9),B16,INDIRECT("'["&amp;Info!$B$5&amp;"]"&amp;Info!$B$6&amp;"'!"&amp;Info!$B$13))/COUNTIF(INDIRECT("'["&amp;Info!$B$5&amp;"]"&amp;Info!$B$6&amp;"'!"&amp;Info!$B$9),B16),D16))</f>
        <v>#N/A</v>
      </c>
      <c r="L16" s="50"/>
    </row>
    <row r="17" spans="1:9" x14ac:dyDescent="0.25">
      <c r="A17" s="64" t="str">
        <f>IF(B17="","", Info!$B$2)</f>
        <v>DVN-FP3330-180404</v>
      </c>
      <c r="B17" s="8" t="s">
        <v>15</v>
      </c>
      <c r="C17" s="56" t="e">
        <f>IF(B17="","",IFERROR(VLOOKUP(B17,Reel!$E$3:$F$1013,2,0),VLOOKUP(B17,Ring!$E$3:$F$1000,2,0)))</f>
        <v>#N/A</v>
      </c>
      <c r="D17" s="60" t="e">
        <f>IF(C17="","",IFERROR(VLOOKUP(C17,Reel!$F$2:$H$1013,3,0),VLOOKUP(C17,Ring!$F$3:$H$1000,3,0)))</f>
        <v>#N/A</v>
      </c>
      <c r="E17" s="58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$17,INDIRECT("'["&amp;Info!$B$5&amp;"]"&amp;Info!$B$6&amp;"'!"&amp;Info!$B$15),"&lt;="&amp;Info!$B$18))</f>
        <v>#REF!</v>
      </c>
      <c r="F17" s="58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$20,INDIRECT("'["&amp;Info!$B$5&amp;"]"&amp;Info!$B$6&amp;"'!"&amp;Info!$B$15),"&lt;="&amp;Info!$B$21))</f>
        <v>#REF!</v>
      </c>
      <c r="G17" s="51" t="e">
        <f ca="1">IF(B17="","",SUMIFS(INDIRECT("'["&amp;Info!$B$5&amp;"]"&amp;Info!$B$6&amp;"'!"&amp;Info!$B$11),INDIRECT("'["&amp;Info!$B$5&amp;"]"&amp;Info!$B$6&amp;"'!"&amp;Info!$B$9),B17,INDIRECT("'["&amp;Info!$B$5&amp;"]"&amp;Info!$B$6&amp;"'!"&amp;Info!$B$15),"&gt;="&amp;Info!$B$23,INDIRECT("'["&amp;Info!$B$5&amp;"]"&amp;Info!$B$6&amp;"'!"&amp;Info!$B$15),"&lt;="&amp;Info!$B$24))</f>
        <v>#REF!</v>
      </c>
      <c r="H17" s="51" t="e">
        <f t="shared" ca="1" si="0"/>
        <v>#REF!</v>
      </c>
      <c r="I17" s="60" t="e">
        <f ca="1">IF(B17="","",IFERROR(SUMIF(INDIRECT("'["&amp;Info!$B$5&amp;"]"&amp;Info!$B$6&amp;"'!"&amp;Info!$B$9),B17,INDIRECT("'["&amp;Info!$B$5&amp;"]"&amp;Info!$B$6&amp;"'!"&amp;Info!$B$13))/COUNTIF(INDIRECT("'["&amp;Info!$B$5&amp;"]"&amp;Info!$B$6&amp;"'!"&amp;Info!$B$9),B17),D17))</f>
        <v>#N/A</v>
      </c>
    </row>
    <row r="18" spans="1:9" x14ac:dyDescent="0.25">
      <c r="A18" s="64" t="str">
        <f>IF(B18="","", Info!$B$2)</f>
        <v>DVN-FP3330-180404</v>
      </c>
      <c r="B18" s="8" t="s">
        <v>16</v>
      </c>
      <c r="C18" s="56" t="e">
        <f>IF(B18="","",IFERROR(VLOOKUP(B18,Reel!$E$3:$F$1013,2,0),VLOOKUP(B18,Ring!$E$3:$F$1000,2,0)))</f>
        <v>#N/A</v>
      </c>
      <c r="D18" s="60" t="e">
        <f>IF(C18="","",IFERROR(VLOOKUP(C18,Reel!$F$2:$H$1013,3,0),VLOOKUP(C18,Ring!$F$3:$H$1000,3,0)))</f>
        <v>#N/A</v>
      </c>
      <c r="E18" s="58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$17,INDIRECT("'["&amp;Info!$B$5&amp;"]"&amp;Info!$B$6&amp;"'!"&amp;Info!$B$15),"&lt;="&amp;Info!$B$18))</f>
        <v>#REF!</v>
      </c>
      <c r="F18" s="58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$20,INDIRECT("'["&amp;Info!$B$5&amp;"]"&amp;Info!$B$6&amp;"'!"&amp;Info!$B$15),"&lt;="&amp;Info!$B$21))</f>
        <v>#REF!</v>
      </c>
      <c r="G18" s="51" t="e">
        <f ca="1">IF(B18="","",SUMIFS(INDIRECT("'["&amp;Info!$B$5&amp;"]"&amp;Info!$B$6&amp;"'!"&amp;Info!$B$11),INDIRECT("'["&amp;Info!$B$5&amp;"]"&amp;Info!$B$6&amp;"'!"&amp;Info!$B$9),B18,INDIRECT("'["&amp;Info!$B$5&amp;"]"&amp;Info!$B$6&amp;"'!"&amp;Info!$B$15),"&gt;="&amp;Info!$B$23,INDIRECT("'["&amp;Info!$B$5&amp;"]"&amp;Info!$B$6&amp;"'!"&amp;Info!$B$15),"&lt;="&amp;Info!$B$24))</f>
        <v>#REF!</v>
      </c>
      <c r="H18" s="51" t="e">
        <f t="shared" ca="1" si="0"/>
        <v>#REF!</v>
      </c>
      <c r="I18" s="60" t="e">
        <f ca="1">IF(B18="","",IFERROR(SUMIF(INDIRECT("'["&amp;Info!$B$5&amp;"]"&amp;Info!$B$6&amp;"'!"&amp;Info!$B$9),B18,INDIRECT("'["&amp;Info!$B$5&amp;"]"&amp;Info!$B$6&amp;"'!"&amp;Info!$B$13))/COUNTIF(INDIRECT("'["&amp;Info!$B$5&amp;"]"&amp;Info!$B$6&amp;"'!"&amp;Info!$B$9),B18),D18))</f>
        <v>#N/A</v>
      </c>
    </row>
    <row r="19" spans="1:9" x14ac:dyDescent="0.25">
      <c r="A19" s="64" t="str">
        <f>IF(B19="","", Info!$B$2)</f>
        <v>DVN-FP3330-180404</v>
      </c>
      <c r="B19" s="8" t="s">
        <v>17</v>
      </c>
      <c r="C19" s="56" t="e">
        <f>IF(B19="","",IFERROR(VLOOKUP(B19,Reel!$E$3:$F$1013,2,0),VLOOKUP(B19,Ring!$E$3:$F$1000,2,0)))</f>
        <v>#N/A</v>
      </c>
      <c r="D19" s="60" t="e">
        <f>IF(C19="","",IFERROR(VLOOKUP(C19,Reel!$F$2:$H$1013,3,0),VLOOKUP(C19,Ring!$F$3:$H$1000,3,0)))</f>
        <v>#N/A</v>
      </c>
      <c r="E19" s="58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$17,INDIRECT("'["&amp;Info!$B$5&amp;"]"&amp;Info!$B$6&amp;"'!"&amp;Info!$B$15),"&lt;="&amp;Info!$B$18))</f>
        <v>#REF!</v>
      </c>
      <c r="F19" s="58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$20,INDIRECT("'["&amp;Info!$B$5&amp;"]"&amp;Info!$B$6&amp;"'!"&amp;Info!$B$15),"&lt;="&amp;Info!$B$21))</f>
        <v>#REF!</v>
      </c>
      <c r="G19" s="51" t="e">
        <f ca="1">IF(B19="","",SUMIFS(INDIRECT("'["&amp;Info!$B$5&amp;"]"&amp;Info!$B$6&amp;"'!"&amp;Info!$B$11),INDIRECT("'["&amp;Info!$B$5&amp;"]"&amp;Info!$B$6&amp;"'!"&amp;Info!$B$9),B19,INDIRECT("'["&amp;Info!$B$5&amp;"]"&amp;Info!$B$6&amp;"'!"&amp;Info!$B$15),"&gt;="&amp;Info!$B$23,INDIRECT("'["&amp;Info!$B$5&amp;"]"&amp;Info!$B$6&amp;"'!"&amp;Info!$B$15),"&lt;="&amp;Info!$B$24))</f>
        <v>#REF!</v>
      </c>
      <c r="H19" s="51" t="e">
        <f t="shared" ca="1" si="0"/>
        <v>#REF!</v>
      </c>
      <c r="I19" s="60" t="e">
        <f ca="1">IF(B19="","",IFERROR(SUMIF(INDIRECT("'["&amp;Info!$B$5&amp;"]"&amp;Info!$B$6&amp;"'!"&amp;Info!$B$9),B19,INDIRECT("'["&amp;Info!$B$5&amp;"]"&amp;Info!$B$6&amp;"'!"&amp;Info!$B$13))/COUNTIF(INDIRECT("'["&amp;Info!$B$5&amp;"]"&amp;Info!$B$6&amp;"'!"&amp;Info!$B$9),B19),D19))</f>
        <v>#N/A</v>
      </c>
    </row>
    <row r="20" spans="1:9" x14ac:dyDescent="0.25">
      <c r="A20" s="64" t="str">
        <f>IF(B20="","", Info!$B$2)</f>
        <v>DVN-FP3330-180404</v>
      </c>
      <c r="B20" s="8" t="s">
        <v>18</v>
      </c>
      <c r="C20" s="56" t="e">
        <f>IF(B20="","",IFERROR(VLOOKUP(B20,Reel!$E$3:$F$1013,2,0),VLOOKUP(B20,Ring!$E$3:$F$1000,2,0)))</f>
        <v>#N/A</v>
      </c>
      <c r="D20" s="60" t="e">
        <f>IF(C20="","",IFERROR(VLOOKUP(C20,Reel!$F$2:$H$1013,3,0),VLOOKUP(C20,Ring!$F$3:$H$1000,3,0)))</f>
        <v>#N/A</v>
      </c>
      <c r="E20" s="58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$17,INDIRECT("'["&amp;Info!$B$5&amp;"]"&amp;Info!$B$6&amp;"'!"&amp;Info!$B$15),"&lt;="&amp;Info!$B$18))</f>
        <v>#REF!</v>
      </c>
      <c r="F20" s="58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$20,INDIRECT("'["&amp;Info!$B$5&amp;"]"&amp;Info!$B$6&amp;"'!"&amp;Info!$B$15),"&lt;="&amp;Info!$B$21))</f>
        <v>#REF!</v>
      </c>
      <c r="G20" s="51" t="e">
        <f ca="1">IF(B20="","",SUMIFS(INDIRECT("'["&amp;Info!$B$5&amp;"]"&amp;Info!$B$6&amp;"'!"&amp;Info!$B$11),INDIRECT("'["&amp;Info!$B$5&amp;"]"&amp;Info!$B$6&amp;"'!"&amp;Info!$B$9),B20,INDIRECT("'["&amp;Info!$B$5&amp;"]"&amp;Info!$B$6&amp;"'!"&amp;Info!$B$15),"&gt;="&amp;Info!$B$23,INDIRECT("'["&amp;Info!$B$5&amp;"]"&amp;Info!$B$6&amp;"'!"&amp;Info!$B$15),"&lt;="&amp;Info!$B$24))</f>
        <v>#REF!</v>
      </c>
      <c r="H20" s="51" t="e">
        <f t="shared" ca="1" si="0"/>
        <v>#REF!</v>
      </c>
      <c r="I20" s="60" t="e">
        <f ca="1">IF(B20="","",IFERROR(SUMIF(INDIRECT("'["&amp;Info!$B$5&amp;"]"&amp;Info!$B$6&amp;"'!"&amp;Info!$B$9),B20,INDIRECT("'["&amp;Info!$B$5&amp;"]"&amp;Info!$B$6&amp;"'!"&amp;Info!$B$13))/COUNTIF(INDIRECT("'["&amp;Info!$B$5&amp;"]"&amp;Info!$B$6&amp;"'!"&amp;Info!$B$9),B20),D20))</f>
        <v>#N/A</v>
      </c>
    </row>
    <row r="21" spans="1:9" x14ac:dyDescent="0.25">
      <c r="A21" s="64" t="str">
        <f>IF(B21="","", Info!$B$2)</f>
        <v>DVN-FP3330-180404</v>
      </c>
      <c r="B21" s="8" t="s">
        <v>440</v>
      </c>
      <c r="C21" s="56" t="e">
        <f>IF(B21="","",IFERROR(VLOOKUP(B21,Reel!$E$3:$F$1013,2,0),VLOOKUP(B21,Ring!$E$3:$F$1000,2,0)))</f>
        <v>#N/A</v>
      </c>
      <c r="D21" s="60" t="e">
        <f>IF(C21="","",IFERROR(VLOOKUP(C21,Reel!$F$2:$H$1013,3,0),VLOOKUP(C21,Ring!$F$3:$H$1000,3,0)))</f>
        <v>#N/A</v>
      </c>
      <c r="E21" s="58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$17,INDIRECT("'["&amp;Info!$B$5&amp;"]"&amp;Info!$B$6&amp;"'!"&amp;Info!$B$15),"&lt;="&amp;Info!$B$18))</f>
        <v>#REF!</v>
      </c>
      <c r="F21" s="58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$20,INDIRECT("'["&amp;Info!$B$5&amp;"]"&amp;Info!$B$6&amp;"'!"&amp;Info!$B$15),"&lt;="&amp;Info!$B$21))</f>
        <v>#REF!</v>
      </c>
      <c r="G21" s="51" t="e">
        <f ca="1">IF(B21="","",SUMIFS(INDIRECT("'["&amp;Info!$B$5&amp;"]"&amp;Info!$B$6&amp;"'!"&amp;Info!$B$11),INDIRECT("'["&amp;Info!$B$5&amp;"]"&amp;Info!$B$6&amp;"'!"&amp;Info!$B$9),B21,INDIRECT("'["&amp;Info!$B$5&amp;"]"&amp;Info!$B$6&amp;"'!"&amp;Info!$B$15),"&gt;="&amp;Info!$B$23,INDIRECT("'["&amp;Info!$B$5&amp;"]"&amp;Info!$B$6&amp;"'!"&amp;Info!$B$15),"&lt;="&amp;Info!$B$24))</f>
        <v>#REF!</v>
      </c>
      <c r="H21" s="51" t="e">
        <f t="shared" ca="1" si="0"/>
        <v>#REF!</v>
      </c>
      <c r="I21" s="60" t="e">
        <f ca="1">IF(B21="","",IFERROR(SUMIF(INDIRECT("'["&amp;Info!$B$5&amp;"]"&amp;Info!$B$6&amp;"'!"&amp;Info!$B$9),B21,INDIRECT("'["&amp;Info!$B$5&amp;"]"&amp;Info!$B$6&amp;"'!"&amp;Info!$B$13))/COUNTIF(INDIRECT("'["&amp;Info!$B$5&amp;"]"&amp;Info!$B$6&amp;"'!"&amp;Info!$B$9),B21),D21))</f>
        <v>#N/A</v>
      </c>
    </row>
    <row r="22" spans="1:9" x14ac:dyDescent="0.25">
      <c r="A22" s="64" t="str">
        <f>IF(B22="","", Info!$B$2)</f>
        <v>DVN-FP3330-180404</v>
      </c>
      <c r="B22" s="8" t="s">
        <v>19</v>
      </c>
      <c r="C22" s="56" t="e">
        <f>IF(B22="","",IFERROR(VLOOKUP(B22,Reel!$E$3:$F$1013,2,0),VLOOKUP(B22,Ring!$E$3:$F$1000,2,0)))</f>
        <v>#N/A</v>
      </c>
      <c r="D22" s="60" t="e">
        <f>IF(C22="","",IFERROR(VLOOKUP(C22,Reel!$F$2:$H$1013,3,0),VLOOKUP(C22,Ring!$F$3:$H$1000,3,0)))</f>
        <v>#N/A</v>
      </c>
      <c r="E22" s="58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$17,INDIRECT("'["&amp;Info!$B$5&amp;"]"&amp;Info!$B$6&amp;"'!"&amp;Info!$B$15),"&lt;="&amp;Info!$B$18))</f>
        <v>#REF!</v>
      </c>
      <c r="F22" s="58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$20,INDIRECT("'["&amp;Info!$B$5&amp;"]"&amp;Info!$B$6&amp;"'!"&amp;Info!$B$15),"&lt;="&amp;Info!$B$21))</f>
        <v>#REF!</v>
      </c>
      <c r="G22" s="51" t="e">
        <f ca="1">IF(B22="","",SUMIFS(INDIRECT("'["&amp;Info!$B$5&amp;"]"&amp;Info!$B$6&amp;"'!"&amp;Info!$B$11),INDIRECT("'["&amp;Info!$B$5&amp;"]"&amp;Info!$B$6&amp;"'!"&amp;Info!$B$9),B22,INDIRECT("'["&amp;Info!$B$5&amp;"]"&amp;Info!$B$6&amp;"'!"&amp;Info!$B$15),"&gt;="&amp;Info!$B$23,INDIRECT("'["&amp;Info!$B$5&amp;"]"&amp;Info!$B$6&amp;"'!"&amp;Info!$B$15),"&lt;="&amp;Info!$B$24))</f>
        <v>#REF!</v>
      </c>
      <c r="H22" s="51" t="e">
        <f t="shared" ca="1" si="0"/>
        <v>#REF!</v>
      </c>
      <c r="I22" s="60" t="e">
        <f ca="1">IF(B22="","",IFERROR(SUMIF(INDIRECT("'["&amp;Info!$B$5&amp;"]"&amp;Info!$B$6&amp;"'!"&amp;Info!$B$9),B22,INDIRECT("'["&amp;Info!$B$5&amp;"]"&amp;Info!$B$6&amp;"'!"&amp;Info!$B$13))/COUNTIF(INDIRECT("'["&amp;Info!$B$5&amp;"]"&amp;Info!$B$6&amp;"'!"&amp;Info!$B$9),B22),D22))</f>
        <v>#N/A</v>
      </c>
    </row>
    <row r="23" spans="1:9" x14ac:dyDescent="0.25">
      <c r="A23" s="64" t="str">
        <f>IF(B23="","", Info!$B$2)</f>
        <v>DVN-FP3330-180404</v>
      </c>
      <c r="B23" s="8" t="s">
        <v>20</v>
      </c>
      <c r="C23" s="56" t="e">
        <f>IF(B23="","",IFERROR(VLOOKUP(B23,Reel!$E$3:$F$1013,2,0),VLOOKUP(B23,Ring!$E$3:$F$1000,2,0)))</f>
        <v>#N/A</v>
      </c>
      <c r="D23" s="60" t="e">
        <f>IF(C23="","",IFERROR(VLOOKUP(C23,Reel!$F$2:$H$1013,3,0),VLOOKUP(C23,Ring!$F$3:$H$1000,3,0)))</f>
        <v>#N/A</v>
      </c>
      <c r="E23" s="58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$17,INDIRECT("'["&amp;Info!$B$5&amp;"]"&amp;Info!$B$6&amp;"'!"&amp;Info!$B$15),"&lt;="&amp;Info!$B$18))</f>
        <v>#REF!</v>
      </c>
      <c r="F23" s="58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$20,INDIRECT("'["&amp;Info!$B$5&amp;"]"&amp;Info!$B$6&amp;"'!"&amp;Info!$B$15),"&lt;="&amp;Info!$B$21))</f>
        <v>#REF!</v>
      </c>
      <c r="G23" s="51" t="e">
        <f ca="1">IF(B23="","",SUMIFS(INDIRECT("'["&amp;Info!$B$5&amp;"]"&amp;Info!$B$6&amp;"'!"&amp;Info!$B$11),INDIRECT("'["&amp;Info!$B$5&amp;"]"&amp;Info!$B$6&amp;"'!"&amp;Info!$B$9),B23,INDIRECT("'["&amp;Info!$B$5&amp;"]"&amp;Info!$B$6&amp;"'!"&amp;Info!$B$15),"&gt;="&amp;Info!$B$23,INDIRECT("'["&amp;Info!$B$5&amp;"]"&amp;Info!$B$6&amp;"'!"&amp;Info!$B$15),"&lt;="&amp;Info!$B$24))</f>
        <v>#REF!</v>
      </c>
      <c r="H23" s="51" t="e">
        <f t="shared" ca="1" si="0"/>
        <v>#REF!</v>
      </c>
      <c r="I23" s="60" t="e">
        <f ca="1">IF(B23="","",IFERROR(SUMIF(INDIRECT("'["&amp;Info!$B$5&amp;"]"&amp;Info!$B$6&amp;"'!"&amp;Info!$B$9),B23,INDIRECT("'["&amp;Info!$B$5&amp;"]"&amp;Info!$B$6&amp;"'!"&amp;Info!$B$13))/COUNTIF(INDIRECT("'["&amp;Info!$B$5&amp;"]"&amp;Info!$B$6&amp;"'!"&amp;Info!$B$9),B23),D23))</f>
        <v>#N/A</v>
      </c>
    </row>
    <row r="24" spans="1:9" x14ac:dyDescent="0.25">
      <c r="A24" s="64" t="str">
        <f>IF(B24="","", Info!$B$2)</f>
        <v>DVN-FP3330-180404</v>
      </c>
      <c r="B24" s="8" t="s">
        <v>21</v>
      </c>
      <c r="C24" s="56" t="e">
        <f>IF(B24="","",IFERROR(VLOOKUP(B24,Reel!$E$3:$F$1013,2,0),VLOOKUP(B24,Ring!$E$3:$F$1000,2,0)))</f>
        <v>#N/A</v>
      </c>
      <c r="D24" s="60" t="e">
        <f>IF(C24="","",IFERROR(VLOOKUP(C24,Reel!$F$2:$H$1013,3,0),VLOOKUP(C24,Ring!$F$3:$H$1000,3,0)))</f>
        <v>#N/A</v>
      </c>
      <c r="E24" s="58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$17,INDIRECT("'["&amp;Info!$B$5&amp;"]"&amp;Info!$B$6&amp;"'!"&amp;Info!$B$15),"&lt;="&amp;Info!$B$18))</f>
        <v>#REF!</v>
      </c>
      <c r="F24" s="58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$20,INDIRECT("'["&amp;Info!$B$5&amp;"]"&amp;Info!$B$6&amp;"'!"&amp;Info!$B$15),"&lt;="&amp;Info!$B$21))</f>
        <v>#REF!</v>
      </c>
      <c r="G24" s="51" t="e">
        <f ca="1">IF(B24="","",SUMIFS(INDIRECT("'["&amp;Info!$B$5&amp;"]"&amp;Info!$B$6&amp;"'!"&amp;Info!$B$11),INDIRECT("'["&amp;Info!$B$5&amp;"]"&amp;Info!$B$6&amp;"'!"&amp;Info!$B$9),B24,INDIRECT("'["&amp;Info!$B$5&amp;"]"&amp;Info!$B$6&amp;"'!"&amp;Info!$B$15),"&gt;="&amp;Info!$B$23,INDIRECT("'["&amp;Info!$B$5&amp;"]"&amp;Info!$B$6&amp;"'!"&amp;Info!$B$15),"&lt;="&amp;Info!$B$24))</f>
        <v>#REF!</v>
      </c>
      <c r="H24" s="51" t="e">
        <f t="shared" ca="1" si="0"/>
        <v>#REF!</v>
      </c>
      <c r="I24" s="60" t="e">
        <f ca="1">IF(B24="","",IFERROR(SUMIF(INDIRECT("'["&amp;Info!$B$5&amp;"]"&amp;Info!$B$6&amp;"'!"&amp;Info!$B$9),B24,INDIRECT("'["&amp;Info!$B$5&amp;"]"&amp;Info!$B$6&amp;"'!"&amp;Info!$B$13))/COUNTIF(INDIRECT("'["&amp;Info!$B$5&amp;"]"&amp;Info!$B$6&amp;"'!"&amp;Info!$B$9),B24),D24))</f>
        <v>#N/A</v>
      </c>
    </row>
    <row r="25" spans="1:9" x14ac:dyDescent="0.25">
      <c r="A25" s="64" t="str">
        <f>IF(B25="","", Info!$B$2)</f>
        <v>DVN-FP3330-180404</v>
      </c>
      <c r="B25" s="8" t="s">
        <v>455</v>
      </c>
      <c r="C25" s="56" t="e">
        <f>IF(B25="","",IFERROR(VLOOKUP(B25,Reel!$E$3:$F$1013,2,0),VLOOKUP(B25,Ring!$E$3:$F$1000,2,0)))</f>
        <v>#N/A</v>
      </c>
      <c r="D25" s="60" t="e">
        <f>IF(C25="","",IFERROR(VLOOKUP(C25,Reel!$F$2:$H$1013,3,0),VLOOKUP(C25,Ring!$F$3:$H$1000,3,0)))</f>
        <v>#N/A</v>
      </c>
      <c r="E25" s="58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$17,INDIRECT("'["&amp;Info!$B$5&amp;"]"&amp;Info!$B$6&amp;"'!"&amp;Info!$B$15),"&lt;="&amp;Info!$B$18))</f>
        <v>#REF!</v>
      </c>
      <c r="F25" s="58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$20,INDIRECT("'["&amp;Info!$B$5&amp;"]"&amp;Info!$B$6&amp;"'!"&amp;Info!$B$15),"&lt;="&amp;Info!$B$21))</f>
        <v>#REF!</v>
      </c>
      <c r="G25" s="51" t="e">
        <f ca="1">IF(B25="","",SUMIFS(INDIRECT("'["&amp;Info!$B$5&amp;"]"&amp;Info!$B$6&amp;"'!"&amp;Info!$B$11),INDIRECT("'["&amp;Info!$B$5&amp;"]"&amp;Info!$B$6&amp;"'!"&amp;Info!$B$9),B25,INDIRECT("'["&amp;Info!$B$5&amp;"]"&amp;Info!$B$6&amp;"'!"&amp;Info!$B$15),"&gt;="&amp;Info!$B$23,INDIRECT("'["&amp;Info!$B$5&amp;"]"&amp;Info!$B$6&amp;"'!"&amp;Info!$B$15),"&lt;="&amp;Info!$B$24))</f>
        <v>#REF!</v>
      </c>
      <c r="H25" s="51" t="e">
        <f ca="1">SUM(E25:G25)</f>
        <v>#REF!</v>
      </c>
      <c r="I25" s="60" t="e">
        <f ca="1">IF(B25="","",IFERROR(SUMIF(INDIRECT("'["&amp;Info!$B$5&amp;"]"&amp;Info!$B$6&amp;"'!"&amp;Info!$B$9),B25,INDIRECT("'["&amp;Info!$B$5&amp;"]"&amp;Info!$B$6&amp;"'!"&amp;Info!$B$13))/COUNTIF(INDIRECT("'["&amp;Info!$B$5&amp;"]"&amp;Info!$B$6&amp;"'!"&amp;Info!$B$9),B25),D25))</f>
        <v>#N/A</v>
      </c>
    </row>
    <row r="26" spans="1:9" x14ac:dyDescent="0.25">
      <c r="A26" s="64" t="str">
        <f>IF(B26="","", Info!$B$2)</f>
        <v>DVN-FP3330-180404</v>
      </c>
      <c r="B26" s="8" t="s">
        <v>451</v>
      </c>
      <c r="C26" s="56" t="e">
        <f>IF(B26="","",IFERROR(VLOOKUP(B26,Reel!$E$3:$F$1013,2,0),VLOOKUP(B26,Ring!$E$3:$F$1000,2,0)))</f>
        <v>#N/A</v>
      </c>
      <c r="D26" s="60" t="e">
        <f>IF(C26="","",IFERROR(VLOOKUP(C26,Reel!$F$2:$H$1013,3,0),VLOOKUP(C26,Ring!$F$3:$H$1000,3,0)))</f>
        <v>#N/A</v>
      </c>
      <c r="E26" s="58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$17,INDIRECT("'["&amp;Info!$B$5&amp;"]"&amp;Info!$B$6&amp;"'!"&amp;Info!$B$15),"&lt;="&amp;Info!$B$18))</f>
        <v>#REF!</v>
      </c>
      <c r="F26" s="58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$20,INDIRECT("'["&amp;Info!$B$5&amp;"]"&amp;Info!$B$6&amp;"'!"&amp;Info!$B$15),"&lt;="&amp;Info!$B$21))</f>
        <v>#REF!</v>
      </c>
      <c r="G26" s="51" t="e">
        <f ca="1">IF(B26="","",SUMIFS(INDIRECT("'["&amp;Info!$B$5&amp;"]"&amp;Info!$B$6&amp;"'!"&amp;Info!$B$11),INDIRECT("'["&amp;Info!$B$5&amp;"]"&amp;Info!$B$6&amp;"'!"&amp;Info!$B$9),B26,INDIRECT("'["&amp;Info!$B$5&amp;"]"&amp;Info!$B$6&amp;"'!"&amp;Info!$B$15),"&gt;="&amp;Info!$B$23,INDIRECT("'["&amp;Info!$B$5&amp;"]"&amp;Info!$B$6&amp;"'!"&amp;Info!$B$15),"&lt;="&amp;Info!$B$24))</f>
        <v>#REF!</v>
      </c>
      <c r="H26" s="51" t="e">
        <f ca="1">SUM(E26:G26)</f>
        <v>#REF!</v>
      </c>
      <c r="I26" s="60" t="e">
        <f ca="1">IF(B26="","",IFERROR(SUMIF(INDIRECT("'["&amp;Info!$B$5&amp;"]"&amp;Info!$B$6&amp;"'!"&amp;Info!$B$9),B26,INDIRECT("'["&amp;Info!$B$5&amp;"]"&amp;Info!$B$6&amp;"'!"&amp;Info!$B$13))/COUNTIF(INDIRECT("'["&amp;Info!$B$5&amp;"]"&amp;Info!$B$6&amp;"'!"&amp;Info!$B$9),B26),D26))</f>
        <v>#N/A</v>
      </c>
    </row>
    <row r="27" spans="1:9" x14ac:dyDescent="0.25">
      <c r="A27" s="64" t="str">
        <f>IF(B27="","", Info!$B$2)</f>
        <v>DVN-FP3330-180404</v>
      </c>
      <c r="B27" s="8" t="s">
        <v>453</v>
      </c>
      <c r="C27" s="56" t="e">
        <f>IF(B27="","",IFERROR(VLOOKUP(B27,Reel!$E$3:$F$1013,2,0),VLOOKUP(B27,Ring!$E$3:$F$1000,2,0)))</f>
        <v>#N/A</v>
      </c>
      <c r="D27" s="60" t="e">
        <f>IF(C27="","",IFERROR(VLOOKUP(C27,Reel!$F$2:$H$1013,3,0),VLOOKUP(C27,Ring!$F$3:$H$1000,3,0)))</f>
        <v>#N/A</v>
      </c>
      <c r="E27" s="58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$17,INDIRECT("'["&amp;Info!$B$5&amp;"]"&amp;Info!$B$6&amp;"'!"&amp;Info!$B$15),"&lt;="&amp;Info!$B$18))</f>
        <v>#REF!</v>
      </c>
      <c r="F27" s="58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$20,INDIRECT("'["&amp;Info!$B$5&amp;"]"&amp;Info!$B$6&amp;"'!"&amp;Info!$B$15),"&lt;="&amp;Info!$B$21))</f>
        <v>#REF!</v>
      </c>
      <c r="G27" s="51" t="e">
        <f ca="1">IF(B27="","",SUMIFS(INDIRECT("'["&amp;Info!$B$5&amp;"]"&amp;Info!$B$6&amp;"'!"&amp;Info!$B$11),INDIRECT("'["&amp;Info!$B$5&amp;"]"&amp;Info!$B$6&amp;"'!"&amp;Info!$B$9),B27,INDIRECT("'["&amp;Info!$B$5&amp;"]"&amp;Info!$B$6&amp;"'!"&amp;Info!$B$15),"&gt;="&amp;Info!$B$23,INDIRECT("'["&amp;Info!$B$5&amp;"]"&amp;Info!$B$6&amp;"'!"&amp;Info!$B$15),"&lt;="&amp;Info!$B$24))</f>
        <v>#REF!</v>
      </c>
      <c r="H27" s="51" t="e">
        <f ca="1">SUM(E27:G27)</f>
        <v>#REF!</v>
      </c>
      <c r="I27" s="60" t="e">
        <f ca="1">IF(B27="","",IFERROR(SUMIF(INDIRECT("'["&amp;Info!$B$5&amp;"]"&amp;Info!$B$6&amp;"'!"&amp;Info!$B$9),B27,INDIRECT("'["&amp;Info!$B$5&amp;"]"&amp;Info!$B$6&amp;"'!"&amp;Info!$B$13))/COUNTIF(INDIRECT("'["&amp;Info!$B$5&amp;"]"&amp;Info!$B$6&amp;"'!"&amp;Info!$B$9),B27),D27))</f>
        <v>#N/A</v>
      </c>
    </row>
    <row r="28" spans="1:9" x14ac:dyDescent="0.25">
      <c r="A28" s="64" t="str">
        <f>IF(B28="","", Info!$B$2)</f>
        <v>DVN-FP3330-180404</v>
      </c>
      <c r="B28" s="8" t="s">
        <v>452</v>
      </c>
      <c r="C28" s="56" t="e">
        <f>IF(B28="","",IFERROR(VLOOKUP(B28,Reel!$E$3:$F$1013,2,0),VLOOKUP(B28,Ring!$E$3:$F$1000,2,0)))</f>
        <v>#N/A</v>
      </c>
      <c r="D28" s="60" t="e">
        <f>IF(C28="","",IFERROR(VLOOKUP(C28,Reel!$F$2:$H$1013,3,0),VLOOKUP(C28,Ring!$F$3:$H$1000,3,0)))</f>
        <v>#N/A</v>
      </c>
      <c r="E28" s="58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$17,INDIRECT("'["&amp;Info!$B$5&amp;"]"&amp;Info!$B$6&amp;"'!"&amp;Info!$B$15),"&lt;="&amp;Info!$B$18))</f>
        <v>#REF!</v>
      </c>
      <c r="F28" s="58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$20,INDIRECT("'["&amp;Info!$B$5&amp;"]"&amp;Info!$B$6&amp;"'!"&amp;Info!$B$15),"&lt;="&amp;Info!$B$21))</f>
        <v>#REF!</v>
      </c>
      <c r="G28" s="51" t="e">
        <f ca="1">IF(B28="","",SUMIFS(INDIRECT("'["&amp;Info!$B$5&amp;"]"&amp;Info!$B$6&amp;"'!"&amp;Info!$B$11),INDIRECT("'["&amp;Info!$B$5&amp;"]"&amp;Info!$B$6&amp;"'!"&amp;Info!$B$9),B28,INDIRECT("'["&amp;Info!$B$5&amp;"]"&amp;Info!$B$6&amp;"'!"&amp;Info!$B$15),"&gt;="&amp;Info!$B$23,INDIRECT("'["&amp;Info!$B$5&amp;"]"&amp;Info!$B$6&amp;"'!"&amp;Info!$B$15),"&lt;="&amp;Info!$B$24))</f>
        <v>#REF!</v>
      </c>
      <c r="H28" s="51" t="e">
        <f ca="1">SUM(E28:G28)</f>
        <v>#REF!</v>
      </c>
      <c r="I28" s="60" t="e">
        <f ca="1">IF(B28="","",IFERROR(SUMIF(INDIRECT("'["&amp;Info!$B$5&amp;"]"&amp;Info!$B$6&amp;"'!"&amp;Info!$B$9),B28,INDIRECT("'["&amp;Info!$B$5&amp;"]"&amp;Info!$B$6&amp;"'!"&amp;Info!$B$13))/COUNTIF(INDIRECT("'["&amp;Info!$B$5&amp;"]"&amp;Info!$B$6&amp;"'!"&amp;Info!$B$9),B28),D28))</f>
        <v>#N/A</v>
      </c>
    </row>
    <row r="29" spans="1:9" x14ac:dyDescent="0.25">
      <c r="A29" s="64" t="str">
        <f>IF(B29="","", Info!$B$2)</f>
        <v>DVN-FP3330-180404</v>
      </c>
      <c r="B29" s="8" t="s">
        <v>456</v>
      </c>
      <c r="C29" s="56" t="e">
        <f>IF(B29="","",IFERROR(VLOOKUP(B29,Reel!$E$3:$F$1013,2,0),VLOOKUP(B29,Ring!$E$3:$F$1000,2,0)))</f>
        <v>#N/A</v>
      </c>
      <c r="D29" s="60" t="e">
        <f>IF(C29="","",IFERROR(VLOOKUP(C29,Reel!$F$2:$H$1013,3,0),VLOOKUP(C29,Ring!$F$3:$H$1000,3,0)))</f>
        <v>#N/A</v>
      </c>
      <c r="E29" s="58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$17,INDIRECT("'["&amp;Info!$B$5&amp;"]"&amp;Info!$B$6&amp;"'!"&amp;Info!$B$15),"&lt;="&amp;Info!$B$18))</f>
        <v>#REF!</v>
      </c>
      <c r="F29" s="58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$20,INDIRECT("'["&amp;Info!$B$5&amp;"]"&amp;Info!$B$6&amp;"'!"&amp;Info!$B$15),"&lt;="&amp;Info!$B$21))</f>
        <v>#REF!</v>
      </c>
      <c r="G29" s="51" t="e">
        <f ca="1">IF(B29="","",SUMIFS(INDIRECT("'["&amp;Info!$B$5&amp;"]"&amp;Info!$B$6&amp;"'!"&amp;Info!$B$11),INDIRECT("'["&amp;Info!$B$5&amp;"]"&amp;Info!$B$6&amp;"'!"&amp;Info!$B$9),B29,INDIRECT("'["&amp;Info!$B$5&amp;"]"&amp;Info!$B$6&amp;"'!"&amp;Info!$B$15),"&gt;="&amp;Info!$B$23,INDIRECT("'["&amp;Info!$B$5&amp;"]"&amp;Info!$B$6&amp;"'!"&amp;Info!$B$15),"&lt;="&amp;Info!$B$24))</f>
        <v>#REF!</v>
      </c>
      <c r="H29" s="51" t="e">
        <f ca="1">SUM(E29:G29)</f>
        <v>#REF!</v>
      </c>
      <c r="I29" s="60" t="e">
        <f ca="1">IF(B29="","",IFERROR(SUMIF(INDIRECT("'["&amp;Info!$B$5&amp;"]"&amp;Info!$B$6&amp;"'!"&amp;Info!$B$9),B29,INDIRECT("'["&amp;Info!$B$5&amp;"]"&amp;Info!$B$6&amp;"'!"&amp;Info!$B$13))/COUNTIF(INDIRECT("'["&amp;Info!$B$5&amp;"]"&amp;Info!$B$6&amp;"'!"&amp;Info!$B$9),B29),D29))</f>
        <v>#N/A</v>
      </c>
    </row>
    <row r="30" spans="1:9" x14ac:dyDescent="0.25">
      <c r="A30" s="64" t="str">
        <f>IF(B30="","", Info!$B$2)</f>
        <v>DVN-FP3330-180404</v>
      </c>
      <c r="B30" s="8" t="s">
        <v>22</v>
      </c>
      <c r="C30" s="56" t="e">
        <f>IF(B30="","",IFERROR(VLOOKUP(B30,Reel!$E$3:$F$1013,2,0),VLOOKUP(B30,Ring!$E$3:$F$1000,2,0)))</f>
        <v>#N/A</v>
      </c>
      <c r="D30" s="60" t="e">
        <f>IF(C30="","",IFERROR(VLOOKUP(C30,Reel!$F$2:$H$1013,3,0),VLOOKUP(C30,Ring!$F$3:$H$1000,3,0)))</f>
        <v>#N/A</v>
      </c>
      <c r="E30" s="58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$17,INDIRECT("'["&amp;Info!$B$5&amp;"]"&amp;Info!$B$6&amp;"'!"&amp;Info!$B$15),"&lt;="&amp;Info!$B$18))</f>
        <v>#REF!</v>
      </c>
      <c r="F30" s="58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$20,INDIRECT("'["&amp;Info!$B$5&amp;"]"&amp;Info!$B$6&amp;"'!"&amp;Info!$B$15),"&lt;="&amp;Info!$B$21))</f>
        <v>#REF!</v>
      </c>
      <c r="G30" s="51" t="e">
        <f ca="1">IF(B30="","",SUMIFS(INDIRECT("'["&amp;Info!$B$5&amp;"]"&amp;Info!$B$6&amp;"'!"&amp;Info!$B$11),INDIRECT("'["&amp;Info!$B$5&amp;"]"&amp;Info!$B$6&amp;"'!"&amp;Info!$B$9),B30,INDIRECT("'["&amp;Info!$B$5&amp;"]"&amp;Info!$B$6&amp;"'!"&amp;Info!$B$15),"&gt;="&amp;Info!$B$23,INDIRECT("'["&amp;Info!$B$5&amp;"]"&amp;Info!$B$6&amp;"'!"&amp;Info!$B$15),"&lt;="&amp;Info!$B$24))</f>
        <v>#REF!</v>
      </c>
      <c r="H30" s="51" t="e">
        <f t="shared" ca="1" si="0"/>
        <v>#REF!</v>
      </c>
      <c r="I30" s="60" t="e">
        <f ca="1">IF(B30="","",IFERROR(SUMIF(INDIRECT("'["&amp;Info!$B$5&amp;"]"&amp;Info!$B$6&amp;"'!"&amp;Info!$B$9),B30,INDIRECT("'["&amp;Info!$B$5&amp;"]"&amp;Info!$B$6&amp;"'!"&amp;Info!$B$13))/COUNTIF(INDIRECT("'["&amp;Info!$B$5&amp;"]"&amp;Info!$B$6&amp;"'!"&amp;Info!$B$9),B30),D30))</f>
        <v>#N/A</v>
      </c>
    </row>
    <row r="31" spans="1:9" x14ac:dyDescent="0.25">
      <c r="A31" s="64" t="str">
        <f>IF(B31="","", Info!$B$2)</f>
        <v>DVN-FP3330-180404</v>
      </c>
      <c r="B31" s="8" t="s">
        <v>23</v>
      </c>
      <c r="C31" s="56" t="e">
        <f>IF(B31="","",IFERROR(VLOOKUP(B31,Reel!$E$3:$F$1013,2,0),VLOOKUP(B31,Ring!$E$3:$F$1000,2,0)))</f>
        <v>#N/A</v>
      </c>
      <c r="D31" s="60" t="e">
        <f>IF(C31="","",IFERROR(VLOOKUP(C31,Reel!$F$2:$H$1013,3,0),VLOOKUP(C31,Ring!$F$3:$H$1000,3,0)))</f>
        <v>#N/A</v>
      </c>
      <c r="E31" s="58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$17,INDIRECT("'["&amp;Info!$B$5&amp;"]"&amp;Info!$B$6&amp;"'!"&amp;Info!$B$15),"&lt;="&amp;Info!$B$18))</f>
        <v>#REF!</v>
      </c>
      <c r="F31" s="58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$20,INDIRECT("'["&amp;Info!$B$5&amp;"]"&amp;Info!$B$6&amp;"'!"&amp;Info!$B$15),"&lt;="&amp;Info!$B$21))</f>
        <v>#REF!</v>
      </c>
      <c r="G31" s="51" t="e">
        <f ca="1">IF(B31="","",SUMIFS(INDIRECT("'["&amp;Info!$B$5&amp;"]"&amp;Info!$B$6&amp;"'!"&amp;Info!$B$11),INDIRECT("'["&amp;Info!$B$5&amp;"]"&amp;Info!$B$6&amp;"'!"&amp;Info!$B$9),B31,INDIRECT("'["&amp;Info!$B$5&amp;"]"&amp;Info!$B$6&amp;"'!"&amp;Info!$B$15),"&gt;="&amp;Info!$B$23,INDIRECT("'["&amp;Info!$B$5&amp;"]"&amp;Info!$B$6&amp;"'!"&amp;Info!$B$15),"&lt;="&amp;Info!$B$24))</f>
        <v>#REF!</v>
      </c>
      <c r="H31" s="51" t="e">
        <f t="shared" ca="1" si="0"/>
        <v>#REF!</v>
      </c>
      <c r="I31" s="60" t="e">
        <f ca="1">IF(B31="","",IFERROR(SUMIF(INDIRECT("'["&amp;Info!$B$5&amp;"]"&amp;Info!$B$6&amp;"'!"&amp;Info!$B$9),B31,INDIRECT("'["&amp;Info!$B$5&amp;"]"&amp;Info!$B$6&amp;"'!"&amp;Info!$B$13))/COUNTIF(INDIRECT("'["&amp;Info!$B$5&amp;"]"&amp;Info!$B$6&amp;"'!"&amp;Info!$B$9),B31),D31))</f>
        <v>#N/A</v>
      </c>
    </row>
    <row r="32" spans="1:9" x14ac:dyDescent="0.25">
      <c r="A32" s="64" t="str">
        <f>IF(B32="","", Info!$B$2)</f>
        <v>DVN-FP3330-180404</v>
      </c>
      <c r="B32" s="8" t="s">
        <v>24</v>
      </c>
      <c r="C32" s="56" t="e">
        <f>IF(B32="","",IFERROR(VLOOKUP(B32,Reel!$E$3:$F$1013,2,0),VLOOKUP(B32,Ring!$E$3:$F$1000,2,0)))</f>
        <v>#N/A</v>
      </c>
      <c r="D32" s="60" t="e">
        <f>IF(C32="","",IFERROR(VLOOKUP(C32,Reel!$F$2:$H$1013,3,0),VLOOKUP(C32,Ring!$F$3:$H$1000,3,0)))</f>
        <v>#N/A</v>
      </c>
      <c r="E32" s="58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$17,INDIRECT("'["&amp;Info!$B$5&amp;"]"&amp;Info!$B$6&amp;"'!"&amp;Info!$B$15),"&lt;="&amp;Info!$B$18))</f>
        <v>#REF!</v>
      </c>
      <c r="F32" s="58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$20,INDIRECT("'["&amp;Info!$B$5&amp;"]"&amp;Info!$B$6&amp;"'!"&amp;Info!$B$15),"&lt;="&amp;Info!$B$21))</f>
        <v>#REF!</v>
      </c>
      <c r="G32" s="51" t="e">
        <f ca="1">IF(B32="","",SUMIFS(INDIRECT("'["&amp;Info!$B$5&amp;"]"&amp;Info!$B$6&amp;"'!"&amp;Info!$B$11),INDIRECT("'["&amp;Info!$B$5&amp;"]"&amp;Info!$B$6&amp;"'!"&amp;Info!$B$9),B32,INDIRECT("'["&amp;Info!$B$5&amp;"]"&amp;Info!$B$6&amp;"'!"&amp;Info!$B$15),"&gt;="&amp;Info!$B$23,INDIRECT("'["&amp;Info!$B$5&amp;"]"&amp;Info!$B$6&amp;"'!"&amp;Info!$B$15),"&lt;="&amp;Info!$B$24))</f>
        <v>#REF!</v>
      </c>
      <c r="H32" s="51" t="e">
        <f t="shared" ca="1" si="0"/>
        <v>#REF!</v>
      </c>
      <c r="I32" s="60" t="e">
        <f ca="1">IF(B32="","",IFERROR(SUMIF(INDIRECT("'["&amp;Info!$B$5&amp;"]"&amp;Info!$B$6&amp;"'!"&amp;Info!$B$9),B32,INDIRECT("'["&amp;Info!$B$5&amp;"]"&amp;Info!$B$6&amp;"'!"&amp;Info!$B$13))/COUNTIF(INDIRECT("'["&amp;Info!$B$5&amp;"]"&amp;Info!$B$6&amp;"'!"&amp;Info!$B$9),B32),D32))</f>
        <v>#N/A</v>
      </c>
    </row>
    <row r="33" spans="1:9" x14ac:dyDescent="0.25">
      <c r="A33" s="64" t="str">
        <f>IF(B33="","", Info!$B$2)</f>
        <v>DVN-FP3330-180404</v>
      </c>
      <c r="B33" s="8" t="s">
        <v>420</v>
      </c>
      <c r="C33" s="56" t="e">
        <f>IF(B33="","",IFERROR(VLOOKUP(B33,Reel!$E$3:$F$1013,2,0),VLOOKUP(B33,Ring!$E$3:$F$1000,2,0)))</f>
        <v>#N/A</v>
      </c>
      <c r="D33" s="60" t="e">
        <f>IF(C33="","",IFERROR(VLOOKUP(C33,Reel!$F$2:$H$1013,3,0),VLOOKUP(C33,Ring!$F$3:$H$1000,3,0)))</f>
        <v>#N/A</v>
      </c>
      <c r="E33" s="58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$17,INDIRECT("'["&amp;Info!$B$5&amp;"]"&amp;Info!$B$6&amp;"'!"&amp;Info!$B$15),"&lt;="&amp;Info!$B$18))</f>
        <v>#REF!</v>
      </c>
      <c r="F33" s="58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$20,INDIRECT("'["&amp;Info!$B$5&amp;"]"&amp;Info!$B$6&amp;"'!"&amp;Info!$B$15),"&lt;="&amp;Info!$B$21))</f>
        <v>#REF!</v>
      </c>
      <c r="G33" s="51" t="e">
        <f ca="1">IF(B33="","",SUMIFS(INDIRECT("'["&amp;Info!$B$5&amp;"]"&amp;Info!$B$6&amp;"'!"&amp;Info!$B$11),INDIRECT("'["&amp;Info!$B$5&amp;"]"&amp;Info!$B$6&amp;"'!"&amp;Info!$B$9),B33,INDIRECT("'["&amp;Info!$B$5&amp;"]"&amp;Info!$B$6&amp;"'!"&amp;Info!$B$15),"&gt;="&amp;Info!$B$23,INDIRECT("'["&amp;Info!$B$5&amp;"]"&amp;Info!$B$6&amp;"'!"&amp;Info!$B$15),"&lt;="&amp;Info!$B$24))</f>
        <v>#REF!</v>
      </c>
      <c r="H33" s="51" t="e">
        <f t="shared" ca="1" si="0"/>
        <v>#REF!</v>
      </c>
      <c r="I33" s="60" t="e">
        <f ca="1">IF(B33="","",IFERROR(SUMIF(INDIRECT("'["&amp;Info!$B$5&amp;"]"&amp;Info!$B$6&amp;"'!"&amp;Info!$B$9),B33,INDIRECT("'["&amp;Info!$B$5&amp;"]"&amp;Info!$B$6&amp;"'!"&amp;Info!$B$13))/COUNTIF(INDIRECT("'["&amp;Info!$B$5&amp;"]"&amp;Info!$B$6&amp;"'!"&amp;Info!$B$9),B33),D33))</f>
        <v>#N/A</v>
      </c>
    </row>
    <row r="34" spans="1:9" x14ac:dyDescent="0.25">
      <c r="A34" s="64" t="str">
        <f>IF(B34="","", Info!$B$2)</f>
        <v>DVN-FP3330-180404</v>
      </c>
      <c r="B34" s="8" t="s">
        <v>439</v>
      </c>
      <c r="C34" s="56" t="e">
        <f>IF(B34="","",IFERROR(VLOOKUP(B34,Reel!$E$3:$F$1013,2,0),VLOOKUP(B34,Ring!$E$3:$F$1000,2,0)))</f>
        <v>#N/A</v>
      </c>
      <c r="D34" s="60" t="e">
        <f>IF(C34="","",IFERROR(VLOOKUP(C34,Reel!$F$2:$H$1013,3,0),VLOOKUP(C34,Ring!$F$3:$H$1000,3,0)))</f>
        <v>#N/A</v>
      </c>
      <c r="E34" s="58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$17,INDIRECT("'["&amp;Info!$B$5&amp;"]"&amp;Info!$B$6&amp;"'!"&amp;Info!$B$15),"&lt;="&amp;Info!$B$18))</f>
        <v>#REF!</v>
      </c>
      <c r="F34" s="58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$20,INDIRECT("'["&amp;Info!$B$5&amp;"]"&amp;Info!$B$6&amp;"'!"&amp;Info!$B$15),"&lt;="&amp;Info!$B$21))</f>
        <v>#REF!</v>
      </c>
      <c r="G34" s="51" t="e">
        <f ca="1">IF(B34="","",SUMIFS(INDIRECT("'["&amp;Info!$B$5&amp;"]"&amp;Info!$B$6&amp;"'!"&amp;Info!$B$11),INDIRECT("'["&amp;Info!$B$5&amp;"]"&amp;Info!$B$6&amp;"'!"&amp;Info!$B$9),B34,INDIRECT("'["&amp;Info!$B$5&amp;"]"&amp;Info!$B$6&amp;"'!"&amp;Info!$B$15),"&gt;="&amp;Info!$B$23,INDIRECT("'["&amp;Info!$B$5&amp;"]"&amp;Info!$B$6&amp;"'!"&amp;Info!$B$15),"&lt;="&amp;Info!$B$24))</f>
        <v>#REF!</v>
      </c>
      <c r="H34" s="51" t="e">
        <f t="shared" ca="1" si="0"/>
        <v>#REF!</v>
      </c>
      <c r="I34" s="60" t="e">
        <f ca="1">IF(B34="","",IFERROR(SUMIF(INDIRECT("'["&amp;Info!$B$5&amp;"]"&amp;Info!$B$6&amp;"'!"&amp;Info!$B$9),B34,INDIRECT("'["&amp;Info!$B$5&amp;"]"&amp;Info!$B$6&amp;"'!"&amp;Info!$B$13))/COUNTIF(INDIRECT("'["&amp;Info!$B$5&amp;"]"&amp;Info!$B$6&amp;"'!"&amp;Info!$B$9),B34),D34))</f>
        <v>#N/A</v>
      </c>
    </row>
    <row r="35" spans="1:9" x14ac:dyDescent="0.25">
      <c r="A35" s="64" t="str">
        <f>IF(B35="","", Info!$B$2)</f>
        <v>DVN-FP3330-180404</v>
      </c>
      <c r="B35" s="8" t="s">
        <v>25</v>
      </c>
      <c r="C35" s="56" t="e">
        <f>IF(B35="","",IFERROR(VLOOKUP(B35,Reel!$E$3:$F$1013,2,0),VLOOKUP(B35,Ring!$E$3:$F$1000,2,0)))</f>
        <v>#N/A</v>
      </c>
      <c r="D35" s="60" t="e">
        <f>IF(C35="","",IFERROR(VLOOKUP(C35,Reel!$F$2:$H$1013,3,0),VLOOKUP(C35,Ring!$F$3:$H$1000,3,0)))</f>
        <v>#N/A</v>
      </c>
      <c r="E35" s="58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$17,INDIRECT("'["&amp;Info!$B$5&amp;"]"&amp;Info!$B$6&amp;"'!"&amp;Info!$B$15),"&lt;="&amp;Info!$B$18))</f>
        <v>#REF!</v>
      </c>
      <c r="F35" s="58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$20,INDIRECT("'["&amp;Info!$B$5&amp;"]"&amp;Info!$B$6&amp;"'!"&amp;Info!$B$15),"&lt;="&amp;Info!$B$21))</f>
        <v>#REF!</v>
      </c>
      <c r="G35" s="51" t="e">
        <f ca="1">IF(B35="","",SUMIFS(INDIRECT("'["&amp;Info!$B$5&amp;"]"&amp;Info!$B$6&amp;"'!"&amp;Info!$B$11),INDIRECT("'["&amp;Info!$B$5&amp;"]"&amp;Info!$B$6&amp;"'!"&amp;Info!$B$9),B35,INDIRECT("'["&amp;Info!$B$5&amp;"]"&amp;Info!$B$6&amp;"'!"&amp;Info!$B$15),"&gt;="&amp;Info!$B$23,INDIRECT("'["&amp;Info!$B$5&amp;"]"&amp;Info!$B$6&amp;"'!"&amp;Info!$B$15),"&lt;="&amp;Info!$B$24))</f>
        <v>#REF!</v>
      </c>
      <c r="H35" s="51" t="e">
        <f t="shared" ca="1" si="0"/>
        <v>#REF!</v>
      </c>
      <c r="I35" s="60" t="e">
        <f ca="1">IF(B35="","",IFERROR(SUMIF(INDIRECT("'["&amp;Info!$B$5&amp;"]"&amp;Info!$B$6&amp;"'!"&amp;Info!$B$9),B35,INDIRECT("'["&amp;Info!$B$5&amp;"]"&amp;Info!$B$6&amp;"'!"&amp;Info!$B$13))/COUNTIF(INDIRECT("'["&amp;Info!$B$5&amp;"]"&amp;Info!$B$6&amp;"'!"&amp;Info!$B$9),B35),D35))</f>
        <v>#N/A</v>
      </c>
    </row>
    <row r="36" spans="1:9" x14ac:dyDescent="0.25">
      <c r="A36" s="64" t="str">
        <f>IF(B36="","", Info!$B$2)</f>
        <v>DVN-FP3330-180404</v>
      </c>
      <c r="B36" s="73" t="s">
        <v>426</v>
      </c>
      <c r="C36" s="56" t="e">
        <f>IF(B36="","",IFERROR(VLOOKUP(B36,Reel!$E$3:$F$1013,2,0),VLOOKUP(B36,Ring!$E$3:$F$1000,2,0)))</f>
        <v>#N/A</v>
      </c>
      <c r="D36" s="60" t="e">
        <f>IF(C36="","",IFERROR(VLOOKUP(C36,Reel!$F$2:$H$1013,3,0),VLOOKUP(C36,Ring!$F$3:$H$1000,3,0)))</f>
        <v>#N/A</v>
      </c>
      <c r="E36" s="58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$17,INDIRECT("'["&amp;Info!$B$5&amp;"]"&amp;Info!$B$6&amp;"'!"&amp;Info!$B$15),"&lt;="&amp;Info!$B$18))</f>
        <v>#REF!</v>
      </c>
      <c r="F36" s="58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$20,INDIRECT("'["&amp;Info!$B$5&amp;"]"&amp;Info!$B$6&amp;"'!"&amp;Info!$B$15),"&lt;="&amp;Info!$B$21))</f>
        <v>#REF!</v>
      </c>
      <c r="G36" s="51" t="e">
        <f ca="1">IF(B36="","",SUMIFS(INDIRECT("'["&amp;Info!$B$5&amp;"]"&amp;Info!$B$6&amp;"'!"&amp;Info!$B$11),INDIRECT("'["&amp;Info!$B$5&amp;"]"&amp;Info!$B$6&amp;"'!"&amp;Info!$B$9),B36,INDIRECT("'["&amp;Info!$B$5&amp;"]"&amp;Info!$B$6&amp;"'!"&amp;Info!$B$15),"&gt;="&amp;Info!$B$23,INDIRECT("'["&amp;Info!$B$5&amp;"]"&amp;Info!$B$6&amp;"'!"&amp;Info!$B$15),"&lt;="&amp;Info!$B$24))</f>
        <v>#REF!</v>
      </c>
      <c r="H36" s="51" t="e">
        <f t="shared" ca="1" si="0"/>
        <v>#REF!</v>
      </c>
      <c r="I36" s="60" t="e">
        <f ca="1">IF(B36="","",IFERROR(SUMIF(INDIRECT("'["&amp;Info!$B$5&amp;"]"&amp;Info!$B$6&amp;"'!"&amp;Info!$B$9),B36,INDIRECT("'["&amp;Info!$B$5&amp;"]"&amp;Info!$B$6&amp;"'!"&amp;Info!$B$13))/COUNTIF(INDIRECT("'["&amp;Info!$B$5&amp;"]"&amp;Info!$B$6&amp;"'!"&amp;Info!$B$9),B36),D36))</f>
        <v>#N/A</v>
      </c>
    </row>
    <row r="37" spans="1:9" x14ac:dyDescent="0.25">
      <c r="A37" s="64" t="str">
        <f>IF(B37="","", Info!$B$2)</f>
        <v>DVN-FP3330-180404</v>
      </c>
      <c r="B37" s="8" t="s">
        <v>421</v>
      </c>
      <c r="C37" s="56" t="e">
        <f>IF(B37="","",IFERROR(VLOOKUP(B37,Reel!$E$3:$F$1013,2,0),VLOOKUP(B37,Ring!$E$3:$F$1000,2,0)))</f>
        <v>#N/A</v>
      </c>
      <c r="D37" s="60" t="e">
        <f>IF(C37="","",IFERROR(VLOOKUP(C37,Reel!$F$2:$H$1013,3,0),VLOOKUP(C37,Ring!$F$3:$H$1000,3,0)))</f>
        <v>#N/A</v>
      </c>
      <c r="E37" s="58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$17,INDIRECT("'["&amp;Info!$B$5&amp;"]"&amp;Info!$B$6&amp;"'!"&amp;Info!$B$15),"&lt;="&amp;Info!$B$18))</f>
        <v>#REF!</v>
      </c>
      <c r="F37" s="58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$20,INDIRECT("'["&amp;Info!$B$5&amp;"]"&amp;Info!$B$6&amp;"'!"&amp;Info!$B$15),"&lt;="&amp;Info!$B$21))</f>
        <v>#REF!</v>
      </c>
      <c r="G37" s="51" t="e">
        <f ca="1">IF(B37="","",SUMIFS(INDIRECT("'["&amp;Info!$B$5&amp;"]"&amp;Info!$B$6&amp;"'!"&amp;Info!$B$11),INDIRECT("'["&amp;Info!$B$5&amp;"]"&amp;Info!$B$6&amp;"'!"&amp;Info!$B$9),B37,INDIRECT("'["&amp;Info!$B$5&amp;"]"&amp;Info!$B$6&amp;"'!"&amp;Info!$B$15),"&gt;="&amp;Info!$B$23,INDIRECT("'["&amp;Info!$B$5&amp;"]"&amp;Info!$B$6&amp;"'!"&amp;Info!$B$15),"&lt;="&amp;Info!$B$24))</f>
        <v>#REF!</v>
      </c>
      <c r="H37" s="51" t="e">
        <f t="shared" ca="1" si="0"/>
        <v>#REF!</v>
      </c>
      <c r="I37" s="60" t="e">
        <f ca="1">IF(B37="","",IFERROR(SUMIF(INDIRECT("'["&amp;Info!$B$5&amp;"]"&amp;Info!$B$6&amp;"'!"&amp;Info!$B$9),B37,INDIRECT("'["&amp;Info!$B$5&amp;"]"&amp;Info!$B$6&amp;"'!"&amp;Info!$B$13))/COUNTIF(INDIRECT("'["&amp;Info!$B$5&amp;"]"&amp;Info!$B$6&amp;"'!"&amp;Info!$B$9),B37),D37))</f>
        <v>#N/A</v>
      </c>
    </row>
    <row r="38" spans="1:9" x14ac:dyDescent="0.25">
      <c r="A38" s="64" t="str">
        <f>IF(B38="","", Info!$B$2)</f>
        <v>DVN-FP3330-180404</v>
      </c>
      <c r="B38" s="8" t="s">
        <v>438</v>
      </c>
      <c r="C38" s="56" t="e">
        <f>IF(B38="","",IFERROR(VLOOKUP(B38,Reel!$E$3:$F$1013,2,0),VLOOKUP(B38,Ring!$E$3:$F$1000,2,0)))</f>
        <v>#N/A</v>
      </c>
      <c r="D38" s="60" t="e">
        <f>IF(C38="","",IFERROR(VLOOKUP(C38,Reel!$F$2:$H$1013,3,0),VLOOKUP(C38,Ring!$F$3:$H$1000,3,0)))</f>
        <v>#N/A</v>
      </c>
      <c r="E38" s="58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$17,INDIRECT("'["&amp;Info!$B$5&amp;"]"&amp;Info!$B$6&amp;"'!"&amp;Info!$B$15),"&lt;="&amp;Info!$B$18))</f>
        <v>#REF!</v>
      </c>
      <c r="F38" s="58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$20,INDIRECT("'["&amp;Info!$B$5&amp;"]"&amp;Info!$B$6&amp;"'!"&amp;Info!$B$15),"&lt;="&amp;Info!$B$21))</f>
        <v>#REF!</v>
      </c>
      <c r="G38" s="51" t="e">
        <f ca="1">IF(B38="","",SUMIFS(INDIRECT("'["&amp;Info!$B$5&amp;"]"&amp;Info!$B$6&amp;"'!"&amp;Info!$B$11),INDIRECT("'["&amp;Info!$B$5&amp;"]"&amp;Info!$B$6&amp;"'!"&amp;Info!$B$9),B38,INDIRECT("'["&amp;Info!$B$5&amp;"]"&amp;Info!$B$6&amp;"'!"&amp;Info!$B$15),"&gt;="&amp;Info!$B$23,INDIRECT("'["&amp;Info!$B$5&amp;"]"&amp;Info!$B$6&amp;"'!"&amp;Info!$B$15),"&lt;="&amp;Info!$B$24))</f>
        <v>#REF!</v>
      </c>
      <c r="H38" s="51" t="e">
        <f t="shared" ca="1" si="0"/>
        <v>#REF!</v>
      </c>
      <c r="I38" s="60" t="e">
        <f ca="1">IF(B38="","",IFERROR(SUMIF(INDIRECT("'["&amp;Info!$B$5&amp;"]"&amp;Info!$B$6&amp;"'!"&amp;Info!$B$9),B38,INDIRECT("'["&amp;Info!$B$5&amp;"]"&amp;Info!$B$6&amp;"'!"&amp;Info!$B$13))/COUNTIF(INDIRECT("'["&amp;Info!$B$5&amp;"]"&amp;Info!$B$6&amp;"'!"&amp;Info!$B$9),B38),D38))</f>
        <v>#N/A</v>
      </c>
    </row>
    <row r="39" spans="1:9" x14ac:dyDescent="0.25">
      <c r="A39" s="64" t="str">
        <f>IF(B39="","", Info!$B$2)</f>
        <v>DVN-FP3330-180404</v>
      </c>
      <c r="B39" s="8" t="s">
        <v>26</v>
      </c>
      <c r="C39" s="56" t="e">
        <f>IF(B39="","",IFERROR(VLOOKUP(B39,Reel!$E$3:$F$1013,2,0),VLOOKUP(B39,Ring!$E$3:$F$1000,2,0)))</f>
        <v>#N/A</v>
      </c>
      <c r="D39" s="60" t="e">
        <f>IF(C39="","",IFERROR(VLOOKUP(C39,Reel!$F$2:$H$1013,3,0),VLOOKUP(C39,Ring!$F$3:$H$1000,3,0)))</f>
        <v>#N/A</v>
      </c>
      <c r="E39" s="58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$17,INDIRECT("'["&amp;Info!$B$5&amp;"]"&amp;Info!$B$6&amp;"'!"&amp;Info!$B$15),"&lt;="&amp;Info!$B$18))</f>
        <v>#REF!</v>
      </c>
      <c r="F39" s="58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$20,INDIRECT("'["&amp;Info!$B$5&amp;"]"&amp;Info!$B$6&amp;"'!"&amp;Info!$B$15),"&lt;="&amp;Info!$B$21))</f>
        <v>#REF!</v>
      </c>
      <c r="G39" s="51" t="e">
        <f ca="1">IF(B39="","",SUMIFS(INDIRECT("'["&amp;Info!$B$5&amp;"]"&amp;Info!$B$6&amp;"'!"&amp;Info!$B$11),INDIRECT("'["&amp;Info!$B$5&amp;"]"&amp;Info!$B$6&amp;"'!"&amp;Info!$B$9),B39,INDIRECT("'["&amp;Info!$B$5&amp;"]"&amp;Info!$B$6&amp;"'!"&amp;Info!$B$15),"&gt;="&amp;Info!$B$23,INDIRECT("'["&amp;Info!$B$5&amp;"]"&amp;Info!$B$6&amp;"'!"&amp;Info!$B$15),"&lt;="&amp;Info!$B$24))</f>
        <v>#REF!</v>
      </c>
      <c r="H39" s="51" t="e">
        <f t="shared" ca="1" si="0"/>
        <v>#REF!</v>
      </c>
      <c r="I39" s="60" t="e">
        <f ca="1">IF(B39="","",IFERROR(SUMIF(INDIRECT("'["&amp;Info!$B$5&amp;"]"&amp;Info!$B$6&amp;"'!"&amp;Info!$B$9),B39,INDIRECT("'["&amp;Info!$B$5&amp;"]"&amp;Info!$B$6&amp;"'!"&amp;Info!$B$13))/COUNTIF(INDIRECT("'["&amp;Info!$B$5&amp;"]"&amp;Info!$B$6&amp;"'!"&amp;Info!$B$9),B39),D39))</f>
        <v>#N/A</v>
      </c>
    </row>
    <row r="40" spans="1:9" x14ac:dyDescent="0.25">
      <c r="A40" s="64" t="str">
        <f>IF(B40="","", Info!$B$2)</f>
        <v>DVN-FP3330-180404</v>
      </c>
      <c r="B40" s="8" t="s">
        <v>372</v>
      </c>
      <c r="C40" s="56" t="e">
        <f>IF(B40="","",IFERROR(VLOOKUP(B40,Reel!$E$3:$F$1013,2,0),VLOOKUP(B40,Ring!$E$3:$F$1000,2,0)))</f>
        <v>#N/A</v>
      </c>
      <c r="D40" s="60" t="e">
        <f>IF(C40="","",IFERROR(VLOOKUP(C40,Reel!$F$2:$H$1013,3,0),VLOOKUP(C40,Ring!$F$3:$H$1000,3,0)))</f>
        <v>#N/A</v>
      </c>
      <c r="E40" s="58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$17,INDIRECT("'["&amp;Info!$B$5&amp;"]"&amp;Info!$B$6&amp;"'!"&amp;Info!$B$15),"&lt;="&amp;Info!$B$18))</f>
        <v>#REF!</v>
      </c>
      <c r="F40" s="58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$20,INDIRECT("'["&amp;Info!$B$5&amp;"]"&amp;Info!$B$6&amp;"'!"&amp;Info!$B$15),"&lt;="&amp;Info!$B$21))</f>
        <v>#REF!</v>
      </c>
      <c r="G40" s="51" t="e">
        <f ca="1">IF(B40="","",SUMIFS(INDIRECT("'["&amp;Info!$B$5&amp;"]"&amp;Info!$B$6&amp;"'!"&amp;Info!$B$11),INDIRECT("'["&amp;Info!$B$5&amp;"]"&amp;Info!$B$6&amp;"'!"&amp;Info!$B$9),B40,INDIRECT("'["&amp;Info!$B$5&amp;"]"&amp;Info!$B$6&amp;"'!"&amp;Info!$B$15),"&gt;="&amp;Info!$B$23,INDIRECT("'["&amp;Info!$B$5&amp;"]"&amp;Info!$B$6&amp;"'!"&amp;Info!$B$15),"&lt;="&amp;Info!$B$24))</f>
        <v>#REF!</v>
      </c>
      <c r="H40" s="51" t="e">
        <f t="shared" ref="H40:H72" ca="1" si="1">SUM(E40:G40)</f>
        <v>#REF!</v>
      </c>
      <c r="I40" s="60" t="e">
        <f ca="1">IF(B40="","",IFERROR(SUMIF(INDIRECT("'["&amp;Info!$B$5&amp;"]"&amp;Info!$B$6&amp;"'!"&amp;Info!$B$9),B40,INDIRECT("'["&amp;Info!$B$5&amp;"]"&amp;Info!$B$6&amp;"'!"&amp;Info!$B$13))/COUNTIF(INDIRECT("'["&amp;Info!$B$5&amp;"]"&amp;Info!$B$6&amp;"'!"&amp;Info!$B$9),B40),D40))</f>
        <v>#N/A</v>
      </c>
    </row>
    <row r="41" spans="1:9" x14ac:dyDescent="0.25">
      <c r="A41" s="64" t="str">
        <f>IF(B41="","", Info!$B$2)</f>
        <v>DVN-FP3330-180404</v>
      </c>
      <c r="B41" s="8" t="s">
        <v>27</v>
      </c>
      <c r="C41" s="56" t="e">
        <f>IF(B41="","",IFERROR(VLOOKUP(B41,Reel!$E$3:$F$1013,2,0),VLOOKUP(B41,Ring!$E$3:$F$1000,2,0)))</f>
        <v>#N/A</v>
      </c>
      <c r="D41" s="60" t="e">
        <f>IF(C41="","",IFERROR(VLOOKUP(C41,Reel!$F$2:$H$1013,3,0),VLOOKUP(C41,Ring!$F$3:$H$1000,3,0)))</f>
        <v>#N/A</v>
      </c>
      <c r="E41" s="58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$17,INDIRECT("'["&amp;Info!$B$5&amp;"]"&amp;Info!$B$6&amp;"'!"&amp;Info!$B$15),"&lt;="&amp;Info!$B$18))</f>
        <v>#REF!</v>
      </c>
      <c r="F41" s="58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$20,INDIRECT("'["&amp;Info!$B$5&amp;"]"&amp;Info!$B$6&amp;"'!"&amp;Info!$B$15),"&lt;="&amp;Info!$B$21))</f>
        <v>#REF!</v>
      </c>
      <c r="G41" s="51" t="e">
        <f ca="1">IF(B41="","",SUMIFS(INDIRECT("'["&amp;Info!$B$5&amp;"]"&amp;Info!$B$6&amp;"'!"&amp;Info!$B$11),INDIRECT("'["&amp;Info!$B$5&amp;"]"&amp;Info!$B$6&amp;"'!"&amp;Info!$B$9),B41,INDIRECT("'["&amp;Info!$B$5&amp;"]"&amp;Info!$B$6&amp;"'!"&amp;Info!$B$15),"&gt;="&amp;Info!$B$23,INDIRECT("'["&amp;Info!$B$5&amp;"]"&amp;Info!$B$6&amp;"'!"&amp;Info!$B$15),"&lt;="&amp;Info!$B$24))</f>
        <v>#REF!</v>
      </c>
      <c r="H41" s="51" t="e">
        <f t="shared" ca="1" si="1"/>
        <v>#REF!</v>
      </c>
      <c r="I41" s="60" t="e">
        <f ca="1">IF(B41="","",IFERROR(SUMIF(INDIRECT("'["&amp;Info!$B$5&amp;"]"&amp;Info!$B$6&amp;"'!"&amp;Info!$B$9),B41,INDIRECT("'["&amp;Info!$B$5&amp;"]"&amp;Info!$B$6&amp;"'!"&amp;Info!$B$13))/COUNTIF(INDIRECT("'["&amp;Info!$B$5&amp;"]"&amp;Info!$B$6&amp;"'!"&amp;Info!$B$9),B41),D41))</f>
        <v>#N/A</v>
      </c>
    </row>
    <row r="42" spans="1:9" x14ac:dyDescent="0.25">
      <c r="A42" s="64" t="str">
        <f>IF(B42="","", Info!$B$2)</f>
        <v>DVN-FP3330-180404</v>
      </c>
      <c r="B42" s="8" t="s">
        <v>364</v>
      </c>
      <c r="C42" s="56" t="e">
        <f>IF(B42="","",IFERROR(VLOOKUP(B42,Reel!$E$3:$F$1013,2,0),VLOOKUP(B42,Ring!$E$3:$F$1000,2,0)))</f>
        <v>#N/A</v>
      </c>
      <c r="D42" s="60" t="e">
        <f>IF(C42="","",IFERROR(VLOOKUP(C42,Reel!$F$2:$H$1013,3,0),VLOOKUP(C42,Ring!$F$3:$H$1000,3,0)))</f>
        <v>#N/A</v>
      </c>
      <c r="E42" s="58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$17,INDIRECT("'["&amp;Info!$B$5&amp;"]"&amp;Info!$B$6&amp;"'!"&amp;Info!$B$15),"&lt;="&amp;Info!$B$18))</f>
        <v>#REF!</v>
      </c>
      <c r="F42" s="58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$20,INDIRECT("'["&amp;Info!$B$5&amp;"]"&amp;Info!$B$6&amp;"'!"&amp;Info!$B$15),"&lt;="&amp;Info!$B$21))</f>
        <v>#REF!</v>
      </c>
      <c r="G42" s="51" t="e">
        <f ca="1">IF(B42="","",SUMIFS(INDIRECT("'["&amp;Info!$B$5&amp;"]"&amp;Info!$B$6&amp;"'!"&amp;Info!$B$11),INDIRECT("'["&amp;Info!$B$5&amp;"]"&amp;Info!$B$6&amp;"'!"&amp;Info!$B$9),B42,INDIRECT("'["&amp;Info!$B$5&amp;"]"&amp;Info!$B$6&amp;"'!"&amp;Info!$B$15),"&gt;="&amp;Info!$B$23,INDIRECT("'["&amp;Info!$B$5&amp;"]"&amp;Info!$B$6&amp;"'!"&amp;Info!$B$15),"&lt;="&amp;Info!$B$24))</f>
        <v>#REF!</v>
      </c>
      <c r="H42" s="51" t="e">
        <f t="shared" ca="1" si="1"/>
        <v>#REF!</v>
      </c>
      <c r="I42" s="60" t="e">
        <f ca="1">IF(B42="","",IFERROR(SUMIF(INDIRECT("'["&amp;Info!$B$5&amp;"]"&amp;Info!$B$6&amp;"'!"&amp;Info!$B$9),B42,INDIRECT("'["&amp;Info!$B$5&amp;"]"&amp;Info!$B$6&amp;"'!"&amp;Info!$B$13))/COUNTIF(INDIRECT("'["&amp;Info!$B$5&amp;"]"&amp;Info!$B$6&amp;"'!"&amp;Info!$B$9),B42),D42))</f>
        <v>#N/A</v>
      </c>
    </row>
    <row r="43" spans="1:9" x14ac:dyDescent="0.25">
      <c r="A43" s="64" t="str">
        <f>IF(B43="","", Info!$B$2)</f>
        <v>DVN-FP3330-180404</v>
      </c>
      <c r="B43" s="8" t="s">
        <v>442</v>
      </c>
      <c r="C43" s="56" t="e">
        <f>IF(B43="","",IFERROR(VLOOKUP(B43,Reel!$E$3:$F$1013,2,0),VLOOKUP(B43,Ring!$E$3:$F$1000,2,0)))</f>
        <v>#N/A</v>
      </c>
      <c r="D43" s="60" t="e">
        <f>IF(C43="","",IFERROR(VLOOKUP(C43,Reel!$F$2:$H$1013,3,0),VLOOKUP(C43,Ring!$F$3:$H$1000,3,0)))</f>
        <v>#N/A</v>
      </c>
      <c r="E43" s="58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$17,INDIRECT("'["&amp;Info!$B$5&amp;"]"&amp;Info!$B$6&amp;"'!"&amp;Info!$B$15),"&lt;="&amp;Info!$B$18))</f>
        <v>#REF!</v>
      </c>
      <c r="F43" s="58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$20,INDIRECT("'["&amp;Info!$B$5&amp;"]"&amp;Info!$B$6&amp;"'!"&amp;Info!$B$15),"&lt;="&amp;Info!$B$21))</f>
        <v>#REF!</v>
      </c>
      <c r="G43" s="51" t="e">
        <f ca="1">IF(B43="","",SUMIFS(INDIRECT("'["&amp;Info!$B$5&amp;"]"&amp;Info!$B$6&amp;"'!"&amp;Info!$B$11),INDIRECT("'["&amp;Info!$B$5&amp;"]"&amp;Info!$B$6&amp;"'!"&amp;Info!$B$9),B43,INDIRECT("'["&amp;Info!$B$5&amp;"]"&amp;Info!$B$6&amp;"'!"&amp;Info!$B$15),"&gt;="&amp;Info!$B$23,INDIRECT("'["&amp;Info!$B$5&amp;"]"&amp;Info!$B$6&amp;"'!"&amp;Info!$B$15),"&lt;="&amp;Info!$B$24))</f>
        <v>#REF!</v>
      </c>
      <c r="H43" s="51" t="e">
        <f t="shared" ca="1" si="1"/>
        <v>#REF!</v>
      </c>
      <c r="I43" s="60" t="e">
        <f ca="1">IF(B43="","",IFERROR(SUMIF(INDIRECT("'["&amp;Info!$B$5&amp;"]"&amp;Info!$B$6&amp;"'!"&amp;Info!$B$9),B43,INDIRECT("'["&amp;Info!$B$5&amp;"]"&amp;Info!$B$6&amp;"'!"&amp;Info!$B$13))/COUNTIF(INDIRECT("'["&amp;Info!$B$5&amp;"]"&amp;Info!$B$6&amp;"'!"&amp;Info!$B$9),B43),D43))</f>
        <v>#N/A</v>
      </c>
    </row>
    <row r="44" spans="1:9" x14ac:dyDescent="0.25">
      <c r="A44" s="64" t="str">
        <f>IF(B44="","", Info!$B$2)</f>
        <v>DVN-FP3330-180404</v>
      </c>
      <c r="B44" s="8" t="s">
        <v>454</v>
      </c>
      <c r="C44" s="56" t="e">
        <f>IF(B44="","",IFERROR(VLOOKUP(B44,Reel!$E$3:$F$1013,2,0),VLOOKUP(B44,Ring!$E$3:$F$1000,2,0)))</f>
        <v>#N/A</v>
      </c>
      <c r="D44" s="60" t="e">
        <f>IF(C44="","",IFERROR(VLOOKUP(C44,Reel!$F$2:$H$1013,3,0),VLOOKUP(C44,Ring!$F$3:$H$1000,3,0)))</f>
        <v>#N/A</v>
      </c>
      <c r="E44" s="58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$17,INDIRECT("'["&amp;Info!$B$5&amp;"]"&amp;Info!$B$6&amp;"'!"&amp;Info!$B$15),"&lt;="&amp;Info!$B$18))</f>
        <v>#REF!</v>
      </c>
      <c r="F44" s="58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$20,INDIRECT("'["&amp;Info!$B$5&amp;"]"&amp;Info!$B$6&amp;"'!"&amp;Info!$B$15),"&lt;="&amp;Info!$B$21))</f>
        <v>#REF!</v>
      </c>
      <c r="G44" s="51" t="e">
        <f ca="1">IF(B44="","",SUMIFS(INDIRECT("'["&amp;Info!$B$5&amp;"]"&amp;Info!$B$6&amp;"'!"&amp;Info!$B$11),INDIRECT("'["&amp;Info!$B$5&amp;"]"&amp;Info!$B$6&amp;"'!"&amp;Info!$B$9),B44,INDIRECT("'["&amp;Info!$B$5&amp;"]"&amp;Info!$B$6&amp;"'!"&amp;Info!$B$15),"&gt;="&amp;Info!$B$23,INDIRECT("'["&amp;Info!$B$5&amp;"]"&amp;Info!$B$6&amp;"'!"&amp;Info!$B$15),"&lt;="&amp;Info!$B$24))</f>
        <v>#REF!</v>
      </c>
      <c r="H44" s="51" t="e">
        <f ca="1">SUM(E44:G44)</f>
        <v>#REF!</v>
      </c>
      <c r="I44" s="60" t="e">
        <f ca="1">IF(B44="","",IFERROR(SUMIF(INDIRECT("'["&amp;Info!$B$5&amp;"]"&amp;Info!$B$6&amp;"'!"&amp;Info!$B$9),B44,INDIRECT("'["&amp;Info!$B$5&amp;"]"&amp;Info!$B$6&amp;"'!"&amp;Info!$B$13))/COUNTIF(INDIRECT("'["&amp;Info!$B$5&amp;"]"&amp;Info!$B$6&amp;"'!"&amp;Info!$B$9),B44),D44))</f>
        <v>#N/A</v>
      </c>
    </row>
    <row r="45" spans="1:9" x14ac:dyDescent="0.25">
      <c r="A45" s="64" t="str">
        <f>IF(B45="","", Info!$B$2)</f>
        <v>DVN-FP3330-180404</v>
      </c>
      <c r="B45" s="8" t="s">
        <v>435</v>
      </c>
      <c r="C45" s="56" t="e">
        <f>IF(B45="","",IFERROR(VLOOKUP(B45,Reel!$E$3:$F$1013,2,0),VLOOKUP(B45,Ring!$E$3:$F$1000,2,0)))</f>
        <v>#N/A</v>
      </c>
      <c r="D45" s="60" t="e">
        <f>IF(C45="","",IFERROR(VLOOKUP(C45,Reel!$F$2:$H$1013,3,0),VLOOKUP(C45,Ring!$F$3:$H$1000,3,0)))</f>
        <v>#N/A</v>
      </c>
      <c r="E45" s="58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$17,INDIRECT("'["&amp;Info!$B$5&amp;"]"&amp;Info!$B$6&amp;"'!"&amp;Info!$B$15),"&lt;="&amp;Info!$B$18))</f>
        <v>#REF!</v>
      </c>
      <c r="F45" s="58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$20,INDIRECT("'["&amp;Info!$B$5&amp;"]"&amp;Info!$B$6&amp;"'!"&amp;Info!$B$15),"&lt;="&amp;Info!$B$21))</f>
        <v>#REF!</v>
      </c>
      <c r="G45" s="51" t="e">
        <f ca="1">IF(B45="","",SUMIFS(INDIRECT("'["&amp;Info!$B$5&amp;"]"&amp;Info!$B$6&amp;"'!"&amp;Info!$B$11),INDIRECT("'["&amp;Info!$B$5&amp;"]"&amp;Info!$B$6&amp;"'!"&amp;Info!$B$9),B45,INDIRECT("'["&amp;Info!$B$5&amp;"]"&amp;Info!$B$6&amp;"'!"&amp;Info!$B$15),"&gt;="&amp;Info!$B$23,INDIRECT("'["&amp;Info!$B$5&amp;"]"&amp;Info!$B$6&amp;"'!"&amp;Info!$B$15),"&lt;="&amp;Info!$B$24))</f>
        <v>#REF!</v>
      </c>
      <c r="H45" s="51" t="e">
        <f t="shared" ca="1" si="1"/>
        <v>#REF!</v>
      </c>
      <c r="I45" s="60" t="e">
        <f ca="1">IF(B45="","",IFERROR(SUMIF(INDIRECT("'["&amp;Info!$B$5&amp;"]"&amp;Info!$B$6&amp;"'!"&amp;Info!$B$9),B45,INDIRECT("'["&amp;Info!$B$5&amp;"]"&amp;Info!$B$6&amp;"'!"&amp;Info!$B$13))/COUNTIF(INDIRECT("'["&amp;Info!$B$5&amp;"]"&amp;Info!$B$6&amp;"'!"&amp;Info!$B$9),B45),D45))</f>
        <v>#N/A</v>
      </c>
    </row>
    <row r="46" spans="1:9" x14ac:dyDescent="0.25">
      <c r="A46" s="64" t="str">
        <f>IF(B46="","", Info!$B$2)</f>
        <v>DVN-FP3330-180404</v>
      </c>
      <c r="B46" s="8" t="s">
        <v>436</v>
      </c>
      <c r="C46" s="56" t="e">
        <f>IF(B46="","",IFERROR(VLOOKUP(B46,Reel!$E$3:$F$1013,2,0),VLOOKUP(B46,Ring!$E$3:$F$1000,2,0)))</f>
        <v>#N/A</v>
      </c>
      <c r="D46" s="60" t="e">
        <f>IF(C46="","",IFERROR(VLOOKUP(C46,Reel!$F$2:$H$1013,3,0),VLOOKUP(C46,Ring!$F$3:$H$1000,3,0)))</f>
        <v>#N/A</v>
      </c>
      <c r="E46" s="58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$17,INDIRECT("'["&amp;Info!$B$5&amp;"]"&amp;Info!$B$6&amp;"'!"&amp;Info!$B$15),"&lt;="&amp;Info!$B$18))</f>
        <v>#REF!</v>
      </c>
      <c r="F46" s="58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$20,INDIRECT("'["&amp;Info!$B$5&amp;"]"&amp;Info!$B$6&amp;"'!"&amp;Info!$B$15),"&lt;="&amp;Info!$B$21))</f>
        <v>#REF!</v>
      </c>
      <c r="G46" s="51" t="e">
        <f ca="1">IF(B46="","",SUMIFS(INDIRECT("'["&amp;Info!$B$5&amp;"]"&amp;Info!$B$6&amp;"'!"&amp;Info!$B$11),INDIRECT("'["&amp;Info!$B$5&amp;"]"&amp;Info!$B$6&amp;"'!"&amp;Info!$B$9),B46,INDIRECT("'["&amp;Info!$B$5&amp;"]"&amp;Info!$B$6&amp;"'!"&amp;Info!$B$15),"&gt;="&amp;Info!$B$23,INDIRECT("'["&amp;Info!$B$5&amp;"]"&amp;Info!$B$6&amp;"'!"&amp;Info!$B$15),"&lt;="&amp;Info!$B$24))</f>
        <v>#REF!</v>
      </c>
      <c r="H46" s="51" t="e">
        <f t="shared" ca="1" si="1"/>
        <v>#REF!</v>
      </c>
      <c r="I46" s="60" t="e">
        <f ca="1">IF(B46="","",IFERROR(SUMIF(INDIRECT("'["&amp;Info!$B$5&amp;"]"&amp;Info!$B$6&amp;"'!"&amp;Info!$B$9),B46,INDIRECT("'["&amp;Info!$B$5&amp;"]"&amp;Info!$B$6&amp;"'!"&amp;Info!$B$13))/COUNTIF(INDIRECT("'["&amp;Info!$B$5&amp;"]"&amp;Info!$B$6&amp;"'!"&amp;Info!$B$9),B46),D46))</f>
        <v>#N/A</v>
      </c>
    </row>
    <row r="47" spans="1:9" x14ac:dyDescent="0.25">
      <c r="A47" s="64" t="str">
        <f>IF(B47="","", Info!$B$2)</f>
        <v>DVN-FP3330-180404</v>
      </c>
      <c r="B47" s="8" t="s">
        <v>407</v>
      </c>
      <c r="C47" s="56" t="e">
        <f>IF(B47="","",IFERROR(VLOOKUP(B47,Reel!$E$3:$F$1013,2,0),VLOOKUP(B47,Ring!$E$3:$F$1000,2,0)))</f>
        <v>#N/A</v>
      </c>
      <c r="D47" s="60" t="e">
        <f>IF(C47="","",IFERROR(VLOOKUP(C47,Reel!$F$2:$H$1013,3,0),VLOOKUP(C47,Ring!$F$3:$H$1000,3,0)))</f>
        <v>#N/A</v>
      </c>
      <c r="E47" s="58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$17,INDIRECT("'["&amp;Info!$B$5&amp;"]"&amp;Info!$B$6&amp;"'!"&amp;Info!$B$15),"&lt;="&amp;Info!$B$18))</f>
        <v>#REF!</v>
      </c>
      <c r="F47" s="58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$20,INDIRECT("'["&amp;Info!$B$5&amp;"]"&amp;Info!$B$6&amp;"'!"&amp;Info!$B$15),"&lt;="&amp;Info!$B$21))</f>
        <v>#REF!</v>
      </c>
      <c r="G47" s="51" t="e">
        <f ca="1">IF(B47="","",SUMIFS(INDIRECT("'["&amp;Info!$B$5&amp;"]"&amp;Info!$B$6&amp;"'!"&amp;Info!$B$11),INDIRECT("'["&amp;Info!$B$5&amp;"]"&amp;Info!$B$6&amp;"'!"&amp;Info!$B$9),B47,INDIRECT("'["&amp;Info!$B$5&amp;"]"&amp;Info!$B$6&amp;"'!"&amp;Info!$B$15),"&gt;="&amp;Info!$B$23,INDIRECT("'["&amp;Info!$B$5&amp;"]"&amp;Info!$B$6&amp;"'!"&amp;Info!$B$15),"&lt;="&amp;Info!$B$24))</f>
        <v>#REF!</v>
      </c>
      <c r="H47" s="51" t="e">
        <f t="shared" ca="1" si="1"/>
        <v>#REF!</v>
      </c>
      <c r="I47" s="60" t="e">
        <f ca="1">IF(B47="","",IFERROR(SUMIF(INDIRECT("'["&amp;Info!$B$5&amp;"]"&amp;Info!$B$6&amp;"'!"&amp;Info!$B$9),B47,INDIRECT("'["&amp;Info!$B$5&amp;"]"&amp;Info!$B$6&amp;"'!"&amp;Info!$B$13))/COUNTIF(INDIRECT("'["&amp;Info!$B$5&amp;"]"&amp;Info!$B$6&amp;"'!"&amp;Info!$B$9),B47),D47))</f>
        <v>#N/A</v>
      </c>
    </row>
    <row r="48" spans="1:9" x14ac:dyDescent="0.25">
      <c r="A48" s="64" t="str">
        <f>IF(B48="","", Info!$B$2)</f>
        <v>DVN-FP3330-180404</v>
      </c>
      <c r="B48" s="8" t="s">
        <v>223</v>
      </c>
      <c r="C48" s="56" t="e">
        <f>IF(B48="","",IFERROR(VLOOKUP(B48,Reel!$E$3:$F$1013,2,0),VLOOKUP(B48,Ring!$E$3:$F$1000,2,0)))</f>
        <v>#N/A</v>
      </c>
      <c r="D48" s="60" t="e">
        <f>IF(C48="","",IFERROR(VLOOKUP(C48,Reel!$F$2:$H$1013,3,0),VLOOKUP(C48,Ring!$F$3:$H$1000,3,0)))</f>
        <v>#N/A</v>
      </c>
      <c r="E48" s="58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$17,INDIRECT("'["&amp;Info!$B$5&amp;"]"&amp;Info!$B$6&amp;"'!"&amp;Info!$B$15),"&lt;="&amp;Info!$B$18))</f>
        <v>#REF!</v>
      </c>
      <c r="F48" s="58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$20,INDIRECT("'["&amp;Info!$B$5&amp;"]"&amp;Info!$B$6&amp;"'!"&amp;Info!$B$15),"&lt;="&amp;Info!$B$21))</f>
        <v>#REF!</v>
      </c>
      <c r="G48" s="51" t="e">
        <f ca="1">IF(B48="","",SUMIFS(INDIRECT("'["&amp;Info!$B$5&amp;"]"&amp;Info!$B$6&amp;"'!"&amp;Info!$B$11),INDIRECT("'["&amp;Info!$B$5&amp;"]"&amp;Info!$B$6&amp;"'!"&amp;Info!$B$9),B48,INDIRECT("'["&amp;Info!$B$5&amp;"]"&amp;Info!$B$6&amp;"'!"&amp;Info!$B$15),"&gt;="&amp;Info!$B$23,INDIRECT("'["&amp;Info!$B$5&amp;"]"&amp;Info!$B$6&amp;"'!"&amp;Info!$B$15),"&lt;="&amp;Info!$B$24))</f>
        <v>#REF!</v>
      </c>
      <c r="H48" s="51" t="e">
        <f t="shared" ca="1" si="1"/>
        <v>#REF!</v>
      </c>
      <c r="I48" s="60" t="e">
        <f ca="1">IF(B48="","",IFERROR(SUMIF(INDIRECT("'["&amp;Info!$B$5&amp;"]"&amp;Info!$B$6&amp;"'!"&amp;Info!$B$9),B48,INDIRECT("'["&amp;Info!$B$5&amp;"]"&amp;Info!$B$6&amp;"'!"&amp;Info!$B$13))/COUNTIF(INDIRECT("'["&amp;Info!$B$5&amp;"]"&amp;Info!$B$6&amp;"'!"&amp;Info!$B$9),B48),D48))</f>
        <v>#N/A</v>
      </c>
    </row>
    <row r="49" spans="1:9" x14ac:dyDescent="0.25">
      <c r="A49" s="64" t="str">
        <f>IF(B49="","", Info!$B$2)</f>
        <v>DVN-FP3330-180404</v>
      </c>
      <c r="B49" s="8" t="s">
        <v>28</v>
      </c>
      <c r="C49" s="56" t="e">
        <f>IF(B49="","",IFERROR(VLOOKUP(B49,Reel!$E$3:$F$1013,2,0),VLOOKUP(B49,Ring!$E$3:$F$1000,2,0)))</f>
        <v>#N/A</v>
      </c>
      <c r="D49" s="60" t="e">
        <f>IF(C49="","",IFERROR(VLOOKUP(C49,Reel!$F$2:$H$1013,3,0),VLOOKUP(C49,Ring!$F$3:$H$1000,3,0)))</f>
        <v>#N/A</v>
      </c>
      <c r="E49" s="58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$17,INDIRECT("'["&amp;Info!$B$5&amp;"]"&amp;Info!$B$6&amp;"'!"&amp;Info!$B$15),"&lt;="&amp;Info!$B$18))</f>
        <v>#REF!</v>
      </c>
      <c r="F49" s="58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$20,INDIRECT("'["&amp;Info!$B$5&amp;"]"&amp;Info!$B$6&amp;"'!"&amp;Info!$B$15),"&lt;="&amp;Info!$B$21))</f>
        <v>#REF!</v>
      </c>
      <c r="G49" s="51" t="e">
        <f ca="1">IF(B49="","",SUMIFS(INDIRECT("'["&amp;Info!$B$5&amp;"]"&amp;Info!$B$6&amp;"'!"&amp;Info!$B$11),INDIRECT("'["&amp;Info!$B$5&amp;"]"&amp;Info!$B$6&amp;"'!"&amp;Info!$B$9),B49,INDIRECT("'["&amp;Info!$B$5&amp;"]"&amp;Info!$B$6&amp;"'!"&amp;Info!$B$15),"&gt;="&amp;Info!$B$23,INDIRECT("'["&amp;Info!$B$5&amp;"]"&amp;Info!$B$6&amp;"'!"&amp;Info!$B$15),"&lt;="&amp;Info!$B$24))</f>
        <v>#REF!</v>
      </c>
      <c r="H49" s="51" t="e">
        <f t="shared" ca="1" si="1"/>
        <v>#REF!</v>
      </c>
      <c r="I49" s="60" t="e">
        <f ca="1">IF(B49="","",IFERROR(SUMIF(INDIRECT("'["&amp;Info!$B$5&amp;"]"&amp;Info!$B$6&amp;"'!"&amp;Info!$B$9),B49,INDIRECT("'["&amp;Info!$B$5&amp;"]"&amp;Info!$B$6&amp;"'!"&amp;Info!$B$13))/COUNTIF(INDIRECT("'["&amp;Info!$B$5&amp;"]"&amp;Info!$B$6&amp;"'!"&amp;Info!$B$9),B49),D49))</f>
        <v>#N/A</v>
      </c>
    </row>
    <row r="50" spans="1:9" x14ac:dyDescent="0.25">
      <c r="A50" s="64" t="str">
        <f>IF(B50="","", Info!$B$2)</f>
        <v>DVN-FP3330-180404</v>
      </c>
      <c r="B50" s="8" t="s">
        <v>29</v>
      </c>
      <c r="C50" s="56" t="e">
        <f>IF(B50="","",IFERROR(VLOOKUP(B50,Reel!$E$3:$F$1013,2,0),VLOOKUP(B50,Ring!$E$3:$F$1000,2,0)))</f>
        <v>#N/A</v>
      </c>
      <c r="D50" s="60" t="e">
        <f>IF(C50="","",IFERROR(VLOOKUP(C50,Reel!$F$2:$H$1013,3,0),VLOOKUP(C50,Ring!$F$3:$H$1000,3,0)))</f>
        <v>#N/A</v>
      </c>
      <c r="E50" s="58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$17,INDIRECT("'["&amp;Info!$B$5&amp;"]"&amp;Info!$B$6&amp;"'!"&amp;Info!$B$15),"&lt;="&amp;Info!$B$18))</f>
        <v>#REF!</v>
      </c>
      <c r="F50" s="58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$20,INDIRECT("'["&amp;Info!$B$5&amp;"]"&amp;Info!$B$6&amp;"'!"&amp;Info!$B$15),"&lt;="&amp;Info!$B$21))</f>
        <v>#REF!</v>
      </c>
      <c r="G50" s="51" t="e">
        <f ca="1">IF(B50="","",SUMIFS(INDIRECT("'["&amp;Info!$B$5&amp;"]"&amp;Info!$B$6&amp;"'!"&amp;Info!$B$11),INDIRECT("'["&amp;Info!$B$5&amp;"]"&amp;Info!$B$6&amp;"'!"&amp;Info!$B$9),B50,INDIRECT("'["&amp;Info!$B$5&amp;"]"&amp;Info!$B$6&amp;"'!"&amp;Info!$B$15),"&gt;="&amp;Info!$B$23,INDIRECT("'["&amp;Info!$B$5&amp;"]"&amp;Info!$B$6&amp;"'!"&amp;Info!$B$15),"&lt;="&amp;Info!$B$24))</f>
        <v>#REF!</v>
      </c>
      <c r="H50" s="51" t="e">
        <f t="shared" ca="1" si="1"/>
        <v>#REF!</v>
      </c>
      <c r="I50" s="60" t="e">
        <f ca="1">IF(B50="","",IFERROR(SUMIF(INDIRECT("'["&amp;Info!$B$5&amp;"]"&amp;Info!$B$6&amp;"'!"&amp;Info!$B$9),B50,INDIRECT("'["&amp;Info!$B$5&amp;"]"&amp;Info!$B$6&amp;"'!"&amp;Info!$B$13))/COUNTIF(INDIRECT("'["&amp;Info!$B$5&amp;"]"&amp;Info!$B$6&amp;"'!"&amp;Info!$B$9),B50),D50))</f>
        <v>#N/A</v>
      </c>
    </row>
    <row r="51" spans="1:9" x14ac:dyDescent="0.25">
      <c r="A51" s="64" t="str">
        <f>IF(B51="","", Info!$B$2)</f>
        <v>DVN-FP3330-180404</v>
      </c>
      <c r="B51" s="8" t="s">
        <v>30</v>
      </c>
      <c r="C51" s="56" t="e">
        <f>IF(B51="","",IFERROR(VLOOKUP(B51,Reel!$E$3:$F$1013,2,0),VLOOKUP(B51,Ring!$E$3:$F$1000,2,0)))</f>
        <v>#N/A</v>
      </c>
      <c r="D51" s="60" t="e">
        <f>IF(C51="","",IFERROR(VLOOKUP(C51,Reel!$F$2:$H$1013,3,0),VLOOKUP(C51,Ring!$F$3:$H$1000,3,0)))</f>
        <v>#N/A</v>
      </c>
      <c r="E51" s="58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$17,INDIRECT("'["&amp;Info!$B$5&amp;"]"&amp;Info!$B$6&amp;"'!"&amp;Info!$B$15),"&lt;="&amp;Info!$B$18))</f>
        <v>#REF!</v>
      </c>
      <c r="F51" s="58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$20,INDIRECT("'["&amp;Info!$B$5&amp;"]"&amp;Info!$B$6&amp;"'!"&amp;Info!$B$15),"&lt;="&amp;Info!$B$21))</f>
        <v>#REF!</v>
      </c>
      <c r="G51" s="51" t="e">
        <f ca="1">IF(B51="","",SUMIFS(INDIRECT("'["&amp;Info!$B$5&amp;"]"&amp;Info!$B$6&amp;"'!"&amp;Info!$B$11),INDIRECT("'["&amp;Info!$B$5&amp;"]"&amp;Info!$B$6&amp;"'!"&amp;Info!$B$9),B51,INDIRECT("'["&amp;Info!$B$5&amp;"]"&amp;Info!$B$6&amp;"'!"&amp;Info!$B$15),"&gt;="&amp;Info!$B$23,INDIRECT("'["&amp;Info!$B$5&amp;"]"&amp;Info!$B$6&amp;"'!"&amp;Info!$B$15),"&lt;="&amp;Info!$B$24))</f>
        <v>#REF!</v>
      </c>
      <c r="H51" s="51" t="e">
        <f t="shared" ca="1" si="1"/>
        <v>#REF!</v>
      </c>
      <c r="I51" s="60" t="e">
        <f ca="1">IF(B51="","",IFERROR(SUMIF(INDIRECT("'["&amp;Info!$B$5&amp;"]"&amp;Info!$B$6&amp;"'!"&amp;Info!$B$9),B51,INDIRECT("'["&amp;Info!$B$5&amp;"]"&amp;Info!$B$6&amp;"'!"&amp;Info!$B$13))/COUNTIF(INDIRECT("'["&amp;Info!$B$5&amp;"]"&amp;Info!$B$6&amp;"'!"&amp;Info!$B$9),B51),D51))</f>
        <v>#N/A</v>
      </c>
    </row>
    <row r="52" spans="1:9" x14ac:dyDescent="0.25">
      <c r="A52" s="64" t="str">
        <f>IF(B52="","", Info!$B$2)</f>
        <v>DVN-FP3330-180404</v>
      </c>
      <c r="B52" s="8" t="s">
        <v>31</v>
      </c>
      <c r="C52" s="56" t="e">
        <f>IF(B52="","",IFERROR(VLOOKUP(B52,Reel!$E$3:$F$1013,2,0),VLOOKUP(B52,Ring!$E$3:$F$1000,2,0)))</f>
        <v>#N/A</v>
      </c>
      <c r="D52" s="60" t="e">
        <f>IF(C52="","",IFERROR(VLOOKUP(C52,Reel!$F$2:$H$1013,3,0),VLOOKUP(C52,Ring!$F$3:$H$1000,3,0)))</f>
        <v>#N/A</v>
      </c>
      <c r="E52" s="58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$17,INDIRECT("'["&amp;Info!$B$5&amp;"]"&amp;Info!$B$6&amp;"'!"&amp;Info!$B$15),"&lt;="&amp;Info!$B$18))</f>
        <v>#REF!</v>
      </c>
      <c r="F52" s="58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$20,INDIRECT("'["&amp;Info!$B$5&amp;"]"&amp;Info!$B$6&amp;"'!"&amp;Info!$B$15),"&lt;="&amp;Info!$B$21))</f>
        <v>#REF!</v>
      </c>
      <c r="G52" s="51" t="e">
        <f ca="1">IF(B52="","",SUMIFS(INDIRECT("'["&amp;Info!$B$5&amp;"]"&amp;Info!$B$6&amp;"'!"&amp;Info!$B$11),INDIRECT("'["&amp;Info!$B$5&amp;"]"&amp;Info!$B$6&amp;"'!"&amp;Info!$B$9),B52,INDIRECT("'["&amp;Info!$B$5&amp;"]"&amp;Info!$B$6&amp;"'!"&amp;Info!$B$15),"&gt;="&amp;Info!$B$23,INDIRECT("'["&amp;Info!$B$5&amp;"]"&amp;Info!$B$6&amp;"'!"&amp;Info!$B$15),"&lt;="&amp;Info!$B$24))</f>
        <v>#REF!</v>
      </c>
      <c r="H52" s="51" t="e">
        <f t="shared" ca="1" si="1"/>
        <v>#REF!</v>
      </c>
      <c r="I52" s="60" t="e">
        <f ca="1">IF(B52="","",IFERROR(SUMIF(INDIRECT("'["&amp;Info!$B$5&amp;"]"&amp;Info!$B$6&amp;"'!"&amp;Info!$B$9),B52,INDIRECT("'["&amp;Info!$B$5&amp;"]"&amp;Info!$B$6&amp;"'!"&amp;Info!$B$13))/COUNTIF(INDIRECT("'["&amp;Info!$B$5&amp;"]"&amp;Info!$B$6&amp;"'!"&amp;Info!$B$9),B52),D52))</f>
        <v>#N/A</v>
      </c>
    </row>
    <row r="53" spans="1:9" x14ac:dyDescent="0.25">
      <c r="A53" s="64" t="str">
        <f>IF(B53="","", Info!$B$2)</f>
        <v>DVN-FP3330-180404</v>
      </c>
      <c r="B53" s="8" t="s">
        <v>32</v>
      </c>
      <c r="C53" s="56" t="e">
        <f>IF(B53="","",IFERROR(VLOOKUP(B53,Reel!$E$3:$F$1013,2,0),VLOOKUP(B53,Ring!$E$3:$F$1000,2,0)))</f>
        <v>#N/A</v>
      </c>
      <c r="D53" s="60" t="e">
        <f>IF(C53="","",IFERROR(VLOOKUP(C53,Reel!$F$2:$H$1013,3,0),VLOOKUP(C53,Ring!$F$3:$H$1000,3,0)))</f>
        <v>#N/A</v>
      </c>
      <c r="E53" s="58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$17,INDIRECT("'["&amp;Info!$B$5&amp;"]"&amp;Info!$B$6&amp;"'!"&amp;Info!$B$15),"&lt;="&amp;Info!$B$18))</f>
        <v>#REF!</v>
      </c>
      <c r="F53" s="58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$20,INDIRECT("'["&amp;Info!$B$5&amp;"]"&amp;Info!$B$6&amp;"'!"&amp;Info!$B$15),"&lt;="&amp;Info!$B$21))</f>
        <v>#REF!</v>
      </c>
      <c r="G53" s="51" t="e">
        <f ca="1">IF(B53="","",SUMIFS(INDIRECT("'["&amp;Info!$B$5&amp;"]"&amp;Info!$B$6&amp;"'!"&amp;Info!$B$11),INDIRECT("'["&amp;Info!$B$5&amp;"]"&amp;Info!$B$6&amp;"'!"&amp;Info!$B$9),B53,INDIRECT("'["&amp;Info!$B$5&amp;"]"&amp;Info!$B$6&amp;"'!"&amp;Info!$B$15),"&gt;="&amp;Info!$B$23,INDIRECT("'["&amp;Info!$B$5&amp;"]"&amp;Info!$B$6&amp;"'!"&amp;Info!$B$15),"&lt;="&amp;Info!$B$24))</f>
        <v>#REF!</v>
      </c>
      <c r="H53" s="51" t="e">
        <f t="shared" ca="1" si="1"/>
        <v>#REF!</v>
      </c>
      <c r="I53" s="60" t="e">
        <f ca="1">IF(B53="","",IFERROR(SUMIF(INDIRECT("'["&amp;Info!$B$5&amp;"]"&amp;Info!$B$6&amp;"'!"&amp;Info!$B$9),B53,INDIRECT("'["&amp;Info!$B$5&amp;"]"&amp;Info!$B$6&amp;"'!"&amp;Info!$B$13))/COUNTIF(INDIRECT("'["&amp;Info!$B$5&amp;"]"&amp;Info!$B$6&amp;"'!"&amp;Info!$B$9),B53),D53))</f>
        <v>#N/A</v>
      </c>
    </row>
    <row r="54" spans="1:9" x14ac:dyDescent="0.25">
      <c r="A54" s="64" t="str">
        <f>IF(B54="","", Info!$B$2)</f>
        <v>DVN-FP3330-180404</v>
      </c>
      <c r="B54" s="8" t="s">
        <v>33</v>
      </c>
      <c r="C54" s="56" t="e">
        <f>IF(B54="","",IFERROR(VLOOKUP(B54,Reel!$E$3:$F$1013,2,0),VLOOKUP(B54,Ring!$E$3:$F$1000,2,0)))</f>
        <v>#N/A</v>
      </c>
      <c r="D54" s="60" t="e">
        <f>IF(C54="","",IFERROR(VLOOKUP(C54,Reel!$F$2:$H$1013,3,0),VLOOKUP(C54,Ring!$F$3:$H$1000,3,0)))</f>
        <v>#N/A</v>
      </c>
      <c r="E54" s="58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$17,INDIRECT("'["&amp;Info!$B$5&amp;"]"&amp;Info!$B$6&amp;"'!"&amp;Info!$B$15),"&lt;="&amp;Info!$B$18))</f>
        <v>#REF!</v>
      </c>
      <c r="F54" s="58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$20,INDIRECT("'["&amp;Info!$B$5&amp;"]"&amp;Info!$B$6&amp;"'!"&amp;Info!$B$15),"&lt;="&amp;Info!$B$21))</f>
        <v>#REF!</v>
      </c>
      <c r="G54" s="51" t="e">
        <f ca="1">IF(B54="","",SUMIFS(INDIRECT("'["&amp;Info!$B$5&amp;"]"&amp;Info!$B$6&amp;"'!"&amp;Info!$B$11),INDIRECT("'["&amp;Info!$B$5&amp;"]"&amp;Info!$B$6&amp;"'!"&amp;Info!$B$9),B54,INDIRECT("'["&amp;Info!$B$5&amp;"]"&amp;Info!$B$6&amp;"'!"&amp;Info!$B$15),"&gt;="&amp;Info!$B$23,INDIRECT("'["&amp;Info!$B$5&amp;"]"&amp;Info!$B$6&amp;"'!"&amp;Info!$B$15),"&lt;="&amp;Info!$B$24))</f>
        <v>#REF!</v>
      </c>
      <c r="H54" s="51" t="e">
        <f t="shared" ca="1" si="1"/>
        <v>#REF!</v>
      </c>
      <c r="I54" s="60" t="e">
        <f ca="1">IF(B54="","",IFERROR(SUMIF(INDIRECT("'["&amp;Info!$B$5&amp;"]"&amp;Info!$B$6&amp;"'!"&amp;Info!$B$9),B54,INDIRECT("'["&amp;Info!$B$5&amp;"]"&amp;Info!$B$6&amp;"'!"&amp;Info!$B$13))/COUNTIF(INDIRECT("'["&amp;Info!$B$5&amp;"]"&amp;Info!$B$6&amp;"'!"&amp;Info!$B$9),B54),D54))</f>
        <v>#N/A</v>
      </c>
    </row>
    <row r="55" spans="1:9" x14ac:dyDescent="0.25">
      <c r="A55" s="64" t="str">
        <f>IF(B55="","", Info!$B$2)</f>
        <v>DVN-FP3330-180404</v>
      </c>
      <c r="B55" s="8" t="s">
        <v>34</v>
      </c>
      <c r="C55" s="56" t="e">
        <f>IF(B55="","",IFERROR(VLOOKUP(B55,Reel!$E$3:$F$1013,2,0),VLOOKUP(B55,Ring!$E$3:$F$1000,2,0)))</f>
        <v>#N/A</v>
      </c>
      <c r="D55" s="60" t="e">
        <f>IF(C55="","",IFERROR(VLOOKUP(C55,Reel!$F$2:$H$1013,3,0),VLOOKUP(C55,Ring!$F$3:$H$1000,3,0)))</f>
        <v>#N/A</v>
      </c>
      <c r="E55" s="58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$17,INDIRECT("'["&amp;Info!$B$5&amp;"]"&amp;Info!$B$6&amp;"'!"&amp;Info!$B$15),"&lt;="&amp;Info!$B$18))</f>
        <v>#REF!</v>
      </c>
      <c r="F55" s="58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$20,INDIRECT("'["&amp;Info!$B$5&amp;"]"&amp;Info!$B$6&amp;"'!"&amp;Info!$B$15),"&lt;="&amp;Info!$B$21))</f>
        <v>#REF!</v>
      </c>
      <c r="G55" s="51" t="e">
        <f ca="1">IF(B55="","",SUMIFS(INDIRECT("'["&amp;Info!$B$5&amp;"]"&amp;Info!$B$6&amp;"'!"&amp;Info!$B$11),INDIRECT("'["&amp;Info!$B$5&amp;"]"&amp;Info!$B$6&amp;"'!"&amp;Info!$B$9),B55,INDIRECT("'["&amp;Info!$B$5&amp;"]"&amp;Info!$B$6&amp;"'!"&amp;Info!$B$15),"&gt;="&amp;Info!$B$23,INDIRECT("'["&amp;Info!$B$5&amp;"]"&amp;Info!$B$6&amp;"'!"&amp;Info!$B$15),"&lt;="&amp;Info!$B$24))</f>
        <v>#REF!</v>
      </c>
      <c r="H55" s="51" t="e">
        <f t="shared" ca="1" si="1"/>
        <v>#REF!</v>
      </c>
      <c r="I55" s="60" t="e">
        <f ca="1">IF(B55="","",IFERROR(SUMIF(INDIRECT("'["&amp;Info!$B$5&amp;"]"&amp;Info!$B$6&amp;"'!"&amp;Info!$B$9),B55,INDIRECT("'["&amp;Info!$B$5&amp;"]"&amp;Info!$B$6&amp;"'!"&amp;Info!$B$13))/COUNTIF(INDIRECT("'["&amp;Info!$B$5&amp;"]"&amp;Info!$B$6&amp;"'!"&amp;Info!$B$9),B55),D55))</f>
        <v>#N/A</v>
      </c>
    </row>
    <row r="56" spans="1:9" x14ac:dyDescent="0.25">
      <c r="A56" s="64" t="str">
        <f>IF(B56="","", Info!$B$2)</f>
        <v>DVN-FP3330-180404</v>
      </c>
      <c r="B56" s="8" t="s">
        <v>35</v>
      </c>
      <c r="C56" s="56" t="e">
        <f>IF(B56="","",IFERROR(VLOOKUP(B56,Reel!$E$3:$F$1013,2,0),VLOOKUP(B56,Ring!$E$3:$F$1000,2,0)))</f>
        <v>#N/A</v>
      </c>
      <c r="D56" s="60" t="e">
        <f>IF(C56="","",IFERROR(VLOOKUP(C56,Reel!$F$2:$H$1013,3,0),VLOOKUP(C56,Ring!$F$3:$H$1000,3,0)))</f>
        <v>#N/A</v>
      </c>
      <c r="E56" s="58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$17,INDIRECT("'["&amp;Info!$B$5&amp;"]"&amp;Info!$B$6&amp;"'!"&amp;Info!$B$15),"&lt;="&amp;Info!$B$18))</f>
        <v>#REF!</v>
      </c>
      <c r="F56" s="58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$20,INDIRECT("'["&amp;Info!$B$5&amp;"]"&amp;Info!$B$6&amp;"'!"&amp;Info!$B$15),"&lt;="&amp;Info!$B$21))</f>
        <v>#REF!</v>
      </c>
      <c r="G56" s="51" t="e">
        <f ca="1">IF(B56="","",SUMIFS(INDIRECT("'["&amp;Info!$B$5&amp;"]"&amp;Info!$B$6&amp;"'!"&amp;Info!$B$11),INDIRECT("'["&amp;Info!$B$5&amp;"]"&amp;Info!$B$6&amp;"'!"&amp;Info!$B$9),B56,INDIRECT("'["&amp;Info!$B$5&amp;"]"&amp;Info!$B$6&amp;"'!"&amp;Info!$B$15),"&gt;="&amp;Info!$B$23,INDIRECT("'["&amp;Info!$B$5&amp;"]"&amp;Info!$B$6&amp;"'!"&amp;Info!$B$15),"&lt;="&amp;Info!$B$24))</f>
        <v>#REF!</v>
      </c>
      <c r="H56" s="51" t="e">
        <f t="shared" ca="1" si="1"/>
        <v>#REF!</v>
      </c>
      <c r="I56" s="60" t="e">
        <f ca="1">IF(B56="","",IFERROR(SUMIF(INDIRECT("'["&amp;Info!$B$5&amp;"]"&amp;Info!$B$6&amp;"'!"&amp;Info!$B$9),B56,INDIRECT("'["&amp;Info!$B$5&amp;"]"&amp;Info!$B$6&amp;"'!"&amp;Info!$B$13))/COUNTIF(INDIRECT("'["&amp;Info!$B$5&amp;"]"&amp;Info!$B$6&amp;"'!"&amp;Info!$B$9),B56),D56))</f>
        <v>#N/A</v>
      </c>
    </row>
    <row r="57" spans="1:9" x14ac:dyDescent="0.25">
      <c r="A57" s="64" t="str">
        <f>IF(B57="","", Info!$B$2)</f>
        <v>DVN-FP3330-180404</v>
      </c>
      <c r="B57" s="8" t="s">
        <v>36</v>
      </c>
      <c r="C57" s="56" t="e">
        <f>IF(B57="","",IFERROR(VLOOKUP(B57,Reel!$E$3:$F$1013,2,0),VLOOKUP(B57,Ring!$E$3:$F$1000,2,0)))</f>
        <v>#N/A</v>
      </c>
      <c r="D57" s="60" t="e">
        <f>IF(C57="","",IFERROR(VLOOKUP(C57,Reel!$F$2:$H$1013,3,0),VLOOKUP(C57,Ring!$F$3:$H$1000,3,0)))</f>
        <v>#N/A</v>
      </c>
      <c r="E57" s="58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$17,INDIRECT("'["&amp;Info!$B$5&amp;"]"&amp;Info!$B$6&amp;"'!"&amp;Info!$B$15),"&lt;="&amp;Info!$B$18))</f>
        <v>#REF!</v>
      </c>
      <c r="F57" s="58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$20,INDIRECT("'["&amp;Info!$B$5&amp;"]"&amp;Info!$B$6&amp;"'!"&amp;Info!$B$15),"&lt;="&amp;Info!$B$21))</f>
        <v>#REF!</v>
      </c>
      <c r="G57" s="51" t="e">
        <f ca="1">IF(B57="","",SUMIFS(INDIRECT("'["&amp;Info!$B$5&amp;"]"&amp;Info!$B$6&amp;"'!"&amp;Info!$B$11),INDIRECT("'["&amp;Info!$B$5&amp;"]"&amp;Info!$B$6&amp;"'!"&amp;Info!$B$9),B57,INDIRECT("'["&amp;Info!$B$5&amp;"]"&amp;Info!$B$6&amp;"'!"&amp;Info!$B$15),"&gt;="&amp;Info!$B$23,INDIRECT("'["&amp;Info!$B$5&amp;"]"&amp;Info!$B$6&amp;"'!"&amp;Info!$B$15),"&lt;="&amp;Info!$B$24))</f>
        <v>#REF!</v>
      </c>
      <c r="H57" s="51" t="e">
        <f t="shared" ca="1" si="1"/>
        <v>#REF!</v>
      </c>
      <c r="I57" s="60" t="e">
        <f ca="1">IF(B57="","",IFERROR(SUMIF(INDIRECT("'["&amp;Info!$B$5&amp;"]"&amp;Info!$B$6&amp;"'!"&amp;Info!$B$9),B57,INDIRECT("'["&amp;Info!$B$5&amp;"]"&amp;Info!$B$6&amp;"'!"&amp;Info!$B$13))/COUNTIF(INDIRECT("'["&amp;Info!$B$5&amp;"]"&amp;Info!$B$6&amp;"'!"&amp;Info!$B$9),B57),D57))</f>
        <v>#N/A</v>
      </c>
    </row>
    <row r="58" spans="1:9" x14ac:dyDescent="0.25">
      <c r="A58" s="64" t="str">
        <f>IF(B58="","", Info!$B$2)</f>
        <v>DVN-FP3330-180404</v>
      </c>
      <c r="B58" s="8" t="s">
        <v>222</v>
      </c>
      <c r="C58" s="56" t="e">
        <f>IF(B58="","",IFERROR(VLOOKUP(B58,Reel!$E$3:$F$1013,2,0),VLOOKUP(B58,Ring!$E$3:$F$1000,2,0)))</f>
        <v>#N/A</v>
      </c>
      <c r="D58" s="60" t="e">
        <f>IF(C58="","",IFERROR(VLOOKUP(C58,Reel!$F$2:$H$1013,3,0),VLOOKUP(C58,Ring!$F$3:$H$1000,3,0)))</f>
        <v>#N/A</v>
      </c>
      <c r="E58" s="58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$17,INDIRECT("'["&amp;Info!$B$5&amp;"]"&amp;Info!$B$6&amp;"'!"&amp;Info!$B$15),"&lt;="&amp;Info!$B$18))</f>
        <v>#REF!</v>
      </c>
      <c r="F58" s="58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$20,INDIRECT("'["&amp;Info!$B$5&amp;"]"&amp;Info!$B$6&amp;"'!"&amp;Info!$B$15),"&lt;="&amp;Info!$B$21))</f>
        <v>#REF!</v>
      </c>
      <c r="G58" s="51" t="e">
        <f ca="1">IF(B58="","",SUMIFS(INDIRECT("'["&amp;Info!$B$5&amp;"]"&amp;Info!$B$6&amp;"'!"&amp;Info!$B$11),INDIRECT("'["&amp;Info!$B$5&amp;"]"&amp;Info!$B$6&amp;"'!"&amp;Info!$B$9),B58,INDIRECT("'["&amp;Info!$B$5&amp;"]"&amp;Info!$B$6&amp;"'!"&amp;Info!$B$15),"&gt;="&amp;Info!$B$23,INDIRECT("'["&amp;Info!$B$5&amp;"]"&amp;Info!$B$6&amp;"'!"&amp;Info!$B$15),"&lt;="&amp;Info!$B$24))</f>
        <v>#REF!</v>
      </c>
      <c r="H58" s="51" t="e">
        <f t="shared" ca="1" si="1"/>
        <v>#REF!</v>
      </c>
      <c r="I58" s="60" t="e">
        <f ca="1">IF(B58="","",IFERROR(SUMIF(INDIRECT("'["&amp;Info!$B$5&amp;"]"&amp;Info!$B$6&amp;"'!"&amp;Info!$B$9),B58,INDIRECT("'["&amp;Info!$B$5&amp;"]"&amp;Info!$B$6&amp;"'!"&amp;Info!$B$13))/COUNTIF(INDIRECT("'["&amp;Info!$B$5&amp;"]"&amp;Info!$B$6&amp;"'!"&amp;Info!$B$9),B58),D58))</f>
        <v>#N/A</v>
      </c>
    </row>
    <row r="59" spans="1:9" x14ac:dyDescent="0.25">
      <c r="A59" s="64" t="str">
        <f>IF(B59="","", Info!$B$2)</f>
        <v>DVN-FP3330-180404</v>
      </c>
      <c r="B59" s="8" t="s">
        <v>37</v>
      </c>
      <c r="C59" s="56" t="e">
        <f>IF(B59="","",IFERROR(VLOOKUP(B59,Reel!$E$3:$F$1013,2,0),VLOOKUP(B59,Ring!$E$3:$F$1000,2,0)))</f>
        <v>#N/A</v>
      </c>
      <c r="D59" s="60" t="e">
        <f>IF(C59="","",IFERROR(VLOOKUP(C59,Reel!$F$2:$H$1013,3,0),VLOOKUP(C59,Ring!$F$3:$H$1000,3,0)))</f>
        <v>#N/A</v>
      </c>
      <c r="E59" s="58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$17,INDIRECT("'["&amp;Info!$B$5&amp;"]"&amp;Info!$B$6&amp;"'!"&amp;Info!$B$15),"&lt;="&amp;Info!$B$18))</f>
        <v>#REF!</v>
      </c>
      <c r="F59" s="58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$20,INDIRECT("'["&amp;Info!$B$5&amp;"]"&amp;Info!$B$6&amp;"'!"&amp;Info!$B$15),"&lt;="&amp;Info!$B$21))</f>
        <v>#REF!</v>
      </c>
      <c r="G59" s="51" t="e">
        <f ca="1">IF(B59="","",SUMIFS(INDIRECT("'["&amp;Info!$B$5&amp;"]"&amp;Info!$B$6&amp;"'!"&amp;Info!$B$11),INDIRECT("'["&amp;Info!$B$5&amp;"]"&amp;Info!$B$6&amp;"'!"&amp;Info!$B$9),B59,INDIRECT("'["&amp;Info!$B$5&amp;"]"&amp;Info!$B$6&amp;"'!"&amp;Info!$B$15),"&gt;="&amp;Info!$B$23,INDIRECT("'["&amp;Info!$B$5&amp;"]"&amp;Info!$B$6&amp;"'!"&amp;Info!$B$15),"&lt;="&amp;Info!$B$24))</f>
        <v>#REF!</v>
      </c>
      <c r="H59" s="51" t="e">
        <f t="shared" ca="1" si="1"/>
        <v>#REF!</v>
      </c>
      <c r="I59" s="60" t="e">
        <f ca="1">IF(B59="","",IFERROR(SUMIF(INDIRECT("'["&amp;Info!$B$5&amp;"]"&amp;Info!$B$6&amp;"'!"&amp;Info!$B$9),B59,INDIRECT("'["&amp;Info!$B$5&amp;"]"&amp;Info!$B$6&amp;"'!"&amp;Info!$B$13))/COUNTIF(INDIRECT("'["&amp;Info!$B$5&amp;"]"&amp;Info!$B$6&amp;"'!"&amp;Info!$B$9),B59),D59))</f>
        <v>#N/A</v>
      </c>
    </row>
    <row r="60" spans="1:9" x14ac:dyDescent="0.25">
      <c r="A60" s="64" t="str">
        <f>IF(B60="","", Info!$B$2)</f>
        <v>DVN-FP3330-180404</v>
      </c>
      <c r="B60" s="8" t="s">
        <v>38</v>
      </c>
      <c r="C60" s="56" t="e">
        <f>IF(B60="","",IFERROR(VLOOKUP(B60,Reel!$E$3:$F$1013,2,0),VLOOKUP(B60,Ring!$E$3:$F$1000,2,0)))</f>
        <v>#N/A</v>
      </c>
      <c r="D60" s="60" t="e">
        <f>IF(C60="","",IFERROR(VLOOKUP(C60,Reel!$F$2:$H$1013,3,0),VLOOKUP(C60,Ring!$F$3:$H$1000,3,0)))</f>
        <v>#N/A</v>
      </c>
      <c r="E60" s="58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$17,INDIRECT("'["&amp;Info!$B$5&amp;"]"&amp;Info!$B$6&amp;"'!"&amp;Info!$B$15),"&lt;="&amp;Info!$B$18))</f>
        <v>#REF!</v>
      </c>
      <c r="F60" s="58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$20,INDIRECT("'["&amp;Info!$B$5&amp;"]"&amp;Info!$B$6&amp;"'!"&amp;Info!$B$15),"&lt;="&amp;Info!$B$21))</f>
        <v>#REF!</v>
      </c>
      <c r="G60" s="51" t="e">
        <f ca="1">IF(B60="","",SUMIFS(INDIRECT("'["&amp;Info!$B$5&amp;"]"&amp;Info!$B$6&amp;"'!"&amp;Info!$B$11),INDIRECT("'["&amp;Info!$B$5&amp;"]"&amp;Info!$B$6&amp;"'!"&amp;Info!$B$9),B60,INDIRECT("'["&amp;Info!$B$5&amp;"]"&amp;Info!$B$6&amp;"'!"&amp;Info!$B$15),"&gt;="&amp;Info!$B$23,INDIRECT("'["&amp;Info!$B$5&amp;"]"&amp;Info!$B$6&amp;"'!"&amp;Info!$B$15),"&lt;="&amp;Info!$B$24))</f>
        <v>#REF!</v>
      </c>
      <c r="H60" s="51" t="e">
        <f t="shared" ca="1" si="1"/>
        <v>#REF!</v>
      </c>
      <c r="I60" s="60" t="e">
        <f ca="1">IF(B60="","",IFERROR(SUMIF(INDIRECT("'["&amp;Info!$B$5&amp;"]"&amp;Info!$B$6&amp;"'!"&amp;Info!$B$9),B60,INDIRECT("'["&amp;Info!$B$5&amp;"]"&amp;Info!$B$6&amp;"'!"&amp;Info!$B$13))/COUNTIF(INDIRECT("'["&amp;Info!$B$5&amp;"]"&amp;Info!$B$6&amp;"'!"&amp;Info!$B$9),B60),D60))</f>
        <v>#N/A</v>
      </c>
    </row>
    <row r="61" spans="1:9" x14ac:dyDescent="0.25">
      <c r="A61" s="64" t="str">
        <f>IF(B61="","", Info!$B$2)</f>
        <v>DVN-FP3330-180404</v>
      </c>
      <c r="B61" s="8" t="s">
        <v>39</v>
      </c>
      <c r="C61" s="56" t="e">
        <f>IF(B61="","",IFERROR(VLOOKUP(B61,Reel!$E$3:$F$1013,2,0),VLOOKUP(B61,Ring!$E$3:$F$1000,2,0)))</f>
        <v>#N/A</v>
      </c>
      <c r="D61" s="60" t="e">
        <f>IF(C61="","",IFERROR(VLOOKUP(C61,Reel!$F$2:$H$1013,3,0),VLOOKUP(C61,Ring!$F$3:$H$1000,3,0)))</f>
        <v>#N/A</v>
      </c>
      <c r="E61" s="58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$17,INDIRECT("'["&amp;Info!$B$5&amp;"]"&amp;Info!$B$6&amp;"'!"&amp;Info!$B$15),"&lt;="&amp;Info!$B$18))</f>
        <v>#REF!</v>
      </c>
      <c r="F61" s="58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$20,INDIRECT("'["&amp;Info!$B$5&amp;"]"&amp;Info!$B$6&amp;"'!"&amp;Info!$B$15),"&lt;="&amp;Info!$B$21))</f>
        <v>#REF!</v>
      </c>
      <c r="G61" s="51" t="e">
        <f ca="1">IF(B61="","",SUMIFS(INDIRECT("'["&amp;Info!$B$5&amp;"]"&amp;Info!$B$6&amp;"'!"&amp;Info!$B$11),INDIRECT("'["&amp;Info!$B$5&amp;"]"&amp;Info!$B$6&amp;"'!"&amp;Info!$B$9),B61,INDIRECT("'["&amp;Info!$B$5&amp;"]"&amp;Info!$B$6&amp;"'!"&amp;Info!$B$15),"&gt;="&amp;Info!$B$23,INDIRECT("'["&amp;Info!$B$5&amp;"]"&amp;Info!$B$6&amp;"'!"&amp;Info!$B$15),"&lt;="&amp;Info!$B$24))</f>
        <v>#REF!</v>
      </c>
      <c r="H61" s="51" t="e">
        <f t="shared" ca="1" si="1"/>
        <v>#REF!</v>
      </c>
      <c r="I61" s="60" t="e">
        <f ca="1">IF(B61="","",IFERROR(SUMIF(INDIRECT("'["&amp;Info!$B$5&amp;"]"&amp;Info!$B$6&amp;"'!"&amp;Info!$B$9),B61,INDIRECT("'["&amp;Info!$B$5&amp;"]"&amp;Info!$B$6&amp;"'!"&amp;Info!$B$13))/COUNTIF(INDIRECT("'["&amp;Info!$B$5&amp;"]"&amp;Info!$B$6&amp;"'!"&amp;Info!$B$9),B61),D61))</f>
        <v>#N/A</v>
      </c>
    </row>
    <row r="62" spans="1:9" x14ac:dyDescent="0.25">
      <c r="A62" s="64" t="str">
        <f>IF(B62="","", Info!$B$2)</f>
        <v>DVN-FP3330-180404</v>
      </c>
      <c r="B62" s="8" t="s">
        <v>40</v>
      </c>
      <c r="C62" s="56" t="e">
        <f>IF(B62="","",IFERROR(VLOOKUP(B62,Reel!$E$3:$F$1013,2,0),VLOOKUP(B62,Ring!$E$3:$F$1000,2,0)))</f>
        <v>#N/A</v>
      </c>
      <c r="D62" s="60" t="e">
        <f>IF(C62="","",IFERROR(VLOOKUP(C62,Reel!$F$2:$H$1013,3,0),VLOOKUP(C62,Ring!$F$3:$H$1000,3,0)))</f>
        <v>#N/A</v>
      </c>
      <c r="E62" s="58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$17,INDIRECT("'["&amp;Info!$B$5&amp;"]"&amp;Info!$B$6&amp;"'!"&amp;Info!$B$15),"&lt;="&amp;Info!$B$18))</f>
        <v>#REF!</v>
      </c>
      <c r="F62" s="58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$20,INDIRECT("'["&amp;Info!$B$5&amp;"]"&amp;Info!$B$6&amp;"'!"&amp;Info!$B$15),"&lt;="&amp;Info!$B$21))</f>
        <v>#REF!</v>
      </c>
      <c r="G62" s="51" t="e">
        <f ca="1">IF(B62="","",SUMIFS(INDIRECT("'["&amp;Info!$B$5&amp;"]"&amp;Info!$B$6&amp;"'!"&amp;Info!$B$11),INDIRECT("'["&amp;Info!$B$5&amp;"]"&amp;Info!$B$6&amp;"'!"&amp;Info!$B$9),B62,INDIRECT("'["&amp;Info!$B$5&amp;"]"&amp;Info!$B$6&amp;"'!"&amp;Info!$B$15),"&gt;="&amp;Info!$B$23,INDIRECT("'["&amp;Info!$B$5&amp;"]"&amp;Info!$B$6&amp;"'!"&amp;Info!$B$15),"&lt;="&amp;Info!$B$24))</f>
        <v>#REF!</v>
      </c>
      <c r="H62" s="51" t="e">
        <f t="shared" ca="1" si="1"/>
        <v>#REF!</v>
      </c>
      <c r="I62" s="60" t="e">
        <f ca="1">IF(B62="","",IFERROR(SUMIF(INDIRECT("'["&amp;Info!$B$5&amp;"]"&amp;Info!$B$6&amp;"'!"&amp;Info!$B$9),B62,INDIRECT("'["&amp;Info!$B$5&amp;"]"&amp;Info!$B$6&amp;"'!"&amp;Info!$B$13))/COUNTIF(INDIRECT("'["&amp;Info!$B$5&amp;"]"&amp;Info!$B$6&amp;"'!"&amp;Info!$B$9),B62),D62))</f>
        <v>#N/A</v>
      </c>
    </row>
    <row r="63" spans="1:9" x14ac:dyDescent="0.25">
      <c r="A63" s="64" t="str">
        <f>IF(B63="","", Info!$B$2)</f>
        <v>DVN-FP3330-180404</v>
      </c>
      <c r="B63" s="8" t="s">
        <v>41</v>
      </c>
      <c r="C63" s="56" t="e">
        <f>IF(B63="","",IFERROR(VLOOKUP(B63,Reel!$E$3:$F$1013,2,0),VLOOKUP(B63,Ring!$E$3:$F$1000,2,0)))</f>
        <v>#N/A</v>
      </c>
      <c r="D63" s="60" t="e">
        <f>IF(C63="","",IFERROR(VLOOKUP(C63,Reel!$F$2:$H$1013,3,0),VLOOKUP(C63,Ring!$F$3:$H$1000,3,0)))</f>
        <v>#N/A</v>
      </c>
      <c r="E63" s="58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$17,INDIRECT("'["&amp;Info!$B$5&amp;"]"&amp;Info!$B$6&amp;"'!"&amp;Info!$B$15),"&lt;="&amp;Info!$B$18))</f>
        <v>#REF!</v>
      </c>
      <c r="F63" s="58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$20,INDIRECT("'["&amp;Info!$B$5&amp;"]"&amp;Info!$B$6&amp;"'!"&amp;Info!$B$15),"&lt;="&amp;Info!$B$21))</f>
        <v>#REF!</v>
      </c>
      <c r="G63" s="51" t="e">
        <f ca="1">IF(B63="","",SUMIFS(INDIRECT("'["&amp;Info!$B$5&amp;"]"&amp;Info!$B$6&amp;"'!"&amp;Info!$B$11),INDIRECT("'["&amp;Info!$B$5&amp;"]"&amp;Info!$B$6&amp;"'!"&amp;Info!$B$9),B63,INDIRECT("'["&amp;Info!$B$5&amp;"]"&amp;Info!$B$6&amp;"'!"&amp;Info!$B$15),"&gt;="&amp;Info!$B$23,INDIRECT("'["&amp;Info!$B$5&amp;"]"&amp;Info!$B$6&amp;"'!"&amp;Info!$B$15),"&lt;="&amp;Info!$B$24))</f>
        <v>#REF!</v>
      </c>
      <c r="H63" s="51" t="e">
        <f t="shared" ca="1" si="1"/>
        <v>#REF!</v>
      </c>
      <c r="I63" s="60" t="e">
        <f ca="1">IF(B63="","",IFERROR(SUMIF(INDIRECT("'["&amp;Info!$B$5&amp;"]"&amp;Info!$B$6&amp;"'!"&amp;Info!$B$9),B63,INDIRECT("'["&amp;Info!$B$5&amp;"]"&amp;Info!$B$6&amp;"'!"&amp;Info!$B$13))/COUNTIF(INDIRECT("'["&amp;Info!$B$5&amp;"]"&amp;Info!$B$6&amp;"'!"&amp;Info!$B$9),B63),D63))</f>
        <v>#N/A</v>
      </c>
    </row>
    <row r="64" spans="1:9" x14ac:dyDescent="0.25">
      <c r="A64" s="64" t="str">
        <f>IF(B64="","", Info!$B$2)</f>
        <v>DVN-FP3330-180404</v>
      </c>
      <c r="B64" s="8" t="s">
        <v>42</v>
      </c>
      <c r="C64" s="56" t="e">
        <f>IF(B64="","",IFERROR(VLOOKUP(B64,Reel!$E$3:$F$1013,2,0),VLOOKUP(B64,Ring!$E$3:$F$1000,2,0)))</f>
        <v>#N/A</v>
      </c>
      <c r="D64" s="60" t="e">
        <f>IF(C64="","",IFERROR(VLOOKUP(C64,Reel!$F$2:$H$1013,3,0),VLOOKUP(C64,Ring!$F$3:$H$1000,3,0)))</f>
        <v>#N/A</v>
      </c>
      <c r="E64" s="58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$17,INDIRECT("'["&amp;Info!$B$5&amp;"]"&amp;Info!$B$6&amp;"'!"&amp;Info!$B$15),"&lt;="&amp;Info!$B$18))</f>
        <v>#REF!</v>
      </c>
      <c r="F64" s="58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$20,INDIRECT("'["&amp;Info!$B$5&amp;"]"&amp;Info!$B$6&amp;"'!"&amp;Info!$B$15),"&lt;="&amp;Info!$B$21))</f>
        <v>#REF!</v>
      </c>
      <c r="G64" s="51" t="e">
        <f ca="1">IF(B64="","",SUMIFS(INDIRECT("'["&amp;Info!$B$5&amp;"]"&amp;Info!$B$6&amp;"'!"&amp;Info!$B$11),INDIRECT("'["&amp;Info!$B$5&amp;"]"&amp;Info!$B$6&amp;"'!"&amp;Info!$B$9),B64,INDIRECT("'["&amp;Info!$B$5&amp;"]"&amp;Info!$B$6&amp;"'!"&amp;Info!$B$15),"&gt;="&amp;Info!$B$23,INDIRECT("'["&amp;Info!$B$5&amp;"]"&amp;Info!$B$6&amp;"'!"&amp;Info!$B$15),"&lt;="&amp;Info!$B$24))</f>
        <v>#REF!</v>
      </c>
      <c r="H64" s="51" t="e">
        <f t="shared" ca="1" si="1"/>
        <v>#REF!</v>
      </c>
      <c r="I64" s="60" t="e">
        <f ca="1">IF(B64="","",IFERROR(SUMIF(INDIRECT("'["&amp;Info!$B$5&amp;"]"&amp;Info!$B$6&amp;"'!"&amp;Info!$B$9),B64,INDIRECT("'["&amp;Info!$B$5&amp;"]"&amp;Info!$B$6&amp;"'!"&amp;Info!$B$13))/COUNTIF(INDIRECT("'["&amp;Info!$B$5&amp;"]"&amp;Info!$B$6&amp;"'!"&amp;Info!$B$9),B64),D64))</f>
        <v>#N/A</v>
      </c>
    </row>
    <row r="65" spans="1:9" x14ac:dyDescent="0.25">
      <c r="A65" s="64" t="str">
        <f>IF(B65="","", Info!$B$2)</f>
        <v>DVN-FP3330-180404</v>
      </c>
      <c r="B65" s="8" t="s">
        <v>43</v>
      </c>
      <c r="C65" s="56" t="e">
        <f>IF(B65="","",IFERROR(VLOOKUP(B65,Reel!$E$3:$F$1013,2,0),VLOOKUP(B65,Ring!$E$3:$F$1000,2,0)))</f>
        <v>#N/A</v>
      </c>
      <c r="D65" s="60" t="e">
        <f>IF(C65="","",IFERROR(VLOOKUP(C65,Reel!$F$2:$H$1013,3,0),VLOOKUP(C65,Ring!$F$3:$H$1000,3,0)))</f>
        <v>#N/A</v>
      </c>
      <c r="E65" s="58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$17,INDIRECT("'["&amp;Info!$B$5&amp;"]"&amp;Info!$B$6&amp;"'!"&amp;Info!$B$15),"&lt;="&amp;Info!$B$18))</f>
        <v>#REF!</v>
      </c>
      <c r="F65" s="58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$20,INDIRECT("'["&amp;Info!$B$5&amp;"]"&amp;Info!$B$6&amp;"'!"&amp;Info!$B$15),"&lt;="&amp;Info!$B$21))</f>
        <v>#REF!</v>
      </c>
      <c r="G65" s="51" t="e">
        <f ca="1">IF(B65="","",SUMIFS(INDIRECT("'["&amp;Info!$B$5&amp;"]"&amp;Info!$B$6&amp;"'!"&amp;Info!$B$11),INDIRECT("'["&amp;Info!$B$5&amp;"]"&amp;Info!$B$6&amp;"'!"&amp;Info!$B$9),B65,INDIRECT("'["&amp;Info!$B$5&amp;"]"&amp;Info!$B$6&amp;"'!"&amp;Info!$B$15),"&gt;="&amp;Info!$B$23,INDIRECT("'["&amp;Info!$B$5&amp;"]"&amp;Info!$B$6&amp;"'!"&amp;Info!$B$15),"&lt;="&amp;Info!$B$24))</f>
        <v>#REF!</v>
      </c>
      <c r="H65" s="51" t="e">
        <f t="shared" ca="1" si="1"/>
        <v>#REF!</v>
      </c>
      <c r="I65" s="60" t="e">
        <f ca="1">IF(B65="","",IFERROR(SUMIF(INDIRECT("'["&amp;Info!$B$5&amp;"]"&amp;Info!$B$6&amp;"'!"&amp;Info!$B$9),B65,INDIRECT("'["&amp;Info!$B$5&amp;"]"&amp;Info!$B$6&amp;"'!"&amp;Info!$B$13))/COUNTIF(INDIRECT("'["&amp;Info!$B$5&amp;"]"&amp;Info!$B$6&amp;"'!"&amp;Info!$B$9),B65),D65))</f>
        <v>#N/A</v>
      </c>
    </row>
    <row r="66" spans="1:9" x14ac:dyDescent="0.25">
      <c r="A66" s="64" t="str">
        <f>IF(B66="","", Info!$B$2)</f>
        <v>DVN-FP3330-180404</v>
      </c>
      <c r="B66" s="8" t="s">
        <v>44</v>
      </c>
      <c r="C66" s="56" t="e">
        <f>IF(B66="","",IFERROR(VLOOKUP(B66,Reel!$E$3:$F$1013,2,0),VLOOKUP(B66,Ring!$E$3:$F$1000,2,0)))</f>
        <v>#N/A</v>
      </c>
      <c r="D66" s="60" t="e">
        <f>IF(C66="","",IFERROR(VLOOKUP(C66,Reel!$F$2:$H$1013,3,0),VLOOKUP(C66,Ring!$F$3:$H$1000,3,0)))</f>
        <v>#N/A</v>
      </c>
      <c r="E66" s="58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$17,INDIRECT("'["&amp;Info!$B$5&amp;"]"&amp;Info!$B$6&amp;"'!"&amp;Info!$B$15),"&lt;="&amp;Info!$B$18))</f>
        <v>#REF!</v>
      </c>
      <c r="F66" s="58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$20,INDIRECT("'["&amp;Info!$B$5&amp;"]"&amp;Info!$B$6&amp;"'!"&amp;Info!$B$15),"&lt;="&amp;Info!$B$21))</f>
        <v>#REF!</v>
      </c>
      <c r="G66" s="51" t="e">
        <f ca="1">IF(B66="","",SUMIFS(INDIRECT("'["&amp;Info!$B$5&amp;"]"&amp;Info!$B$6&amp;"'!"&amp;Info!$B$11),INDIRECT("'["&amp;Info!$B$5&amp;"]"&amp;Info!$B$6&amp;"'!"&amp;Info!$B$9),B66,INDIRECT("'["&amp;Info!$B$5&amp;"]"&amp;Info!$B$6&amp;"'!"&amp;Info!$B$15),"&gt;="&amp;Info!$B$23,INDIRECT("'["&amp;Info!$B$5&amp;"]"&amp;Info!$B$6&amp;"'!"&amp;Info!$B$15),"&lt;="&amp;Info!$B$24))</f>
        <v>#REF!</v>
      </c>
      <c r="H66" s="51" t="e">
        <f t="shared" ca="1" si="1"/>
        <v>#REF!</v>
      </c>
      <c r="I66" s="60" t="e">
        <f ca="1">IF(B66="","",IFERROR(SUMIF(INDIRECT("'["&amp;Info!$B$5&amp;"]"&amp;Info!$B$6&amp;"'!"&amp;Info!$B$9),B66,INDIRECT("'["&amp;Info!$B$5&amp;"]"&amp;Info!$B$6&amp;"'!"&amp;Info!$B$13))/COUNTIF(INDIRECT("'["&amp;Info!$B$5&amp;"]"&amp;Info!$B$6&amp;"'!"&amp;Info!$B$9),B66),D66))</f>
        <v>#N/A</v>
      </c>
    </row>
    <row r="67" spans="1:9" x14ac:dyDescent="0.25">
      <c r="A67" s="64" t="str">
        <f>IF(B67="","", Info!$B$2)</f>
        <v>DVN-FP3330-180404</v>
      </c>
      <c r="B67" s="8" t="s">
        <v>45</v>
      </c>
      <c r="C67" s="56" t="e">
        <f>IF(B67="","",IFERROR(VLOOKUP(B67,Reel!$E$3:$F$1013,2,0),VLOOKUP(B67,Ring!$E$3:$F$1000,2,0)))</f>
        <v>#N/A</v>
      </c>
      <c r="D67" s="60" t="e">
        <f>IF(C67="","",IFERROR(VLOOKUP(C67,Reel!$F$2:$H$1013,3,0),VLOOKUP(C67,Ring!$F$3:$H$1000,3,0)))</f>
        <v>#N/A</v>
      </c>
      <c r="E67" s="58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$17,INDIRECT("'["&amp;Info!$B$5&amp;"]"&amp;Info!$B$6&amp;"'!"&amp;Info!$B$15),"&lt;="&amp;Info!$B$18))</f>
        <v>#REF!</v>
      </c>
      <c r="F67" s="58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$20,INDIRECT("'["&amp;Info!$B$5&amp;"]"&amp;Info!$B$6&amp;"'!"&amp;Info!$B$15),"&lt;="&amp;Info!$B$21))</f>
        <v>#REF!</v>
      </c>
      <c r="G67" s="51" t="e">
        <f ca="1">IF(B67="","",SUMIFS(INDIRECT("'["&amp;Info!$B$5&amp;"]"&amp;Info!$B$6&amp;"'!"&amp;Info!$B$11),INDIRECT("'["&amp;Info!$B$5&amp;"]"&amp;Info!$B$6&amp;"'!"&amp;Info!$B$9),B67,INDIRECT("'["&amp;Info!$B$5&amp;"]"&amp;Info!$B$6&amp;"'!"&amp;Info!$B$15),"&gt;="&amp;Info!$B$23,INDIRECT("'["&amp;Info!$B$5&amp;"]"&amp;Info!$B$6&amp;"'!"&amp;Info!$B$15),"&lt;="&amp;Info!$B$24))</f>
        <v>#REF!</v>
      </c>
      <c r="H67" s="51" t="e">
        <f t="shared" ca="1" si="1"/>
        <v>#REF!</v>
      </c>
      <c r="I67" s="60" t="e">
        <f ca="1">IF(B67="","",IFERROR(SUMIF(INDIRECT("'["&amp;Info!$B$5&amp;"]"&amp;Info!$B$6&amp;"'!"&amp;Info!$B$9),B67,INDIRECT("'["&amp;Info!$B$5&amp;"]"&amp;Info!$B$6&amp;"'!"&amp;Info!$B$13))/COUNTIF(INDIRECT("'["&amp;Info!$B$5&amp;"]"&amp;Info!$B$6&amp;"'!"&amp;Info!$B$9),B67),D67))</f>
        <v>#N/A</v>
      </c>
    </row>
    <row r="68" spans="1:9" x14ac:dyDescent="0.25">
      <c r="A68" s="64" t="str">
        <f>IF(B68="","", Info!$B$2)</f>
        <v>DVN-FP3330-180404</v>
      </c>
      <c r="B68" s="8" t="s">
        <v>46</v>
      </c>
      <c r="C68" s="56" t="e">
        <f>IF(B68="","",IFERROR(VLOOKUP(B68,Reel!$E$3:$F$1013,2,0),VLOOKUP(B68,Ring!$E$3:$F$1000,2,0)))</f>
        <v>#N/A</v>
      </c>
      <c r="D68" s="60" t="e">
        <f>IF(C68="","",IFERROR(VLOOKUP(C68,Reel!$F$2:$H$1013,3,0),VLOOKUP(C68,Ring!$F$3:$H$1000,3,0)))</f>
        <v>#N/A</v>
      </c>
      <c r="E68" s="58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$17,INDIRECT("'["&amp;Info!$B$5&amp;"]"&amp;Info!$B$6&amp;"'!"&amp;Info!$B$15),"&lt;="&amp;Info!$B$18))</f>
        <v>#REF!</v>
      </c>
      <c r="F68" s="58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$20,INDIRECT("'["&amp;Info!$B$5&amp;"]"&amp;Info!$B$6&amp;"'!"&amp;Info!$B$15),"&lt;="&amp;Info!$B$21))</f>
        <v>#REF!</v>
      </c>
      <c r="G68" s="51" t="e">
        <f ca="1">IF(B68="","",SUMIFS(INDIRECT("'["&amp;Info!$B$5&amp;"]"&amp;Info!$B$6&amp;"'!"&amp;Info!$B$11),INDIRECT("'["&amp;Info!$B$5&amp;"]"&amp;Info!$B$6&amp;"'!"&amp;Info!$B$9),B68,INDIRECT("'["&amp;Info!$B$5&amp;"]"&amp;Info!$B$6&amp;"'!"&amp;Info!$B$15),"&gt;="&amp;Info!$B$23,INDIRECT("'["&amp;Info!$B$5&amp;"]"&amp;Info!$B$6&amp;"'!"&amp;Info!$B$15),"&lt;="&amp;Info!$B$24))</f>
        <v>#REF!</v>
      </c>
      <c r="H68" s="51" t="e">
        <f t="shared" ca="1" si="1"/>
        <v>#REF!</v>
      </c>
      <c r="I68" s="60" t="e">
        <f ca="1">IF(B68="","",IFERROR(SUMIF(INDIRECT("'["&amp;Info!$B$5&amp;"]"&amp;Info!$B$6&amp;"'!"&amp;Info!$B$9),B68,INDIRECT("'["&amp;Info!$B$5&amp;"]"&amp;Info!$B$6&amp;"'!"&amp;Info!$B$13))/COUNTIF(INDIRECT("'["&amp;Info!$B$5&amp;"]"&amp;Info!$B$6&amp;"'!"&amp;Info!$B$9),B68),D68))</f>
        <v>#N/A</v>
      </c>
    </row>
    <row r="69" spans="1:9" x14ac:dyDescent="0.25">
      <c r="A69" s="64" t="str">
        <f>IF(B69="","", Info!$B$2)</f>
        <v>DVN-FP3330-180404</v>
      </c>
      <c r="B69" s="8" t="s">
        <v>47</v>
      </c>
      <c r="C69" s="56" t="e">
        <f>IF(B69="","",IFERROR(VLOOKUP(B69,Reel!$E$3:$F$1013,2,0),VLOOKUP(B69,Ring!$E$3:$F$1000,2,0)))</f>
        <v>#N/A</v>
      </c>
      <c r="D69" s="60" t="e">
        <f>IF(C69="","",IFERROR(VLOOKUP(C69,Reel!$F$2:$H$1013,3,0),VLOOKUP(C69,Ring!$F$3:$H$1000,3,0)))</f>
        <v>#N/A</v>
      </c>
      <c r="E69" s="58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$17,INDIRECT("'["&amp;Info!$B$5&amp;"]"&amp;Info!$B$6&amp;"'!"&amp;Info!$B$15),"&lt;="&amp;Info!$B$18))</f>
        <v>#REF!</v>
      </c>
      <c r="F69" s="58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$20,INDIRECT("'["&amp;Info!$B$5&amp;"]"&amp;Info!$B$6&amp;"'!"&amp;Info!$B$15),"&lt;="&amp;Info!$B$21))</f>
        <v>#REF!</v>
      </c>
      <c r="G69" s="51" t="e">
        <f ca="1">IF(B69="","",SUMIFS(INDIRECT("'["&amp;Info!$B$5&amp;"]"&amp;Info!$B$6&amp;"'!"&amp;Info!$B$11),INDIRECT("'["&amp;Info!$B$5&amp;"]"&amp;Info!$B$6&amp;"'!"&amp;Info!$B$9),B69,INDIRECT("'["&amp;Info!$B$5&amp;"]"&amp;Info!$B$6&amp;"'!"&amp;Info!$B$15),"&gt;="&amp;Info!$B$23,INDIRECT("'["&amp;Info!$B$5&amp;"]"&amp;Info!$B$6&amp;"'!"&amp;Info!$B$15),"&lt;="&amp;Info!$B$24))</f>
        <v>#REF!</v>
      </c>
      <c r="H69" s="51" t="e">
        <f t="shared" ca="1" si="1"/>
        <v>#REF!</v>
      </c>
      <c r="I69" s="60" t="e">
        <f ca="1">IF(B69="","",IFERROR(SUMIF(INDIRECT("'["&amp;Info!$B$5&amp;"]"&amp;Info!$B$6&amp;"'!"&amp;Info!$B$9),B69,INDIRECT("'["&amp;Info!$B$5&amp;"]"&amp;Info!$B$6&amp;"'!"&amp;Info!$B$13))/COUNTIF(INDIRECT("'["&amp;Info!$B$5&amp;"]"&amp;Info!$B$6&amp;"'!"&amp;Info!$B$9),B69),D69))</f>
        <v>#N/A</v>
      </c>
    </row>
    <row r="70" spans="1:9" x14ac:dyDescent="0.25">
      <c r="A70" s="64" t="str">
        <f>IF(B70="","", Info!$B$2)</f>
        <v>DVN-FP3330-180404</v>
      </c>
      <c r="B70" s="8" t="s">
        <v>48</v>
      </c>
      <c r="C70" s="56" t="e">
        <f>IF(B70="","",IFERROR(VLOOKUP(B70,Reel!$E$3:$F$1013,2,0),VLOOKUP(B70,Ring!$E$3:$F$1000,2,0)))</f>
        <v>#N/A</v>
      </c>
      <c r="D70" s="60" t="e">
        <f>IF(C70="","",IFERROR(VLOOKUP(C70,Reel!$F$2:$H$1013,3,0),VLOOKUP(C70,Ring!$F$3:$H$1000,3,0)))</f>
        <v>#N/A</v>
      </c>
      <c r="E70" s="58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$17,INDIRECT("'["&amp;Info!$B$5&amp;"]"&amp;Info!$B$6&amp;"'!"&amp;Info!$B$15),"&lt;="&amp;Info!$B$18))</f>
        <v>#REF!</v>
      </c>
      <c r="F70" s="58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$20,INDIRECT("'["&amp;Info!$B$5&amp;"]"&amp;Info!$B$6&amp;"'!"&amp;Info!$B$15),"&lt;="&amp;Info!$B$21))</f>
        <v>#REF!</v>
      </c>
      <c r="G70" s="51" t="e">
        <f ca="1">IF(B70="","",SUMIFS(INDIRECT("'["&amp;Info!$B$5&amp;"]"&amp;Info!$B$6&amp;"'!"&amp;Info!$B$11),INDIRECT("'["&amp;Info!$B$5&amp;"]"&amp;Info!$B$6&amp;"'!"&amp;Info!$B$9),B70,INDIRECT("'["&amp;Info!$B$5&amp;"]"&amp;Info!$B$6&amp;"'!"&amp;Info!$B$15),"&gt;="&amp;Info!$B$23,INDIRECT("'["&amp;Info!$B$5&amp;"]"&amp;Info!$B$6&amp;"'!"&amp;Info!$B$15),"&lt;="&amp;Info!$B$24))</f>
        <v>#REF!</v>
      </c>
      <c r="H70" s="51" t="e">
        <f t="shared" ca="1" si="1"/>
        <v>#REF!</v>
      </c>
      <c r="I70" s="60" t="e">
        <f ca="1">IF(B70="","",IFERROR(SUMIF(INDIRECT("'["&amp;Info!$B$5&amp;"]"&amp;Info!$B$6&amp;"'!"&amp;Info!$B$9),B70,INDIRECT("'["&amp;Info!$B$5&amp;"]"&amp;Info!$B$6&amp;"'!"&amp;Info!$B$13))/COUNTIF(INDIRECT("'["&amp;Info!$B$5&amp;"]"&amp;Info!$B$6&amp;"'!"&amp;Info!$B$9),B70),D70))</f>
        <v>#N/A</v>
      </c>
    </row>
    <row r="71" spans="1:9" x14ac:dyDescent="0.25">
      <c r="A71" s="64" t="str">
        <f>IF(B71="","", Info!$B$2)</f>
        <v>DVN-FP3330-180404</v>
      </c>
      <c r="B71" s="8" t="s">
        <v>49</v>
      </c>
      <c r="C71" s="56" t="e">
        <f>IF(B71="","",IFERROR(VLOOKUP(B71,Reel!$E$3:$F$1013,2,0),VLOOKUP(B71,Ring!$E$3:$F$1000,2,0)))</f>
        <v>#N/A</v>
      </c>
      <c r="D71" s="60" t="e">
        <f>IF(C71="","",IFERROR(VLOOKUP(C71,Reel!$F$2:$H$1013,3,0),VLOOKUP(C71,Ring!$F$3:$H$1000,3,0)))</f>
        <v>#N/A</v>
      </c>
      <c r="E71" s="58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$17,INDIRECT("'["&amp;Info!$B$5&amp;"]"&amp;Info!$B$6&amp;"'!"&amp;Info!$B$15),"&lt;="&amp;Info!$B$18))</f>
        <v>#REF!</v>
      </c>
      <c r="F71" s="58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$20,INDIRECT("'["&amp;Info!$B$5&amp;"]"&amp;Info!$B$6&amp;"'!"&amp;Info!$B$15),"&lt;="&amp;Info!$B$21))</f>
        <v>#REF!</v>
      </c>
      <c r="G71" s="51" t="e">
        <f ca="1">IF(B71="","",SUMIFS(INDIRECT("'["&amp;Info!$B$5&amp;"]"&amp;Info!$B$6&amp;"'!"&amp;Info!$B$11),INDIRECT("'["&amp;Info!$B$5&amp;"]"&amp;Info!$B$6&amp;"'!"&amp;Info!$B$9),B71,INDIRECT("'["&amp;Info!$B$5&amp;"]"&amp;Info!$B$6&amp;"'!"&amp;Info!$B$15),"&gt;="&amp;Info!$B$23,INDIRECT("'["&amp;Info!$B$5&amp;"]"&amp;Info!$B$6&amp;"'!"&amp;Info!$B$15),"&lt;="&amp;Info!$B$24))</f>
        <v>#REF!</v>
      </c>
      <c r="H71" s="51" t="e">
        <f t="shared" ca="1" si="1"/>
        <v>#REF!</v>
      </c>
      <c r="I71" s="60" t="e">
        <f ca="1">IF(B71="","",IFERROR(SUMIF(INDIRECT("'["&amp;Info!$B$5&amp;"]"&amp;Info!$B$6&amp;"'!"&amp;Info!$B$9),B71,INDIRECT("'["&amp;Info!$B$5&amp;"]"&amp;Info!$B$6&amp;"'!"&amp;Info!$B$13))/COUNTIF(INDIRECT("'["&amp;Info!$B$5&amp;"]"&amp;Info!$B$6&amp;"'!"&amp;Info!$B$9),B71),D71))</f>
        <v>#N/A</v>
      </c>
    </row>
    <row r="72" spans="1:9" x14ac:dyDescent="0.25">
      <c r="A72" s="64" t="str">
        <f>IF(B72="","", Info!$B$2)</f>
        <v>DVN-FP3330-180404</v>
      </c>
      <c r="B72" s="8" t="s">
        <v>50</v>
      </c>
      <c r="C72" s="56" t="e">
        <f>IF(B72="","",IFERROR(VLOOKUP(B72,Reel!$E$3:$F$1013,2,0),VLOOKUP(B72,Ring!$E$3:$F$1000,2,0)))</f>
        <v>#N/A</v>
      </c>
      <c r="D72" s="60" t="e">
        <f>IF(C72="","",IFERROR(VLOOKUP(C72,Reel!$F$2:$H$1013,3,0),VLOOKUP(C72,Ring!$F$3:$H$1000,3,0)))</f>
        <v>#N/A</v>
      </c>
      <c r="E72" s="58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$17,INDIRECT("'["&amp;Info!$B$5&amp;"]"&amp;Info!$B$6&amp;"'!"&amp;Info!$B$15),"&lt;="&amp;Info!$B$18))</f>
        <v>#REF!</v>
      </c>
      <c r="F72" s="58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$20,INDIRECT("'["&amp;Info!$B$5&amp;"]"&amp;Info!$B$6&amp;"'!"&amp;Info!$B$15),"&lt;="&amp;Info!$B$21))</f>
        <v>#REF!</v>
      </c>
      <c r="G72" s="51" t="e">
        <f ca="1">IF(B72="","",SUMIFS(INDIRECT("'["&amp;Info!$B$5&amp;"]"&amp;Info!$B$6&amp;"'!"&amp;Info!$B$11),INDIRECT("'["&amp;Info!$B$5&amp;"]"&amp;Info!$B$6&amp;"'!"&amp;Info!$B$9),B72,INDIRECT("'["&amp;Info!$B$5&amp;"]"&amp;Info!$B$6&amp;"'!"&amp;Info!$B$15),"&gt;="&amp;Info!$B$23,INDIRECT("'["&amp;Info!$B$5&amp;"]"&amp;Info!$B$6&amp;"'!"&amp;Info!$B$15),"&lt;="&amp;Info!$B$24))</f>
        <v>#REF!</v>
      </c>
      <c r="H72" s="51" t="e">
        <f t="shared" ca="1" si="1"/>
        <v>#REF!</v>
      </c>
      <c r="I72" s="60" t="e">
        <f ca="1">IF(B72="","",IFERROR(SUMIF(INDIRECT("'["&amp;Info!$B$5&amp;"]"&amp;Info!$B$6&amp;"'!"&amp;Info!$B$9),B72,INDIRECT("'["&amp;Info!$B$5&amp;"]"&amp;Info!$B$6&amp;"'!"&amp;Info!$B$13))/COUNTIF(INDIRECT("'["&amp;Info!$B$5&amp;"]"&amp;Info!$B$6&amp;"'!"&amp;Info!$B$9),B72),D72))</f>
        <v>#N/A</v>
      </c>
    </row>
    <row r="73" spans="1:9" x14ac:dyDescent="0.25">
      <c r="A73" s="64" t="str">
        <f>IF(B73="","", Info!$B$2)</f>
        <v>DVN-FP3330-180404</v>
      </c>
      <c r="B73" s="8" t="s">
        <v>51</v>
      </c>
      <c r="C73" s="56" t="e">
        <f>IF(B73="","",IFERROR(VLOOKUP(B73,Reel!$E$3:$F$1013,2,0),VLOOKUP(B73,Ring!$E$3:$F$1000,2,0)))</f>
        <v>#N/A</v>
      </c>
      <c r="D73" s="60" t="e">
        <f>IF(C73="","",IFERROR(VLOOKUP(C73,Reel!$F$2:$H$1013,3,0),VLOOKUP(C73,Ring!$F$3:$H$1000,3,0)))</f>
        <v>#N/A</v>
      </c>
      <c r="E73" s="58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$17,INDIRECT("'["&amp;Info!$B$5&amp;"]"&amp;Info!$B$6&amp;"'!"&amp;Info!$B$15),"&lt;="&amp;Info!$B$18))</f>
        <v>#REF!</v>
      </c>
      <c r="F73" s="58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$20,INDIRECT("'["&amp;Info!$B$5&amp;"]"&amp;Info!$B$6&amp;"'!"&amp;Info!$B$15),"&lt;="&amp;Info!$B$21))</f>
        <v>#REF!</v>
      </c>
      <c r="G73" s="51" t="e">
        <f ca="1">IF(B73="","",SUMIFS(INDIRECT("'["&amp;Info!$B$5&amp;"]"&amp;Info!$B$6&amp;"'!"&amp;Info!$B$11),INDIRECT("'["&amp;Info!$B$5&amp;"]"&amp;Info!$B$6&amp;"'!"&amp;Info!$B$9),B73,INDIRECT("'["&amp;Info!$B$5&amp;"]"&amp;Info!$B$6&amp;"'!"&amp;Info!$B$15),"&gt;="&amp;Info!$B$23,INDIRECT("'["&amp;Info!$B$5&amp;"]"&amp;Info!$B$6&amp;"'!"&amp;Info!$B$15),"&lt;="&amp;Info!$B$24))</f>
        <v>#REF!</v>
      </c>
      <c r="H73" s="51" t="e">
        <f t="shared" ref="H73:H104" ca="1" si="2">SUM(E73:G73)</f>
        <v>#REF!</v>
      </c>
      <c r="I73" s="60" t="e">
        <f ca="1">IF(B73="","",IFERROR(SUMIF(INDIRECT("'["&amp;Info!$B$5&amp;"]"&amp;Info!$B$6&amp;"'!"&amp;Info!$B$9),B73,INDIRECT("'["&amp;Info!$B$5&amp;"]"&amp;Info!$B$6&amp;"'!"&amp;Info!$B$13))/COUNTIF(INDIRECT("'["&amp;Info!$B$5&amp;"]"&amp;Info!$B$6&amp;"'!"&amp;Info!$B$9),B73),D73))</f>
        <v>#N/A</v>
      </c>
    </row>
    <row r="74" spans="1:9" x14ac:dyDescent="0.25">
      <c r="A74" s="64" t="str">
        <f>IF(B74="","", Info!$B$2)</f>
        <v>DVN-FP3330-180404</v>
      </c>
      <c r="B74" s="8" t="s">
        <v>52</v>
      </c>
      <c r="C74" s="56" t="e">
        <f>IF(B74="","",IFERROR(VLOOKUP(B74,Reel!$E$3:$F$1013,2,0),VLOOKUP(B74,Ring!$E$3:$F$1000,2,0)))</f>
        <v>#N/A</v>
      </c>
      <c r="D74" s="60" t="e">
        <f>IF(C74="","",IFERROR(VLOOKUP(C74,Reel!$F$2:$H$1013,3,0),VLOOKUP(C74,Ring!$F$3:$H$1000,3,0)))</f>
        <v>#N/A</v>
      </c>
      <c r="E74" s="58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$17,INDIRECT("'["&amp;Info!$B$5&amp;"]"&amp;Info!$B$6&amp;"'!"&amp;Info!$B$15),"&lt;="&amp;Info!$B$18))</f>
        <v>#REF!</v>
      </c>
      <c r="F74" s="58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$20,INDIRECT("'["&amp;Info!$B$5&amp;"]"&amp;Info!$B$6&amp;"'!"&amp;Info!$B$15),"&lt;="&amp;Info!$B$21))</f>
        <v>#REF!</v>
      </c>
      <c r="G74" s="51" t="e">
        <f ca="1">IF(B74="","",SUMIFS(INDIRECT("'["&amp;Info!$B$5&amp;"]"&amp;Info!$B$6&amp;"'!"&amp;Info!$B$11),INDIRECT("'["&amp;Info!$B$5&amp;"]"&amp;Info!$B$6&amp;"'!"&amp;Info!$B$9),B74,INDIRECT("'["&amp;Info!$B$5&amp;"]"&amp;Info!$B$6&amp;"'!"&amp;Info!$B$15),"&gt;="&amp;Info!$B$23,INDIRECT("'["&amp;Info!$B$5&amp;"]"&amp;Info!$B$6&amp;"'!"&amp;Info!$B$15),"&lt;="&amp;Info!$B$24))</f>
        <v>#REF!</v>
      </c>
      <c r="H74" s="51" t="e">
        <f t="shared" ca="1" si="2"/>
        <v>#REF!</v>
      </c>
      <c r="I74" s="60" t="e">
        <f ca="1">IF(B74="","",IFERROR(SUMIF(INDIRECT("'["&amp;Info!$B$5&amp;"]"&amp;Info!$B$6&amp;"'!"&amp;Info!$B$9),B74,INDIRECT("'["&amp;Info!$B$5&amp;"]"&amp;Info!$B$6&amp;"'!"&amp;Info!$B$13))/COUNTIF(INDIRECT("'["&amp;Info!$B$5&amp;"]"&amp;Info!$B$6&amp;"'!"&amp;Info!$B$9),B74),D74))</f>
        <v>#N/A</v>
      </c>
    </row>
    <row r="75" spans="1:9" x14ac:dyDescent="0.25">
      <c r="A75" s="64" t="str">
        <f>IF(B75="","", Info!$B$2)</f>
        <v>DVN-FP3330-180404</v>
      </c>
      <c r="B75" s="8" t="s">
        <v>408</v>
      </c>
      <c r="C75" s="56" t="e">
        <f>IF(B75="","",IFERROR(VLOOKUP(B75,Reel!$E$3:$F$1013,2,0),VLOOKUP(B75,Ring!$E$3:$F$1000,2,0)))</f>
        <v>#N/A</v>
      </c>
      <c r="D75" s="60" t="e">
        <f>IF(C75="","",IFERROR(VLOOKUP(C75,Reel!$F$2:$H$1013,3,0),VLOOKUP(C75,Ring!$F$3:$H$1000,3,0)))</f>
        <v>#N/A</v>
      </c>
      <c r="E75" s="58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$17,INDIRECT("'["&amp;Info!$B$5&amp;"]"&amp;Info!$B$6&amp;"'!"&amp;Info!$B$15),"&lt;="&amp;Info!$B$18))</f>
        <v>#REF!</v>
      </c>
      <c r="F75" s="58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$20,INDIRECT("'["&amp;Info!$B$5&amp;"]"&amp;Info!$B$6&amp;"'!"&amp;Info!$B$15),"&lt;="&amp;Info!$B$21))</f>
        <v>#REF!</v>
      </c>
      <c r="G75" s="51" t="e">
        <f ca="1">IF(B75="","",SUMIFS(INDIRECT("'["&amp;Info!$B$5&amp;"]"&amp;Info!$B$6&amp;"'!"&amp;Info!$B$11),INDIRECT("'["&amp;Info!$B$5&amp;"]"&amp;Info!$B$6&amp;"'!"&amp;Info!$B$9),B75,INDIRECT("'["&amp;Info!$B$5&amp;"]"&amp;Info!$B$6&amp;"'!"&amp;Info!$B$15),"&gt;="&amp;Info!$B$23,INDIRECT("'["&amp;Info!$B$5&amp;"]"&amp;Info!$B$6&amp;"'!"&amp;Info!$B$15),"&lt;="&amp;Info!$B$24))</f>
        <v>#REF!</v>
      </c>
      <c r="H75" s="51" t="e">
        <f t="shared" ca="1" si="2"/>
        <v>#REF!</v>
      </c>
      <c r="I75" s="60" t="e">
        <f ca="1">IF(B75="","",IFERROR(SUMIF(INDIRECT("'["&amp;Info!$B$5&amp;"]"&amp;Info!$B$6&amp;"'!"&amp;Info!$B$9),B75,INDIRECT("'["&amp;Info!$B$5&amp;"]"&amp;Info!$B$6&amp;"'!"&amp;Info!$B$13))/COUNTIF(INDIRECT("'["&amp;Info!$B$5&amp;"]"&amp;Info!$B$6&amp;"'!"&amp;Info!$B$9),B75),D75))</f>
        <v>#N/A</v>
      </c>
    </row>
    <row r="76" spans="1:9" x14ac:dyDescent="0.25">
      <c r="A76" s="64" t="str">
        <f>IF(B76="","", Info!$B$2)</f>
        <v>DVN-FP3330-180404</v>
      </c>
      <c r="B76" s="8" t="s">
        <v>434</v>
      </c>
      <c r="C76" s="56" t="e">
        <f>IF(B76="","",IFERROR(VLOOKUP(B76,Reel!$E$3:$F$1013,2,0),VLOOKUP(B76,Ring!$E$3:$F$1000,2,0)))</f>
        <v>#N/A</v>
      </c>
      <c r="D76" s="60" t="e">
        <f>IF(C76="","",IFERROR(VLOOKUP(C76,Reel!$F$2:$H$1013,3,0),VLOOKUP(C76,Ring!$F$3:$H$1000,3,0)))</f>
        <v>#N/A</v>
      </c>
      <c r="E76" s="58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$17,INDIRECT("'["&amp;Info!$B$5&amp;"]"&amp;Info!$B$6&amp;"'!"&amp;Info!$B$15),"&lt;="&amp;Info!$B$18))</f>
        <v>#REF!</v>
      </c>
      <c r="F76" s="58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$20,INDIRECT("'["&amp;Info!$B$5&amp;"]"&amp;Info!$B$6&amp;"'!"&amp;Info!$B$15),"&lt;="&amp;Info!$B$21))</f>
        <v>#REF!</v>
      </c>
      <c r="G76" s="51" t="e">
        <f ca="1">IF(B76="","",SUMIFS(INDIRECT("'["&amp;Info!$B$5&amp;"]"&amp;Info!$B$6&amp;"'!"&amp;Info!$B$11),INDIRECT("'["&amp;Info!$B$5&amp;"]"&amp;Info!$B$6&amp;"'!"&amp;Info!$B$9),B76,INDIRECT("'["&amp;Info!$B$5&amp;"]"&amp;Info!$B$6&amp;"'!"&amp;Info!$B$15),"&gt;="&amp;Info!$B$23,INDIRECT("'["&amp;Info!$B$5&amp;"]"&amp;Info!$B$6&amp;"'!"&amp;Info!$B$15),"&lt;="&amp;Info!$B$24))</f>
        <v>#REF!</v>
      </c>
      <c r="H76" s="51" t="e">
        <f t="shared" ca="1" si="2"/>
        <v>#REF!</v>
      </c>
      <c r="I76" s="60" t="e">
        <f ca="1">IF(B76="","",IFERROR(SUMIF(INDIRECT("'["&amp;Info!$B$5&amp;"]"&amp;Info!$B$6&amp;"'!"&amp;Info!$B$9),B76,INDIRECT("'["&amp;Info!$B$5&amp;"]"&amp;Info!$B$6&amp;"'!"&amp;Info!$B$13))/COUNTIF(INDIRECT("'["&amp;Info!$B$5&amp;"]"&amp;Info!$B$6&amp;"'!"&amp;Info!$B$9),B76),D76))</f>
        <v>#N/A</v>
      </c>
    </row>
    <row r="77" spans="1:9" x14ac:dyDescent="0.25">
      <c r="A77" s="64" t="str">
        <f>IF(B77="","", Info!$B$2)</f>
        <v>DVN-FP3330-180404</v>
      </c>
      <c r="B77" s="8" t="s">
        <v>410</v>
      </c>
      <c r="C77" s="56" t="e">
        <f>IF(B77="","",IFERROR(VLOOKUP(B77,Reel!$E$3:$F$1013,2,0),VLOOKUP(B77,Ring!$E$3:$F$1000,2,0)))</f>
        <v>#N/A</v>
      </c>
      <c r="D77" s="60" t="e">
        <f>IF(C77="","",IFERROR(VLOOKUP(C77,Reel!$F$2:$H$1013,3,0),VLOOKUP(C77,Ring!$F$3:$H$1000,3,0)))</f>
        <v>#N/A</v>
      </c>
      <c r="E77" s="58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$17,INDIRECT("'["&amp;Info!$B$5&amp;"]"&amp;Info!$B$6&amp;"'!"&amp;Info!$B$15),"&lt;="&amp;Info!$B$18))</f>
        <v>#REF!</v>
      </c>
      <c r="F77" s="58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$20,INDIRECT("'["&amp;Info!$B$5&amp;"]"&amp;Info!$B$6&amp;"'!"&amp;Info!$B$15),"&lt;="&amp;Info!$B$21))</f>
        <v>#REF!</v>
      </c>
      <c r="G77" s="51" t="e">
        <f ca="1">IF(B77="","",SUMIFS(INDIRECT("'["&amp;Info!$B$5&amp;"]"&amp;Info!$B$6&amp;"'!"&amp;Info!$B$11),INDIRECT("'["&amp;Info!$B$5&amp;"]"&amp;Info!$B$6&amp;"'!"&amp;Info!$B$9),B77,INDIRECT("'["&amp;Info!$B$5&amp;"]"&amp;Info!$B$6&amp;"'!"&amp;Info!$B$15),"&gt;="&amp;Info!$B$23,INDIRECT("'["&amp;Info!$B$5&amp;"]"&amp;Info!$B$6&amp;"'!"&amp;Info!$B$15),"&lt;="&amp;Info!$B$24))</f>
        <v>#REF!</v>
      </c>
      <c r="H77" s="51" t="e">
        <f t="shared" ca="1" si="2"/>
        <v>#REF!</v>
      </c>
      <c r="I77" s="60" t="e">
        <f ca="1">IF(B77="","",IFERROR(SUMIF(INDIRECT("'["&amp;Info!$B$5&amp;"]"&amp;Info!$B$6&amp;"'!"&amp;Info!$B$9),B77,INDIRECT("'["&amp;Info!$B$5&amp;"]"&amp;Info!$B$6&amp;"'!"&amp;Info!$B$13))/COUNTIF(INDIRECT("'["&amp;Info!$B$5&amp;"]"&amp;Info!$B$6&amp;"'!"&amp;Info!$B$9),B77),D77))</f>
        <v>#N/A</v>
      </c>
    </row>
    <row r="78" spans="1:9" x14ac:dyDescent="0.25">
      <c r="A78" s="64" t="str">
        <f>IF(B78="","", Info!$B$2)</f>
        <v>DVN-FP3330-180404</v>
      </c>
      <c r="B78" s="8" t="s">
        <v>419</v>
      </c>
      <c r="C78" s="56" t="e">
        <f>IF(B78="","",IFERROR(VLOOKUP(B78,Reel!$E$3:$F$1013,2,0),VLOOKUP(B78,Ring!$E$3:$F$1000,2,0)))</f>
        <v>#N/A</v>
      </c>
      <c r="D78" s="60" t="e">
        <f>IF(C78="","",IFERROR(VLOOKUP(C78,Reel!$F$2:$H$1013,3,0),VLOOKUP(C78,Ring!$F$3:$H$1000,3,0)))</f>
        <v>#N/A</v>
      </c>
      <c r="E78" s="58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$17,INDIRECT("'["&amp;Info!$B$5&amp;"]"&amp;Info!$B$6&amp;"'!"&amp;Info!$B$15),"&lt;="&amp;Info!$B$18))</f>
        <v>#REF!</v>
      </c>
      <c r="F78" s="58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$20,INDIRECT("'["&amp;Info!$B$5&amp;"]"&amp;Info!$B$6&amp;"'!"&amp;Info!$B$15),"&lt;="&amp;Info!$B$21))</f>
        <v>#REF!</v>
      </c>
      <c r="G78" s="51" t="e">
        <f ca="1">IF(B78="","",SUMIFS(INDIRECT("'["&amp;Info!$B$5&amp;"]"&amp;Info!$B$6&amp;"'!"&amp;Info!$B$11),INDIRECT("'["&amp;Info!$B$5&amp;"]"&amp;Info!$B$6&amp;"'!"&amp;Info!$B$9),B78,INDIRECT("'["&amp;Info!$B$5&amp;"]"&amp;Info!$B$6&amp;"'!"&amp;Info!$B$15),"&gt;="&amp;Info!$B$23,INDIRECT("'["&amp;Info!$B$5&amp;"]"&amp;Info!$B$6&amp;"'!"&amp;Info!$B$15),"&lt;="&amp;Info!$B$24))</f>
        <v>#REF!</v>
      </c>
      <c r="H78" s="51" t="e">
        <f t="shared" ca="1" si="2"/>
        <v>#REF!</v>
      </c>
      <c r="I78" s="60" t="e">
        <f ca="1">IF(B78="","",IFERROR(SUMIF(INDIRECT("'["&amp;Info!$B$5&amp;"]"&amp;Info!$B$6&amp;"'!"&amp;Info!$B$9),B78,INDIRECT("'["&amp;Info!$B$5&amp;"]"&amp;Info!$B$6&amp;"'!"&amp;Info!$B$13))/COUNTIF(INDIRECT("'["&amp;Info!$B$5&amp;"]"&amp;Info!$B$6&amp;"'!"&amp;Info!$B$9),B78),D78))</f>
        <v>#N/A</v>
      </c>
    </row>
    <row r="79" spans="1:9" x14ac:dyDescent="0.25">
      <c r="A79" s="64" t="str">
        <f>IF(B79="","", Info!$B$2)</f>
        <v>DVN-FP3330-180404</v>
      </c>
      <c r="B79" s="8" t="s">
        <v>53</v>
      </c>
      <c r="C79" s="56" t="e">
        <f>IF(B79="","",IFERROR(VLOOKUP(B79,Reel!$E$3:$F$1013,2,0),VLOOKUP(B79,Ring!$E$3:$F$1000,2,0)))</f>
        <v>#N/A</v>
      </c>
      <c r="D79" s="60" t="e">
        <f>IF(C79="","",IFERROR(VLOOKUP(C79,Reel!$F$2:$H$1013,3,0),VLOOKUP(C79,Ring!$F$3:$H$1000,3,0)))</f>
        <v>#N/A</v>
      </c>
      <c r="E79" s="58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$17,INDIRECT("'["&amp;Info!$B$5&amp;"]"&amp;Info!$B$6&amp;"'!"&amp;Info!$B$15),"&lt;="&amp;Info!$B$18))</f>
        <v>#REF!</v>
      </c>
      <c r="F79" s="58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$20,INDIRECT("'["&amp;Info!$B$5&amp;"]"&amp;Info!$B$6&amp;"'!"&amp;Info!$B$15),"&lt;="&amp;Info!$B$21))</f>
        <v>#REF!</v>
      </c>
      <c r="G79" s="51" t="e">
        <f ca="1">IF(B79="","",SUMIFS(INDIRECT("'["&amp;Info!$B$5&amp;"]"&amp;Info!$B$6&amp;"'!"&amp;Info!$B$11),INDIRECT("'["&amp;Info!$B$5&amp;"]"&amp;Info!$B$6&amp;"'!"&amp;Info!$B$9),B79,INDIRECT("'["&amp;Info!$B$5&amp;"]"&amp;Info!$B$6&amp;"'!"&amp;Info!$B$15),"&gt;="&amp;Info!$B$23,INDIRECT("'["&amp;Info!$B$5&amp;"]"&amp;Info!$B$6&amp;"'!"&amp;Info!$B$15),"&lt;="&amp;Info!$B$24))</f>
        <v>#REF!</v>
      </c>
      <c r="H79" s="51" t="e">
        <f t="shared" ca="1" si="2"/>
        <v>#REF!</v>
      </c>
      <c r="I79" s="60" t="e">
        <f ca="1">IF(B79="","",IFERROR(SUMIF(INDIRECT("'["&amp;Info!$B$5&amp;"]"&amp;Info!$B$6&amp;"'!"&amp;Info!$B$9),B79,INDIRECT("'["&amp;Info!$B$5&amp;"]"&amp;Info!$B$6&amp;"'!"&amp;Info!$B$13))/COUNTIF(INDIRECT("'["&amp;Info!$B$5&amp;"]"&amp;Info!$B$6&amp;"'!"&amp;Info!$B$9),B79),D79))</f>
        <v>#N/A</v>
      </c>
    </row>
    <row r="80" spans="1:9" x14ac:dyDescent="0.25">
      <c r="A80" s="64" t="str">
        <f>IF(B80="","", Info!$B$2)</f>
        <v>DVN-FP3330-180404</v>
      </c>
      <c r="B80" s="8" t="s">
        <v>54</v>
      </c>
      <c r="C80" s="56" t="e">
        <f>IF(B80="","",IFERROR(VLOOKUP(B80,Reel!$E$3:$F$1013,2,0),VLOOKUP(B80,Ring!$E$3:$F$1000,2,0)))</f>
        <v>#N/A</v>
      </c>
      <c r="D80" s="60" t="e">
        <f>IF(C80="","",IFERROR(VLOOKUP(C80,Reel!$F$2:$H$1013,3,0),VLOOKUP(C80,Ring!$F$3:$H$1000,3,0)))</f>
        <v>#N/A</v>
      </c>
      <c r="E80" s="58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$17,INDIRECT("'["&amp;Info!$B$5&amp;"]"&amp;Info!$B$6&amp;"'!"&amp;Info!$B$15),"&lt;="&amp;Info!$B$18))</f>
        <v>#REF!</v>
      </c>
      <c r="F80" s="58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$20,INDIRECT("'["&amp;Info!$B$5&amp;"]"&amp;Info!$B$6&amp;"'!"&amp;Info!$B$15),"&lt;="&amp;Info!$B$21))</f>
        <v>#REF!</v>
      </c>
      <c r="G80" s="51" t="e">
        <f ca="1">IF(B80="","",SUMIFS(INDIRECT("'["&amp;Info!$B$5&amp;"]"&amp;Info!$B$6&amp;"'!"&amp;Info!$B$11),INDIRECT("'["&amp;Info!$B$5&amp;"]"&amp;Info!$B$6&amp;"'!"&amp;Info!$B$9),B80,INDIRECT("'["&amp;Info!$B$5&amp;"]"&amp;Info!$B$6&amp;"'!"&amp;Info!$B$15),"&gt;="&amp;Info!$B$23,INDIRECT("'["&amp;Info!$B$5&amp;"]"&amp;Info!$B$6&amp;"'!"&amp;Info!$B$15),"&lt;="&amp;Info!$B$24))</f>
        <v>#REF!</v>
      </c>
      <c r="H80" s="51" t="e">
        <f t="shared" ca="1" si="2"/>
        <v>#REF!</v>
      </c>
      <c r="I80" s="60" t="e">
        <f ca="1">IF(B80="","",IFERROR(SUMIF(INDIRECT("'["&amp;Info!$B$5&amp;"]"&amp;Info!$B$6&amp;"'!"&amp;Info!$B$9),B80,INDIRECT("'["&amp;Info!$B$5&amp;"]"&amp;Info!$B$6&amp;"'!"&amp;Info!$B$13))/COUNTIF(INDIRECT("'["&amp;Info!$B$5&amp;"]"&amp;Info!$B$6&amp;"'!"&amp;Info!$B$9),B80),D80))</f>
        <v>#N/A</v>
      </c>
    </row>
    <row r="81" spans="1:9" x14ac:dyDescent="0.25">
      <c r="A81" s="64" t="str">
        <f>IF(B81="","", Info!$B$2)</f>
        <v>DVN-FP3330-180404</v>
      </c>
      <c r="B81" s="8" t="s">
        <v>55</v>
      </c>
      <c r="C81" s="56" t="e">
        <f>IF(B81="","",IFERROR(VLOOKUP(B81,Reel!$E$3:$F$1013,2,0),VLOOKUP(B81,Ring!$E$3:$F$1000,2,0)))</f>
        <v>#N/A</v>
      </c>
      <c r="D81" s="60" t="e">
        <f>IF(C81="","",IFERROR(VLOOKUP(C81,Reel!$F$2:$H$1013,3,0),VLOOKUP(C81,Ring!$F$3:$H$1000,3,0)))</f>
        <v>#N/A</v>
      </c>
      <c r="E81" s="58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$17,INDIRECT("'["&amp;Info!$B$5&amp;"]"&amp;Info!$B$6&amp;"'!"&amp;Info!$B$15),"&lt;="&amp;Info!$B$18))</f>
        <v>#REF!</v>
      </c>
      <c r="F81" s="58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$20,INDIRECT("'["&amp;Info!$B$5&amp;"]"&amp;Info!$B$6&amp;"'!"&amp;Info!$B$15),"&lt;="&amp;Info!$B$21))</f>
        <v>#REF!</v>
      </c>
      <c r="G81" s="51" t="e">
        <f ca="1">IF(B81="","",SUMIFS(INDIRECT("'["&amp;Info!$B$5&amp;"]"&amp;Info!$B$6&amp;"'!"&amp;Info!$B$11),INDIRECT("'["&amp;Info!$B$5&amp;"]"&amp;Info!$B$6&amp;"'!"&amp;Info!$B$9),B81,INDIRECT("'["&amp;Info!$B$5&amp;"]"&amp;Info!$B$6&amp;"'!"&amp;Info!$B$15),"&gt;="&amp;Info!$B$23,INDIRECT("'["&amp;Info!$B$5&amp;"]"&amp;Info!$B$6&amp;"'!"&amp;Info!$B$15),"&lt;="&amp;Info!$B$24))</f>
        <v>#REF!</v>
      </c>
      <c r="H81" s="51" t="e">
        <f t="shared" ca="1" si="2"/>
        <v>#REF!</v>
      </c>
      <c r="I81" s="60" t="e">
        <f ca="1">IF(B81="","",IFERROR(SUMIF(INDIRECT("'["&amp;Info!$B$5&amp;"]"&amp;Info!$B$6&amp;"'!"&amp;Info!$B$9),B81,INDIRECT("'["&amp;Info!$B$5&amp;"]"&amp;Info!$B$6&amp;"'!"&amp;Info!$B$13))/COUNTIF(INDIRECT("'["&amp;Info!$B$5&amp;"]"&amp;Info!$B$6&amp;"'!"&amp;Info!$B$9),B81),D81))</f>
        <v>#N/A</v>
      </c>
    </row>
    <row r="82" spans="1:9" x14ac:dyDescent="0.25">
      <c r="A82" s="64" t="str">
        <f>IF(B82="","", Info!$B$2)</f>
        <v>DVN-FP3330-180404</v>
      </c>
      <c r="B82" s="8" t="s">
        <v>56</v>
      </c>
      <c r="C82" s="56" t="e">
        <f>IF(B82="","",IFERROR(VLOOKUP(B82,Reel!$E$3:$F$1013,2,0),VLOOKUP(B82,Ring!$E$3:$F$1000,2,0)))</f>
        <v>#N/A</v>
      </c>
      <c r="D82" s="60" t="e">
        <f>IF(C82="","",IFERROR(VLOOKUP(C82,Reel!$F$2:$H$1013,3,0),VLOOKUP(C82,Ring!$F$3:$H$1000,3,0)))</f>
        <v>#N/A</v>
      </c>
      <c r="E82" s="58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$17,INDIRECT("'["&amp;Info!$B$5&amp;"]"&amp;Info!$B$6&amp;"'!"&amp;Info!$B$15),"&lt;="&amp;Info!$B$18))</f>
        <v>#REF!</v>
      </c>
      <c r="F82" s="58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$20,INDIRECT("'["&amp;Info!$B$5&amp;"]"&amp;Info!$B$6&amp;"'!"&amp;Info!$B$15),"&lt;="&amp;Info!$B$21))</f>
        <v>#REF!</v>
      </c>
      <c r="G82" s="51" t="e">
        <f ca="1">IF(B82="","",SUMIFS(INDIRECT("'["&amp;Info!$B$5&amp;"]"&amp;Info!$B$6&amp;"'!"&amp;Info!$B$11),INDIRECT("'["&amp;Info!$B$5&amp;"]"&amp;Info!$B$6&amp;"'!"&amp;Info!$B$9),B82,INDIRECT("'["&amp;Info!$B$5&amp;"]"&amp;Info!$B$6&amp;"'!"&amp;Info!$B$15),"&gt;="&amp;Info!$B$23,INDIRECT("'["&amp;Info!$B$5&amp;"]"&amp;Info!$B$6&amp;"'!"&amp;Info!$B$15),"&lt;="&amp;Info!$B$24))</f>
        <v>#REF!</v>
      </c>
      <c r="H82" s="51" t="e">
        <f t="shared" ca="1" si="2"/>
        <v>#REF!</v>
      </c>
      <c r="I82" s="60" t="e">
        <f ca="1">IF(B82="","",IFERROR(SUMIF(INDIRECT("'["&amp;Info!$B$5&amp;"]"&amp;Info!$B$6&amp;"'!"&amp;Info!$B$9),B82,INDIRECT("'["&amp;Info!$B$5&amp;"]"&amp;Info!$B$6&amp;"'!"&amp;Info!$B$13))/COUNTIF(INDIRECT("'["&amp;Info!$B$5&amp;"]"&amp;Info!$B$6&amp;"'!"&amp;Info!$B$9),B82),D82))</f>
        <v>#N/A</v>
      </c>
    </row>
    <row r="83" spans="1:9" x14ac:dyDescent="0.25">
      <c r="A83" s="64" t="str">
        <f>IF(B83="","", Info!$B$2)</f>
        <v>DVN-FP3330-180404</v>
      </c>
      <c r="B83" s="8" t="s">
        <v>57</v>
      </c>
      <c r="C83" s="56" t="e">
        <f>IF(B83="","",IFERROR(VLOOKUP(B83,Reel!$E$3:$F$1013,2,0),VLOOKUP(B83,Ring!$E$3:$F$1000,2,0)))</f>
        <v>#N/A</v>
      </c>
      <c r="D83" s="60" t="e">
        <f>IF(C83="","",IFERROR(VLOOKUP(C83,Reel!$F$2:$H$1013,3,0),VLOOKUP(C83,Ring!$F$3:$H$1000,3,0)))</f>
        <v>#N/A</v>
      </c>
      <c r="E83" s="58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$17,INDIRECT("'["&amp;Info!$B$5&amp;"]"&amp;Info!$B$6&amp;"'!"&amp;Info!$B$15),"&lt;="&amp;Info!$B$18))</f>
        <v>#REF!</v>
      </c>
      <c r="F83" s="58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$20,INDIRECT("'["&amp;Info!$B$5&amp;"]"&amp;Info!$B$6&amp;"'!"&amp;Info!$B$15),"&lt;="&amp;Info!$B$21))</f>
        <v>#REF!</v>
      </c>
      <c r="G83" s="51" t="e">
        <f ca="1">IF(B83="","",SUMIFS(INDIRECT("'["&amp;Info!$B$5&amp;"]"&amp;Info!$B$6&amp;"'!"&amp;Info!$B$11),INDIRECT("'["&amp;Info!$B$5&amp;"]"&amp;Info!$B$6&amp;"'!"&amp;Info!$B$9),B83,INDIRECT("'["&amp;Info!$B$5&amp;"]"&amp;Info!$B$6&amp;"'!"&amp;Info!$B$15),"&gt;="&amp;Info!$B$23,INDIRECT("'["&amp;Info!$B$5&amp;"]"&amp;Info!$B$6&amp;"'!"&amp;Info!$B$15),"&lt;="&amp;Info!$B$24))</f>
        <v>#REF!</v>
      </c>
      <c r="H83" s="51" t="e">
        <f t="shared" ca="1" si="2"/>
        <v>#REF!</v>
      </c>
      <c r="I83" s="60" t="e">
        <f ca="1">IF(B83="","",IFERROR(SUMIF(INDIRECT("'["&amp;Info!$B$5&amp;"]"&amp;Info!$B$6&amp;"'!"&amp;Info!$B$9),B83,INDIRECT("'["&amp;Info!$B$5&amp;"]"&amp;Info!$B$6&amp;"'!"&amp;Info!$B$13))/COUNTIF(INDIRECT("'["&amp;Info!$B$5&amp;"]"&amp;Info!$B$6&amp;"'!"&amp;Info!$B$9),B83),D83))</f>
        <v>#N/A</v>
      </c>
    </row>
    <row r="84" spans="1:9" x14ac:dyDescent="0.25">
      <c r="A84" s="64" t="str">
        <f>IF(B84="","", Info!$B$2)</f>
        <v>DVN-FP3330-180404</v>
      </c>
      <c r="B84" s="8" t="s">
        <v>365</v>
      </c>
      <c r="C84" s="56" t="e">
        <f>IF(B84="","",IFERROR(VLOOKUP(B84,Reel!$E$3:$F$1013,2,0),VLOOKUP(B84,Ring!$E$3:$F$1000,2,0)))</f>
        <v>#N/A</v>
      </c>
      <c r="D84" s="60" t="e">
        <f>IF(C84="","",IFERROR(VLOOKUP(C84,Reel!$F$2:$H$1013,3,0),VLOOKUP(C84,Ring!$F$3:$H$1000,3,0)))</f>
        <v>#N/A</v>
      </c>
      <c r="E84" s="58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$17,INDIRECT("'["&amp;Info!$B$5&amp;"]"&amp;Info!$B$6&amp;"'!"&amp;Info!$B$15),"&lt;="&amp;Info!$B$18))</f>
        <v>#REF!</v>
      </c>
      <c r="F84" s="58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$20,INDIRECT("'["&amp;Info!$B$5&amp;"]"&amp;Info!$B$6&amp;"'!"&amp;Info!$B$15),"&lt;="&amp;Info!$B$21))</f>
        <v>#REF!</v>
      </c>
      <c r="G84" s="51" t="e">
        <f ca="1">IF(B84="","",SUMIFS(INDIRECT("'["&amp;Info!$B$5&amp;"]"&amp;Info!$B$6&amp;"'!"&amp;Info!$B$11),INDIRECT("'["&amp;Info!$B$5&amp;"]"&amp;Info!$B$6&amp;"'!"&amp;Info!$B$9),B84,INDIRECT("'["&amp;Info!$B$5&amp;"]"&amp;Info!$B$6&amp;"'!"&amp;Info!$B$15),"&gt;="&amp;Info!$B$23,INDIRECT("'["&amp;Info!$B$5&amp;"]"&amp;Info!$B$6&amp;"'!"&amp;Info!$B$15),"&lt;="&amp;Info!$B$24))</f>
        <v>#REF!</v>
      </c>
      <c r="H84" s="51" t="e">
        <f t="shared" ca="1" si="2"/>
        <v>#REF!</v>
      </c>
      <c r="I84" s="60" t="e">
        <f ca="1">IF(B84="","",IFERROR(SUMIF(INDIRECT("'["&amp;Info!$B$5&amp;"]"&amp;Info!$B$6&amp;"'!"&amp;Info!$B$9),B84,INDIRECT("'["&amp;Info!$B$5&amp;"]"&amp;Info!$B$6&amp;"'!"&amp;Info!$B$13))/COUNTIF(INDIRECT("'["&amp;Info!$B$5&amp;"]"&amp;Info!$B$6&amp;"'!"&amp;Info!$B$9),B84),D84))</f>
        <v>#N/A</v>
      </c>
    </row>
    <row r="85" spans="1:9" x14ac:dyDescent="0.25">
      <c r="A85" s="64" t="str">
        <f>IF(B85="","", Info!$B$2)</f>
        <v>DVN-FP3330-180404</v>
      </c>
      <c r="B85" s="8" t="s">
        <v>373</v>
      </c>
      <c r="C85" s="56" t="e">
        <f>IF(B85="","",IFERROR(VLOOKUP(B85,Reel!$E$3:$F$1013,2,0),VLOOKUP(B85,Ring!$E$3:$F$1000,2,0)))</f>
        <v>#N/A</v>
      </c>
      <c r="D85" s="60" t="e">
        <f>IF(C85="","",IFERROR(VLOOKUP(C85,Reel!$F$2:$H$1013,3,0),VLOOKUP(C85,Ring!$F$3:$H$1000,3,0)))</f>
        <v>#N/A</v>
      </c>
      <c r="E85" s="58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$17,INDIRECT("'["&amp;Info!$B$5&amp;"]"&amp;Info!$B$6&amp;"'!"&amp;Info!$B$15),"&lt;="&amp;Info!$B$18))</f>
        <v>#REF!</v>
      </c>
      <c r="F85" s="58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$20,INDIRECT("'["&amp;Info!$B$5&amp;"]"&amp;Info!$B$6&amp;"'!"&amp;Info!$B$15),"&lt;="&amp;Info!$B$21))</f>
        <v>#REF!</v>
      </c>
      <c r="G85" s="51" t="e">
        <f ca="1">IF(B85="","",SUMIFS(INDIRECT("'["&amp;Info!$B$5&amp;"]"&amp;Info!$B$6&amp;"'!"&amp;Info!$B$11),INDIRECT("'["&amp;Info!$B$5&amp;"]"&amp;Info!$B$6&amp;"'!"&amp;Info!$B$9),B85,INDIRECT("'["&amp;Info!$B$5&amp;"]"&amp;Info!$B$6&amp;"'!"&amp;Info!$B$15),"&gt;="&amp;Info!$B$23,INDIRECT("'["&amp;Info!$B$5&amp;"]"&amp;Info!$B$6&amp;"'!"&amp;Info!$B$15),"&lt;="&amp;Info!$B$24))</f>
        <v>#REF!</v>
      </c>
      <c r="H85" s="51" t="e">
        <f t="shared" ca="1" si="2"/>
        <v>#REF!</v>
      </c>
      <c r="I85" s="60" t="e">
        <f ca="1">IF(B85="","",IFERROR(SUMIF(INDIRECT("'["&amp;Info!$B$5&amp;"]"&amp;Info!$B$6&amp;"'!"&amp;Info!$B$9),B85,INDIRECT("'["&amp;Info!$B$5&amp;"]"&amp;Info!$B$6&amp;"'!"&amp;Info!$B$13))/COUNTIF(INDIRECT("'["&amp;Info!$B$5&amp;"]"&amp;Info!$B$6&amp;"'!"&amp;Info!$B$9),B85),D85))</f>
        <v>#N/A</v>
      </c>
    </row>
    <row r="86" spans="1:9" x14ac:dyDescent="0.25">
      <c r="A86" s="64" t="str">
        <f>IF(B86="","", Info!$B$2)</f>
        <v>DVN-FP3330-180404</v>
      </c>
      <c r="B86" s="8" t="s">
        <v>374</v>
      </c>
      <c r="C86" s="56" t="e">
        <f>IF(B86="","",IFERROR(VLOOKUP(B86,Reel!$E$3:$F$1013,2,0),VLOOKUP(B86,Ring!$E$3:$F$1000,2,0)))</f>
        <v>#N/A</v>
      </c>
      <c r="D86" s="60" t="e">
        <f>IF(C86="","",IFERROR(VLOOKUP(C86,Reel!$F$2:$H$1013,3,0),VLOOKUP(C86,Ring!$F$3:$H$1000,3,0)))</f>
        <v>#N/A</v>
      </c>
      <c r="E86" s="58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$17,INDIRECT("'["&amp;Info!$B$5&amp;"]"&amp;Info!$B$6&amp;"'!"&amp;Info!$B$15),"&lt;="&amp;Info!$B$18))</f>
        <v>#REF!</v>
      </c>
      <c r="F86" s="58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$20,INDIRECT("'["&amp;Info!$B$5&amp;"]"&amp;Info!$B$6&amp;"'!"&amp;Info!$B$15),"&lt;="&amp;Info!$B$21))</f>
        <v>#REF!</v>
      </c>
      <c r="G86" s="51" t="e">
        <f ca="1">IF(B86="","",SUMIFS(INDIRECT("'["&amp;Info!$B$5&amp;"]"&amp;Info!$B$6&amp;"'!"&amp;Info!$B$11),INDIRECT("'["&amp;Info!$B$5&amp;"]"&amp;Info!$B$6&amp;"'!"&amp;Info!$B$9),B86,INDIRECT("'["&amp;Info!$B$5&amp;"]"&amp;Info!$B$6&amp;"'!"&amp;Info!$B$15),"&gt;="&amp;Info!$B$23,INDIRECT("'["&amp;Info!$B$5&amp;"]"&amp;Info!$B$6&amp;"'!"&amp;Info!$B$15),"&lt;="&amp;Info!$B$24))</f>
        <v>#REF!</v>
      </c>
      <c r="H86" s="51" t="e">
        <f t="shared" ca="1" si="2"/>
        <v>#REF!</v>
      </c>
      <c r="I86" s="60" t="e">
        <f ca="1">IF(B86="","",IFERROR(SUMIF(INDIRECT("'["&amp;Info!$B$5&amp;"]"&amp;Info!$B$6&amp;"'!"&amp;Info!$B$9),B86,INDIRECT("'["&amp;Info!$B$5&amp;"]"&amp;Info!$B$6&amp;"'!"&amp;Info!$B$13))/COUNTIF(INDIRECT("'["&amp;Info!$B$5&amp;"]"&amp;Info!$B$6&amp;"'!"&amp;Info!$B$9),B86),D86))</f>
        <v>#N/A</v>
      </c>
    </row>
    <row r="87" spans="1:9" x14ac:dyDescent="0.25">
      <c r="A87" s="64" t="str">
        <f>IF(B87="","", Info!$B$2)</f>
        <v>DVN-FP3330-180404</v>
      </c>
      <c r="B87" s="8" t="s">
        <v>366</v>
      </c>
      <c r="C87" s="56" t="e">
        <f>IF(B87="","",IFERROR(VLOOKUP(B87,Reel!$E$3:$F$1013,2,0),VLOOKUP(B87,Ring!$E$3:$F$1000,2,0)))</f>
        <v>#N/A</v>
      </c>
      <c r="D87" s="60" t="e">
        <f>IF(C87="","",IFERROR(VLOOKUP(C87,Reel!$F$2:$H$1013,3,0),VLOOKUP(C87,Ring!$F$3:$H$1000,3,0)))</f>
        <v>#N/A</v>
      </c>
      <c r="E87" s="58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$17,INDIRECT("'["&amp;Info!$B$5&amp;"]"&amp;Info!$B$6&amp;"'!"&amp;Info!$B$15),"&lt;="&amp;Info!$B$18))</f>
        <v>#REF!</v>
      </c>
      <c r="F87" s="58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$20,INDIRECT("'["&amp;Info!$B$5&amp;"]"&amp;Info!$B$6&amp;"'!"&amp;Info!$B$15),"&lt;="&amp;Info!$B$21))</f>
        <v>#REF!</v>
      </c>
      <c r="G87" s="51" t="e">
        <f ca="1">IF(B87="","",SUMIFS(INDIRECT("'["&amp;Info!$B$5&amp;"]"&amp;Info!$B$6&amp;"'!"&amp;Info!$B$11),INDIRECT("'["&amp;Info!$B$5&amp;"]"&amp;Info!$B$6&amp;"'!"&amp;Info!$B$9),B87,INDIRECT("'["&amp;Info!$B$5&amp;"]"&amp;Info!$B$6&amp;"'!"&amp;Info!$B$15),"&gt;="&amp;Info!$B$23,INDIRECT("'["&amp;Info!$B$5&amp;"]"&amp;Info!$B$6&amp;"'!"&amp;Info!$B$15),"&lt;="&amp;Info!$B$24))</f>
        <v>#REF!</v>
      </c>
      <c r="H87" s="51" t="e">
        <f t="shared" ca="1" si="2"/>
        <v>#REF!</v>
      </c>
      <c r="I87" s="60" t="e">
        <f ca="1">IF(B87="","",IFERROR(SUMIF(INDIRECT("'["&amp;Info!$B$5&amp;"]"&amp;Info!$B$6&amp;"'!"&amp;Info!$B$9),B87,INDIRECT("'["&amp;Info!$B$5&amp;"]"&amp;Info!$B$6&amp;"'!"&amp;Info!$B$13))/COUNTIF(INDIRECT("'["&amp;Info!$B$5&amp;"]"&amp;Info!$B$6&amp;"'!"&amp;Info!$B$9),B87),D87))</f>
        <v>#N/A</v>
      </c>
    </row>
    <row r="88" spans="1:9" x14ac:dyDescent="0.25">
      <c r="A88" s="64" t="str">
        <f>IF(B88="","", Info!$B$2)</f>
        <v>DVN-FP3330-180404</v>
      </c>
      <c r="B88" s="8" t="s">
        <v>375</v>
      </c>
      <c r="C88" s="56" t="e">
        <f>IF(B88="","",IFERROR(VLOOKUP(B88,Reel!$E$3:$F$1013,2,0),VLOOKUP(B88,Ring!$E$3:$F$1000,2,0)))</f>
        <v>#N/A</v>
      </c>
      <c r="D88" s="60" t="e">
        <f>IF(C88="","",IFERROR(VLOOKUP(C88,Reel!$F$2:$H$1013,3,0),VLOOKUP(C88,Ring!$F$3:$H$1000,3,0)))</f>
        <v>#N/A</v>
      </c>
      <c r="E88" s="58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$17,INDIRECT("'["&amp;Info!$B$5&amp;"]"&amp;Info!$B$6&amp;"'!"&amp;Info!$B$15),"&lt;="&amp;Info!$B$18))</f>
        <v>#REF!</v>
      </c>
      <c r="F88" s="58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$20,INDIRECT("'["&amp;Info!$B$5&amp;"]"&amp;Info!$B$6&amp;"'!"&amp;Info!$B$15),"&lt;="&amp;Info!$B$21))</f>
        <v>#REF!</v>
      </c>
      <c r="G88" s="51" t="e">
        <f ca="1">IF(B88="","",SUMIFS(INDIRECT("'["&amp;Info!$B$5&amp;"]"&amp;Info!$B$6&amp;"'!"&amp;Info!$B$11),INDIRECT("'["&amp;Info!$B$5&amp;"]"&amp;Info!$B$6&amp;"'!"&amp;Info!$B$9),B88,INDIRECT("'["&amp;Info!$B$5&amp;"]"&amp;Info!$B$6&amp;"'!"&amp;Info!$B$15),"&gt;="&amp;Info!$B$23,INDIRECT("'["&amp;Info!$B$5&amp;"]"&amp;Info!$B$6&amp;"'!"&amp;Info!$B$15),"&lt;="&amp;Info!$B$24))</f>
        <v>#REF!</v>
      </c>
      <c r="H88" s="51" t="e">
        <f t="shared" ca="1" si="2"/>
        <v>#REF!</v>
      </c>
      <c r="I88" s="60" t="e">
        <f ca="1">IF(B88="","",IFERROR(SUMIF(INDIRECT("'["&amp;Info!$B$5&amp;"]"&amp;Info!$B$6&amp;"'!"&amp;Info!$B$9),B88,INDIRECT("'["&amp;Info!$B$5&amp;"]"&amp;Info!$B$6&amp;"'!"&amp;Info!$B$13))/COUNTIF(INDIRECT("'["&amp;Info!$B$5&amp;"]"&amp;Info!$B$6&amp;"'!"&amp;Info!$B$9),B88),D88))</f>
        <v>#N/A</v>
      </c>
    </row>
    <row r="89" spans="1:9" x14ac:dyDescent="0.25">
      <c r="A89" s="64" t="str">
        <f>IF(B89="","", Info!$B$2)</f>
        <v>DVN-FP3330-180404</v>
      </c>
      <c r="B89" s="8" t="s">
        <v>376</v>
      </c>
      <c r="C89" s="56" t="e">
        <f>IF(B89="","",IFERROR(VLOOKUP(B89,Reel!$E$3:$F$1013,2,0),VLOOKUP(B89,Ring!$E$3:$F$1000,2,0)))</f>
        <v>#N/A</v>
      </c>
      <c r="D89" s="60" t="e">
        <f>IF(C89="","",IFERROR(VLOOKUP(C89,Reel!$F$2:$H$1013,3,0),VLOOKUP(C89,Ring!$F$3:$H$1000,3,0)))</f>
        <v>#N/A</v>
      </c>
      <c r="E89" s="58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$17,INDIRECT("'["&amp;Info!$B$5&amp;"]"&amp;Info!$B$6&amp;"'!"&amp;Info!$B$15),"&lt;="&amp;Info!$B$18))</f>
        <v>#REF!</v>
      </c>
      <c r="F89" s="58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$20,INDIRECT("'["&amp;Info!$B$5&amp;"]"&amp;Info!$B$6&amp;"'!"&amp;Info!$B$15),"&lt;="&amp;Info!$B$21))</f>
        <v>#REF!</v>
      </c>
      <c r="G89" s="51" t="e">
        <f ca="1">IF(B89="","",SUMIFS(INDIRECT("'["&amp;Info!$B$5&amp;"]"&amp;Info!$B$6&amp;"'!"&amp;Info!$B$11),INDIRECT("'["&amp;Info!$B$5&amp;"]"&amp;Info!$B$6&amp;"'!"&amp;Info!$B$9),B89,INDIRECT("'["&amp;Info!$B$5&amp;"]"&amp;Info!$B$6&amp;"'!"&amp;Info!$B$15),"&gt;="&amp;Info!$B$23,INDIRECT("'["&amp;Info!$B$5&amp;"]"&amp;Info!$B$6&amp;"'!"&amp;Info!$B$15),"&lt;="&amp;Info!$B$24))</f>
        <v>#REF!</v>
      </c>
      <c r="H89" s="51" t="e">
        <f t="shared" ca="1" si="2"/>
        <v>#REF!</v>
      </c>
      <c r="I89" s="60" t="e">
        <f ca="1">IF(B89="","",IFERROR(SUMIF(INDIRECT("'["&amp;Info!$B$5&amp;"]"&amp;Info!$B$6&amp;"'!"&amp;Info!$B$9),B89,INDIRECT("'["&amp;Info!$B$5&amp;"]"&amp;Info!$B$6&amp;"'!"&amp;Info!$B$13))/COUNTIF(INDIRECT("'["&amp;Info!$B$5&amp;"]"&amp;Info!$B$6&amp;"'!"&amp;Info!$B$9),B89),D89))</f>
        <v>#N/A</v>
      </c>
    </row>
    <row r="90" spans="1:9" x14ac:dyDescent="0.25">
      <c r="A90" s="64" t="str">
        <f>IF(B90="","", Info!$B$2)</f>
        <v>DVN-FP3330-180404</v>
      </c>
      <c r="B90" s="8" t="s">
        <v>58</v>
      </c>
      <c r="C90" s="56" t="e">
        <f>IF(B90="","",IFERROR(VLOOKUP(B90,Reel!$E$3:$F$1013,2,0),VLOOKUP(B90,Ring!$E$3:$F$1000,2,0)))</f>
        <v>#N/A</v>
      </c>
      <c r="D90" s="60" t="e">
        <f>IF(C90="","",IFERROR(VLOOKUP(C90,Reel!$F$2:$H$1013,3,0),VLOOKUP(C90,Ring!$F$3:$H$1000,3,0)))</f>
        <v>#N/A</v>
      </c>
      <c r="E90" s="58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$17,INDIRECT("'["&amp;Info!$B$5&amp;"]"&amp;Info!$B$6&amp;"'!"&amp;Info!$B$15),"&lt;="&amp;Info!$B$18))</f>
        <v>#REF!</v>
      </c>
      <c r="F90" s="58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$20,INDIRECT("'["&amp;Info!$B$5&amp;"]"&amp;Info!$B$6&amp;"'!"&amp;Info!$B$15),"&lt;="&amp;Info!$B$21))</f>
        <v>#REF!</v>
      </c>
      <c r="G90" s="51" t="e">
        <f ca="1">IF(B90="","",SUMIFS(INDIRECT("'["&amp;Info!$B$5&amp;"]"&amp;Info!$B$6&amp;"'!"&amp;Info!$B$11),INDIRECT("'["&amp;Info!$B$5&amp;"]"&amp;Info!$B$6&amp;"'!"&amp;Info!$B$9),B90,INDIRECT("'["&amp;Info!$B$5&amp;"]"&amp;Info!$B$6&amp;"'!"&amp;Info!$B$15),"&gt;="&amp;Info!$B$23,INDIRECT("'["&amp;Info!$B$5&amp;"]"&amp;Info!$B$6&amp;"'!"&amp;Info!$B$15),"&lt;="&amp;Info!$B$24))</f>
        <v>#REF!</v>
      </c>
      <c r="H90" s="51" t="e">
        <f t="shared" ca="1" si="2"/>
        <v>#REF!</v>
      </c>
      <c r="I90" s="60" t="e">
        <f ca="1">IF(B90="","",IFERROR(SUMIF(INDIRECT("'["&amp;Info!$B$5&amp;"]"&amp;Info!$B$6&amp;"'!"&amp;Info!$B$9),B90,INDIRECT("'["&amp;Info!$B$5&amp;"]"&amp;Info!$B$6&amp;"'!"&amp;Info!$B$13))/COUNTIF(INDIRECT("'["&amp;Info!$B$5&amp;"]"&amp;Info!$B$6&amp;"'!"&amp;Info!$B$9),B90),D90))</f>
        <v>#N/A</v>
      </c>
    </row>
    <row r="91" spans="1:9" x14ac:dyDescent="0.25">
      <c r="A91" s="64" t="str">
        <f>IF(B91="","", Info!$B$2)</f>
        <v>DVN-FP3330-180404</v>
      </c>
      <c r="B91" s="8" t="s">
        <v>59</v>
      </c>
      <c r="C91" s="56" t="e">
        <f>IF(B91="","",IFERROR(VLOOKUP(B91,Reel!$E$3:$F$1013,2,0),VLOOKUP(B91,Ring!$E$3:$F$1000,2,0)))</f>
        <v>#N/A</v>
      </c>
      <c r="D91" s="60" t="e">
        <f>IF(C91="","",IFERROR(VLOOKUP(C91,Reel!$F$2:$H$1013,3,0),VLOOKUP(C91,Ring!$F$3:$H$1000,3,0)))</f>
        <v>#N/A</v>
      </c>
      <c r="E91" s="58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$17,INDIRECT("'["&amp;Info!$B$5&amp;"]"&amp;Info!$B$6&amp;"'!"&amp;Info!$B$15),"&lt;="&amp;Info!$B$18))</f>
        <v>#REF!</v>
      </c>
      <c r="F91" s="58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$20,INDIRECT("'["&amp;Info!$B$5&amp;"]"&amp;Info!$B$6&amp;"'!"&amp;Info!$B$15),"&lt;="&amp;Info!$B$21))</f>
        <v>#REF!</v>
      </c>
      <c r="G91" s="51" t="e">
        <f ca="1">IF(B91="","",SUMIFS(INDIRECT("'["&amp;Info!$B$5&amp;"]"&amp;Info!$B$6&amp;"'!"&amp;Info!$B$11),INDIRECT("'["&amp;Info!$B$5&amp;"]"&amp;Info!$B$6&amp;"'!"&amp;Info!$B$9),B91,INDIRECT("'["&amp;Info!$B$5&amp;"]"&amp;Info!$B$6&amp;"'!"&amp;Info!$B$15),"&gt;="&amp;Info!$B$23,INDIRECT("'["&amp;Info!$B$5&amp;"]"&amp;Info!$B$6&amp;"'!"&amp;Info!$B$15),"&lt;="&amp;Info!$B$24))</f>
        <v>#REF!</v>
      </c>
      <c r="H91" s="51" t="e">
        <f t="shared" ca="1" si="2"/>
        <v>#REF!</v>
      </c>
      <c r="I91" s="60" t="e">
        <f ca="1">IF(B91="","",IFERROR(SUMIF(INDIRECT("'["&amp;Info!$B$5&amp;"]"&amp;Info!$B$6&amp;"'!"&amp;Info!$B$9),B91,INDIRECT("'["&amp;Info!$B$5&amp;"]"&amp;Info!$B$6&amp;"'!"&amp;Info!$B$13))/COUNTIF(INDIRECT("'["&amp;Info!$B$5&amp;"]"&amp;Info!$B$6&amp;"'!"&amp;Info!$B$9),B91),D91))</f>
        <v>#N/A</v>
      </c>
    </row>
    <row r="92" spans="1:9" x14ac:dyDescent="0.25">
      <c r="A92" s="64" t="str">
        <f>IF(B92="","", Info!$B$2)</f>
        <v>DVN-FP3330-180404</v>
      </c>
      <c r="B92" s="8" t="s">
        <v>60</v>
      </c>
      <c r="C92" s="56" t="e">
        <f>IF(B92="","",IFERROR(VLOOKUP(B92,Reel!$E$3:$F$1013,2,0),VLOOKUP(B92,Ring!$E$3:$F$1000,2,0)))</f>
        <v>#N/A</v>
      </c>
      <c r="D92" s="60" t="e">
        <f>IF(C92="","",IFERROR(VLOOKUP(C92,Reel!$F$2:$H$1013,3,0),VLOOKUP(C92,Ring!$F$3:$H$1000,3,0)))</f>
        <v>#N/A</v>
      </c>
      <c r="E92" s="58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$17,INDIRECT("'["&amp;Info!$B$5&amp;"]"&amp;Info!$B$6&amp;"'!"&amp;Info!$B$15),"&lt;="&amp;Info!$B$18))</f>
        <v>#REF!</v>
      </c>
      <c r="F92" s="58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$20,INDIRECT("'["&amp;Info!$B$5&amp;"]"&amp;Info!$B$6&amp;"'!"&amp;Info!$B$15),"&lt;="&amp;Info!$B$21))</f>
        <v>#REF!</v>
      </c>
      <c r="G92" s="51" t="e">
        <f ca="1">IF(B92="","",SUMIFS(INDIRECT("'["&amp;Info!$B$5&amp;"]"&amp;Info!$B$6&amp;"'!"&amp;Info!$B$11),INDIRECT("'["&amp;Info!$B$5&amp;"]"&amp;Info!$B$6&amp;"'!"&amp;Info!$B$9),B92,INDIRECT("'["&amp;Info!$B$5&amp;"]"&amp;Info!$B$6&amp;"'!"&amp;Info!$B$15),"&gt;="&amp;Info!$B$23,INDIRECT("'["&amp;Info!$B$5&amp;"]"&amp;Info!$B$6&amp;"'!"&amp;Info!$B$15),"&lt;="&amp;Info!$B$24))</f>
        <v>#REF!</v>
      </c>
      <c r="H92" s="51" t="e">
        <f t="shared" ca="1" si="2"/>
        <v>#REF!</v>
      </c>
      <c r="I92" s="60" t="e">
        <f ca="1">IF(B92="","",IFERROR(SUMIF(INDIRECT("'["&amp;Info!$B$5&amp;"]"&amp;Info!$B$6&amp;"'!"&amp;Info!$B$9),B92,INDIRECT("'["&amp;Info!$B$5&amp;"]"&amp;Info!$B$6&amp;"'!"&amp;Info!$B$13))/COUNTIF(INDIRECT("'["&amp;Info!$B$5&amp;"]"&amp;Info!$B$6&amp;"'!"&amp;Info!$B$9),B92),D92))</f>
        <v>#N/A</v>
      </c>
    </row>
    <row r="93" spans="1:9" x14ac:dyDescent="0.25">
      <c r="A93" s="64" t="str">
        <f>IF(B93="","", Info!$B$2)</f>
        <v>DVN-FP3330-180404</v>
      </c>
      <c r="B93" s="8" t="s">
        <v>61</v>
      </c>
      <c r="C93" s="56" t="e">
        <f>IF(B93="","",IFERROR(VLOOKUP(B93,Reel!$E$3:$F$1013,2,0),VLOOKUP(B93,Ring!$E$3:$F$1000,2,0)))</f>
        <v>#N/A</v>
      </c>
      <c r="D93" s="60" t="e">
        <f>IF(C93="","",IFERROR(VLOOKUP(C93,Reel!$F$2:$H$1013,3,0),VLOOKUP(C93,Ring!$F$3:$H$1000,3,0)))</f>
        <v>#N/A</v>
      </c>
      <c r="E93" s="58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$17,INDIRECT("'["&amp;Info!$B$5&amp;"]"&amp;Info!$B$6&amp;"'!"&amp;Info!$B$15),"&lt;="&amp;Info!$B$18))</f>
        <v>#REF!</v>
      </c>
      <c r="F93" s="58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$20,INDIRECT("'["&amp;Info!$B$5&amp;"]"&amp;Info!$B$6&amp;"'!"&amp;Info!$B$15),"&lt;="&amp;Info!$B$21))</f>
        <v>#REF!</v>
      </c>
      <c r="G93" s="51" t="e">
        <f ca="1">IF(B93="","",SUMIFS(INDIRECT("'["&amp;Info!$B$5&amp;"]"&amp;Info!$B$6&amp;"'!"&amp;Info!$B$11),INDIRECT("'["&amp;Info!$B$5&amp;"]"&amp;Info!$B$6&amp;"'!"&amp;Info!$B$9),B93,INDIRECT("'["&amp;Info!$B$5&amp;"]"&amp;Info!$B$6&amp;"'!"&amp;Info!$B$15),"&gt;="&amp;Info!$B$23,INDIRECT("'["&amp;Info!$B$5&amp;"]"&amp;Info!$B$6&amp;"'!"&amp;Info!$B$15),"&lt;="&amp;Info!$B$24))</f>
        <v>#REF!</v>
      </c>
      <c r="H93" s="51" t="e">
        <f t="shared" ca="1" si="2"/>
        <v>#REF!</v>
      </c>
      <c r="I93" s="60" t="e">
        <f ca="1">IF(B93="","",IFERROR(SUMIF(INDIRECT("'["&amp;Info!$B$5&amp;"]"&amp;Info!$B$6&amp;"'!"&amp;Info!$B$9),B93,INDIRECT("'["&amp;Info!$B$5&amp;"]"&amp;Info!$B$6&amp;"'!"&amp;Info!$B$13))/COUNTIF(INDIRECT("'["&amp;Info!$B$5&amp;"]"&amp;Info!$B$6&amp;"'!"&amp;Info!$B$9),B93),D93))</f>
        <v>#N/A</v>
      </c>
    </row>
    <row r="94" spans="1:9" x14ac:dyDescent="0.25">
      <c r="A94" s="64" t="str">
        <f>IF(B94="","", Info!$B$2)</f>
        <v>DVN-FP3330-180404</v>
      </c>
      <c r="B94" s="8" t="s">
        <v>62</v>
      </c>
      <c r="C94" s="56" t="e">
        <f>IF(B94="","",IFERROR(VLOOKUP(B94,Reel!$E$3:$F$1013,2,0),VLOOKUP(B94,Ring!$E$3:$F$1000,2,0)))</f>
        <v>#N/A</v>
      </c>
      <c r="D94" s="60" t="e">
        <f>IF(C94="","",IFERROR(VLOOKUP(C94,Reel!$F$2:$H$1013,3,0),VLOOKUP(C94,Ring!$F$3:$H$1000,3,0)))</f>
        <v>#N/A</v>
      </c>
      <c r="E94" s="58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$17,INDIRECT("'["&amp;Info!$B$5&amp;"]"&amp;Info!$B$6&amp;"'!"&amp;Info!$B$15),"&lt;="&amp;Info!$B$18))</f>
        <v>#REF!</v>
      </c>
      <c r="F94" s="58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$20,INDIRECT("'["&amp;Info!$B$5&amp;"]"&amp;Info!$B$6&amp;"'!"&amp;Info!$B$15),"&lt;="&amp;Info!$B$21))</f>
        <v>#REF!</v>
      </c>
      <c r="G94" s="51" t="e">
        <f ca="1">IF(B94="","",SUMIFS(INDIRECT("'["&amp;Info!$B$5&amp;"]"&amp;Info!$B$6&amp;"'!"&amp;Info!$B$11),INDIRECT("'["&amp;Info!$B$5&amp;"]"&amp;Info!$B$6&amp;"'!"&amp;Info!$B$9),B94,INDIRECT("'["&amp;Info!$B$5&amp;"]"&amp;Info!$B$6&amp;"'!"&amp;Info!$B$15),"&gt;="&amp;Info!$B$23,INDIRECT("'["&amp;Info!$B$5&amp;"]"&amp;Info!$B$6&amp;"'!"&amp;Info!$B$15),"&lt;="&amp;Info!$B$24))</f>
        <v>#REF!</v>
      </c>
      <c r="H94" s="51" t="e">
        <f t="shared" ca="1" si="2"/>
        <v>#REF!</v>
      </c>
      <c r="I94" s="60" t="e">
        <f ca="1">IF(B94="","",IFERROR(SUMIF(INDIRECT("'["&amp;Info!$B$5&amp;"]"&amp;Info!$B$6&amp;"'!"&amp;Info!$B$9),B94,INDIRECT("'["&amp;Info!$B$5&amp;"]"&amp;Info!$B$6&amp;"'!"&amp;Info!$B$13))/COUNTIF(INDIRECT("'["&amp;Info!$B$5&amp;"]"&amp;Info!$B$6&amp;"'!"&amp;Info!$B$9),B94),D94))</f>
        <v>#N/A</v>
      </c>
    </row>
    <row r="95" spans="1:9" x14ac:dyDescent="0.25">
      <c r="A95" s="64" t="str">
        <f>IF(B95="","", Info!$B$2)</f>
        <v>DVN-FP3330-180404</v>
      </c>
      <c r="B95" s="8" t="s">
        <v>63</v>
      </c>
      <c r="C95" s="56" t="e">
        <f>IF(B95="","",IFERROR(VLOOKUP(B95,Reel!$E$3:$F$1013,2,0),VLOOKUP(B95,Ring!$E$3:$F$1000,2,0)))</f>
        <v>#N/A</v>
      </c>
      <c r="D95" s="60" t="e">
        <f>IF(C95="","",IFERROR(VLOOKUP(C95,Reel!$F$2:$H$1013,3,0),VLOOKUP(C95,Ring!$F$3:$H$1000,3,0)))</f>
        <v>#N/A</v>
      </c>
      <c r="E95" s="58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$17,INDIRECT("'["&amp;Info!$B$5&amp;"]"&amp;Info!$B$6&amp;"'!"&amp;Info!$B$15),"&lt;="&amp;Info!$B$18))</f>
        <v>#REF!</v>
      </c>
      <c r="F95" s="58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$20,INDIRECT("'["&amp;Info!$B$5&amp;"]"&amp;Info!$B$6&amp;"'!"&amp;Info!$B$15),"&lt;="&amp;Info!$B$21))</f>
        <v>#REF!</v>
      </c>
      <c r="G95" s="51" t="e">
        <f ca="1">IF(B95="","",SUMIFS(INDIRECT("'["&amp;Info!$B$5&amp;"]"&amp;Info!$B$6&amp;"'!"&amp;Info!$B$11),INDIRECT("'["&amp;Info!$B$5&amp;"]"&amp;Info!$B$6&amp;"'!"&amp;Info!$B$9),B95,INDIRECT("'["&amp;Info!$B$5&amp;"]"&amp;Info!$B$6&amp;"'!"&amp;Info!$B$15),"&gt;="&amp;Info!$B$23,INDIRECT("'["&amp;Info!$B$5&amp;"]"&amp;Info!$B$6&amp;"'!"&amp;Info!$B$15),"&lt;="&amp;Info!$B$24))</f>
        <v>#REF!</v>
      </c>
      <c r="H95" s="51" t="e">
        <f t="shared" ca="1" si="2"/>
        <v>#REF!</v>
      </c>
      <c r="I95" s="60" t="e">
        <f ca="1">IF(B95="","",IFERROR(SUMIF(INDIRECT("'["&amp;Info!$B$5&amp;"]"&amp;Info!$B$6&amp;"'!"&amp;Info!$B$9),B95,INDIRECT("'["&amp;Info!$B$5&amp;"]"&amp;Info!$B$6&amp;"'!"&amp;Info!$B$13))/COUNTIF(INDIRECT("'["&amp;Info!$B$5&amp;"]"&amp;Info!$B$6&amp;"'!"&amp;Info!$B$9),B95),D95))</f>
        <v>#N/A</v>
      </c>
    </row>
    <row r="96" spans="1:9" x14ac:dyDescent="0.25">
      <c r="A96" s="64" t="str">
        <f>IF(B96="","", Info!$B$2)</f>
        <v>DVN-FP3330-180404</v>
      </c>
      <c r="B96" s="8" t="s">
        <v>64</v>
      </c>
      <c r="C96" s="56" t="e">
        <f>IF(B96="","",IFERROR(VLOOKUP(B96,Reel!$E$3:$F$1013,2,0),VLOOKUP(B96,Ring!$E$3:$F$1000,2,0)))</f>
        <v>#N/A</v>
      </c>
      <c r="D96" s="60" t="e">
        <f>IF(C96="","",IFERROR(VLOOKUP(C96,Reel!$F$2:$H$1013,3,0),VLOOKUP(C96,Ring!$F$3:$H$1000,3,0)))</f>
        <v>#N/A</v>
      </c>
      <c r="E96" s="58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$17,INDIRECT("'["&amp;Info!$B$5&amp;"]"&amp;Info!$B$6&amp;"'!"&amp;Info!$B$15),"&lt;="&amp;Info!$B$18))</f>
        <v>#REF!</v>
      </c>
      <c r="F96" s="58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$20,INDIRECT("'["&amp;Info!$B$5&amp;"]"&amp;Info!$B$6&amp;"'!"&amp;Info!$B$15),"&lt;="&amp;Info!$B$21))</f>
        <v>#REF!</v>
      </c>
      <c r="G96" s="51" t="e">
        <f ca="1">IF(B96="","",SUMIFS(INDIRECT("'["&amp;Info!$B$5&amp;"]"&amp;Info!$B$6&amp;"'!"&amp;Info!$B$11),INDIRECT("'["&amp;Info!$B$5&amp;"]"&amp;Info!$B$6&amp;"'!"&amp;Info!$B$9),B96,INDIRECT("'["&amp;Info!$B$5&amp;"]"&amp;Info!$B$6&amp;"'!"&amp;Info!$B$15),"&gt;="&amp;Info!$B$23,INDIRECT("'["&amp;Info!$B$5&amp;"]"&amp;Info!$B$6&amp;"'!"&amp;Info!$B$15),"&lt;="&amp;Info!$B$24))</f>
        <v>#REF!</v>
      </c>
      <c r="H96" s="51" t="e">
        <f t="shared" ca="1" si="2"/>
        <v>#REF!</v>
      </c>
      <c r="I96" s="60" t="e">
        <f ca="1">IF(B96="","",IFERROR(SUMIF(INDIRECT("'["&amp;Info!$B$5&amp;"]"&amp;Info!$B$6&amp;"'!"&amp;Info!$B$9),B96,INDIRECT("'["&amp;Info!$B$5&amp;"]"&amp;Info!$B$6&amp;"'!"&amp;Info!$B$13))/COUNTIF(INDIRECT("'["&amp;Info!$B$5&amp;"]"&amp;Info!$B$6&amp;"'!"&amp;Info!$B$9),B96),D96))</f>
        <v>#N/A</v>
      </c>
    </row>
    <row r="97" spans="1:9" x14ac:dyDescent="0.25">
      <c r="A97" s="64" t="str">
        <f>IF(B97="","", Info!$B$2)</f>
        <v>DVN-FP3330-180404</v>
      </c>
      <c r="B97" s="8" t="s">
        <v>418</v>
      </c>
      <c r="C97" s="56" t="e">
        <f>IF(B97="","",IFERROR(VLOOKUP(B97,Reel!$E$3:$F$1013,2,0),VLOOKUP(B97,Ring!$E$3:$F$1000,2,0)))</f>
        <v>#N/A</v>
      </c>
      <c r="D97" s="60" t="e">
        <f>IF(C97="","",IFERROR(VLOOKUP(C97,Reel!$F$2:$H$1013,3,0),VLOOKUP(C97,Ring!$F$3:$H$1000,3,0)))</f>
        <v>#N/A</v>
      </c>
      <c r="E97" s="58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$17,INDIRECT("'["&amp;Info!$B$5&amp;"]"&amp;Info!$B$6&amp;"'!"&amp;Info!$B$15),"&lt;="&amp;Info!$B$18))</f>
        <v>#REF!</v>
      </c>
      <c r="F97" s="58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$20,INDIRECT("'["&amp;Info!$B$5&amp;"]"&amp;Info!$B$6&amp;"'!"&amp;Info!$B$15),"&lt;="&amp;Info!$B$21))</f>
        <v>#REF!</v>
      </c>
      <c r="G97" s="51" t="e">
        <f ca="1">IF(B97="","",SUMIFS(INDIRECT("'["&amp;Info!$B$5&amp;"]"&amp;Info!$B$6&amp;"'!"&amp;Info!$B$11),INDIRECT("'["&amp;Info!$B$5&amp;"]"&amp;Info!$B$6&amp;"'!"&amp;Info!$B$9),B97,INDIRECT("'["&amp;Info!$B$5&amp;"]"&amp;Info!$B$6&amp;"'!"&amp;Info!$B$15),"&gt;="&amp;Info!$B$23,INDIRECT("'["&amp;Info!$B$5&amp;"]"&amp;Info!$B$6&amp;"'!"&amp;Info!$B$15),"&lt;="&amp;Info!$B$24))</f>
        <v>#REF!</v>
      </c>
      <c r="H97" s="51" t="e">
        <f t="shared" ca="1" si="2"/>
        <v>#REF!</v>
      </c>
      <c r="I97" s="60" t="e">
        <f ca="1">IF(B97="","",IFERROR(SUMIF(INDIRECT("'["&amp;Info!$B$5&amp;"]"&amp;Info!$B$6&amp;"'!"&amp;Info!$B$9),B97,INDIRECT("'["&amp;Info!$B$5&amp;"]"&amp;Info!$B$6&amp;"'!"&amp;Info!$B$13))/COUNTIF(INDIRECT("'["&amp;Info!$B$5&amp;"]"&amp;Info!$B$6&amp;"'!"&amp;Info!$B$9),B97),D97))</f>
        <v>#N/A</v>
      </c>
    </row>
    <row r="98" spans="1:9" x14ac:dyDescent="0.25">
      <c r="A98" s="64" t="str">
        <f>IF(B98="","", Info!$B$2)</f>
        <v>DVN-FP3330-180404</v>
      </c>
      <c r="B98" s="8" t="s">
        <v>432</v>
      </c>
      <c r="C98" s="56" t="e">
        <f>IF(B98="","",IFERROR(VLOOKUP(B98,Reel!$E$3:$F$1013,2,0),VLOOKUP(B98,Ring!$E$3:$F$1000,2,0)))</f>
        <v>#N/A</v>
      </c>
      <c r="D98" s="60" t="e">
        <f>IF(C98="","",IFERROR(VLOOKUP(C98,Reel!$F$2:$H$1013,3,0),VLOOKUP(C98,Ring!$F$3:$H$1000,3,0)))</f>
        <v>#N/A</v>
      </c>
      <c r="E98" s="58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$17,INDIRECT("'["&amp;Info!$B$5&amp;"]"&amp;Info!$B$6&amp;"'!"&amp;Info!$B$15),"&lt;="&amp;Info!$B$18))</f>
        <v>#REF!</v>
      </c>
      <c r="F98" s="58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$20,INDIRECT("'["&amp;Info!$B$5&amp;"]"&amp;Info!$B$6&amp;"'!"&amp;Info!$B$15),"&lt;="&amp;Info!$B$21))</f>
        <v>#REF!</v>
      </c>
      <c r="G98" s="51" t="e">
        <f ca="1">IF(B98="","",SUMIFS(INDIRECT("'["&amp;Info!$B$5&amp;"]"&amp;Info!$B$6&amp;"'!"&amp;Info!$B$11),INDIRECT("'["&amp;Info!$B$5&amp;"]"&amp;Info!$B$6&amp;"'!"&amp;Info!$B$9),B98,INDIRECT("'["&amp;Info!$B$5&amp;"]"&amp;Info!$B$6&amp;"'!"&amp;Info!$B$15),"&gt;="&amp;Info!$B$23,INDIRECT("'["&amp;Info!$B$5&amp;"]"&amp;Info!$B$6&amp;"'!"&amp;Info!$B$15),"&lt;="&amp;Info!$B$24))</f>
        <v>#REF!</v>
      </c>
      <c r="H98" s="51" t="e">
        <f t="shared" ca="1" si="2"/>
        <v>#REF!</v>
      </c>
      <c r="I98" s="60" t="e">
        <f ca="1">IF(B98="","",IFERROR(SUMIF(INDIRECT("'["&amp;Info!$B$5&amp;"]"&amp;Info!$B$6&amp;"'!"&amp;Info!$B$9),B98,INDIRECT("'["&amp;Info!$B$5&amp;"]"&amp;Info!$B$6&amp;"'!"&amp;Info!$B$13))/COUNTIF(INDIRECT("'["&amp;Info!$B$5&amp;"]"&amp;Info!$B$6&amp;"'!"&amp;Info!$B$9),B98),D98))</f>
        <v>#N/A</v>
      </c>
    </row>
    <row r="99" spans="1:9" x14ac:dyDescent="0.25">
      <c r="A99" s="64" t="str">
        <f>IF(B99="","", Info!$B$2)</f>
        <v>DVN-FP3330-180404</v>
      </c>
      <c r="B99" s="8" t="s">
        <v>65</v>
      </c>
      <c r="C99" s="56" t="e">
        <f>IF(B99="","",IFERROR(VLOOKUP(B99,Reel!$E$3:$F$1013,2,0),VLOOKUP(B99,Ring!$E$3:$F$1000,2,0)))</f>
        <v>#N/A</v>
      </c>
      <c r="D99" s="60" t="e">
        <f>IF(C99="","",IFERROR(VLOOKUP(C99,Reel!$F$2:$H$1013,3,0),VLOOKUP(C99,Ring!$F$3:$H$1000,3,0)))</f>
        <v>#N/A</v>
      </c>
      <c r="E99" s="58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$17,INDIRECT("'["&amp;Info!$B$5&amp;"]"&amp;Info!$B$6&amp;"'!"&amp;Info!$B$15),"&lt;="&amp;Info!$B$18))</f>
        <v>#REF!</v>
      </c>
      <c r="F99" s="58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$20,INDIRECT("'["&amp;Info!$B$5&amp;"]"&amp;Info!$B$6&amp;"'!"&amp;Info!$B$15),"&lt;="&amp;Info!$B$21))</f>
        <v>#REF!</v>
      </c>
      <c r="G99" s="51" t="e">
        <f ca="1">IF(B99="","",SUMIFS(INDIRECT("'["&amp;Info!$B$5&amp;"]"&amp;Info!$B$6&amp;"'!"&amp;Info!$B$11),INDIRECT("'["&amp;Info!$B$5&amp;"]"&amp;Info!$B$6&amp;"'!"&amp;Info!$B$9),B99,INDIRECT("'["&amp;Info!$B$5&amp;"]"&amp;Info!$B$6&amp;"'!"&amp;Info!$B$15),"&gt;="&amp;Info!$B$23,INDIRECT("'["&amp;Info!$B$5&amp;"]"&amp;Info!$B$6&amp;"'!"&amp;Info!$B$15),"&lt;="&amp;Info!$B$24))</f>
        <v>#REF!</v>
      </c>
      <c r="H99" s="51" t="e">
        <f t="shared" ca="1" si="2"/>
        <v>#REF!</v>
      </c>
      <c r="I99" s="60" t="e">
        <f ca="1">IF(B99="","",IFERROR(SUMIF(INDIRECT("'["&amp;Info!$B$5&amp;"]"&amp;Info!$B$6&amp;"'!"&amp;Info!$B$9),B99,INDIRECT("'["&amp;Info!$B$5&amp;"]"&amp;Info!$B$6&amp;"'!"&amp;Info!$B$13))/COUNTIF(INDIRECT("'["&amp;Info!$B$5&amp;"]"&amp;Info!$B$6&amp;"'!"&amp;Info!$B$9),B99),D99))</f>
        <v>#N/A</v>
      </c>
    </row>
    <row r="100" spans="1:9" x14ac:dyDescent="0.25">
      <c r="A100" s="64" t="str">
        <f>IF(B100="","", Info!$B$2)</f>
        <v>DVN-FP3330-180404</v>
      </c>
      <c r="B100" s="8" t="s">
        <v>66</v>
      </c>
      <c r="C100" s="56" t="e">
        <f>IF(B100="","",IFERROR(VLOOKUP(B100,Reel!$E$3:$F$1013,2,0),VLOOKUP(B100,Ring!$E$3:$F$1000,2,0)))</f>
        <v>#N/A</v>
      </c>
      <c r="D100" s="60" t="e">
        <f>IF(C100="","",IFERROR(VLOOKUP(C100,Reel!$F$2:$H$1013,3,0),VLOOKUP(C100,Ring!$F$3:$H$1000,3,0)))</f>
        <v>#N/A</v>
      </c>
      <c r="E100" s="58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$17,INDIRECT("'["&amp;Info!$B$5&amp;"]"&amp;Info!$B$6&amp;"'!"&amp;Info!$B$15),"&lt;="&amp;Info!$B$18))</f>
        <v>#REF!</v>
      </c>
      <c r="F100" s="58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$20,INDIRECT("'["&amp;Info!$B$5&amp;"]"&amp;Info!$B$6&amp;"'!"&amp;Info!$B$15),"&lt;="&amp;Info!$B$21))</f>
        <v>#REF!</v>
      </c>
      <c r="G100" s="51" t="e">
        <f ca="1">IF(B100="","",SUMIFS(INDIRECT("'["&amp;Info!$B$5&amp;"]"&amp;Info!$B$6&amp;"'!"&amp;Info!$B$11),INDIRECT("'["&amp;Info!$B$5&amp;"]"&amp;Info!$B$6&amp;"'!"&amp;Info!$B$9),B100,INDIRECT("'["&amp;Info!$B$5&amp;"]"&amp;Info!$B$6&amp;"'!"&amp;Info!$B$15),"&gt;="&amp;Info!$B$23,INDIRECT("'["&amp;Info!$B$5&amp;"]"&amp;Info!$B$6&amp;"'!"&amp;Info!$B$15),"&lt;="&amp;Info!$B$24))</f>
        <v>#REF!</v>
      </c>
      <c r="H100" s="51" t="e">
        <f t="shared" ca="1" si="2"/>
        <v>#REF!</v>
      </c>
      <c r="I100" s="60" t="e">
        <f ca="1">IF(B100="","",IFERROR(SUMIF(INDIRECT("'["&amp;Info!$B$5&amp;"]"&amp;Info!$B$6&amp;"'!"&amp;Info!$B$9),B100,INDIRECT("'["&amp;Info!$B$5&amp;"]"&amp;Info!$B$6&amp;"'!"&amp;Info!$B$13))/COUNTIF(INDIRECT("'["&amp;Info!$B$5&amp;"]"&amp;Info!$B$6&amp;"'!"&amp;Info!$B$9),B100),D100))</f>
        <v>#N/A</v>
      </c>
    </row>
    <row r="101" spans="1:9" x14ac:dyDescent="0.25">
      <c r="A101" s="64" t="str">
        <f>IF(B101="","", Info!$B$2)</f>
        <v>DVN-FP3330-180404</v>
      </c>
      <c r="B101" s="8" t="s">
        <v>377</v>
      </c>
      <c r="C101" s="56" t="e">
        <f>IF(B101="","",IFERROR(VLOOKUP(B101,Reel!$E$3:$F$1013,2,0),VLOOKUP(B101,Ring!$E$3:$F$1000,2,0)))</f>
        <v>#N/A</v>
      </c>
      <c r="D101" s="60" t="e">
        <f>IF(C101="","",IFERROR(VLOOKUP(C101,Reel!$F$2:$H$1013,3,0),VLOOKUP(C101,Ring!$F$3:$H$1000,3,0)))</f>
        <v>#N/A</v>
      </c>
      <c r="E101" s="58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$17,INDIRECT("'["&amp;Info!$B$5&amp;"]"&amp;Info!$B$6&amp;"'!"&amp;Info!$B$15),"&lt;="&amp;Info!$B$18))</f>
        <v>#REF!</v>
      </c>
      <c r="F101" s="58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$20,INDIRECT("'["&amp;Info!$B$5&amp;"]"&amp;Info!$B$6&amp;"'!"&amp;Info!$B$15),"&lt;="&amp;Info!$B$21))</f>
        <v>#REF!</v>
      </c>
      <c r="G101" s="51" t="e">
        <f ca="1">IF(B101="","",SUMIFS(INDIRECT("'["&amp;Info!$B$5&amp;"]"&amp;Info!$B$6&amp;"'!"&amp;Info!$B$11),INDIRECT("'["&amp;Info!$B$5&amp;"]"&amp;Info!$B$6&amp;"'!"&amp;Info!$B$9),B101,INDIRECT("'["&amp;Info!$B$5&amp;"]"&amp;Info!$B$6&amp;"'!"&amp;Info!$B$15),"&gt;="&amp;Info!$B$23,INDIRECT("'["&amp;Info!$B$5&amp;"]"&amp;Info!$B$6&amp;"'!"&amp;Info!$B$15),"&lt;="&amp;Info!$B$24))</f>
        <v>#REF!</v>
      </c>
      <c r="H101" s="51" t="e">
        <f t="shared" ca="1" si="2"/>
        <v>#REF!</v>
      </c>
      <c r="I101" s="60" t="e">
        <f ca="1">IF(B101="","",IFERROR(SUMIF(INDIRECT("'["&amp;Info!$B$5&amp;"]"&amp;Info!$B$6&amp;"'!"&amp;Info!$B$9),B101,INDIRECT("'["&amp;Info!$B$5&amp;"]"&amp;Info!$B$6&amp;"'!"&amp;Info!$B$13))/COUNTIF(INDIRECT("'["&amp;Info!$B$5&amp;"]"&amp;Info!$B$6&amp;"'!"&amp;Info!$B$9),B101),D101))</f>
        <v>#N/A</v>
      </c>
    </row>
    <row r="102" spans="1:9" x14ac:dyDescent="0.25">
      <c r="A102" s="64" t="str">
        <f>IF(B102="","", Info!$B$2)</f>
        <v>DVN-FP3330-180404</v>
      </c>
      <c r="B102" s="8" t="s">
        <v>409</v>
      </c>
      <c r="C102" s="56" t="e">
        <f>IF(B102="","",IFERROR(VLOOKUP(B102,Reel!$E$3:$F$1013,2,0),VLOOKUP(B102,Ring!$E$3:$F$1000,2,0)))</f>
        <v>#N/A</v>
      </c>
      <c r="D102" s="60" t="e">
        <f>IF(C102="","",IFERROR(VLOOKUP(C102,Reel!$F$2:$H$1013,3,0),VLOOKUP(C102,Ring!$F$3:$H$1000,3,0)))</f>
        <v>#N/A</v>
      </c>
      <c r="E102" s="58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$17,INDIRECT("'["&amp;Info!$B$5&amp;"]"&amp;Info!$B$6&amp;"'!"&amp;Info!$B$15),"&lt;="&amp;Info!$B$18))</f>
        <v>#REF!</v>
      </c>
      <c r="F102" s="58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$20,INDIRECT("'["&amp;Info!$B$5&amp;"]"&amp;Info!$B$6&amp;"'!"&amp;Info!$B$15),"&lt;="&amp;Info!$B$21))</f>
        <v>#REF!</v>
      </c>
      <c r="G102" s="51" t="e">
        <f ca="1">IF(B102="","",SUMIFS(INDIRECT("'["&amp;Info!$B$5&amp;"]"&amp;Info!$B$6&amp;"'!"&amp;Info!$B$11),INDIRECT("'["&amp;Info!$B$5&amp;"]"&amp;Info!$B$6&amp;"'!"&amp;Info!$B$9),B102,INDIRECT("'["&amp;Info!$B$5&amp;"]"&amp;Info!$B$6&amp;"'!"&amp;Info!$B$15),"&gt;="&amp;Info!$B$23,INDIRECT("'["&amp;Info!$B$5&amp;"]"&amp;Info!$B$6&amp;"'!"&amp;Info!$B$15),"&lt;="&amp;Info!$B$24))</f>
        <v>#REF!</v>
      </c>
      <c r="H102" s="51" t="e">
        <f t="shared" ca="1" si="2"/>
        <v>#REF!</v>
      </c>
      <c r="I102" s="60" t="e">
        <f ca="1">IF(B102="","",IFERROR(SUMIF(INDIRECT("'["&amp;Info!$B$5&amp;"]"&amp;Info!$B$6&amp;"'!"&amp;Info!$B$9),B102,INDIRECT("'["&amp;Info!$B$5&amp;"]"&amp;Info!$B$6&amp;"'!"&amp;Info!$B$13))/COUNTIF(INDIRECT("'["&amp;Info!$B$5&amp;"]"&amp;Info!$B$6&amp;"'!"&amp;Info!$B$9),B102),D102))</f>
        <v>#N/A</v>
      </c>
    </row>
    <row r="103" spans="1:9" x14ac:dyDescent="0.25">
      <c r="A103" s="64" t="str">
        <f>IF(B103="","", Info!$B$2)</f>
        <v>DVN-FP3330-180404</v>
      </c>
      <c r="B103" s="8" t="s">
        <v>441</v>
      </c>
      <c r="C103" s="56" t="e">
        <f>IF(B103="","",IFERROR(VLOOKUP(B103,Reel!$E$3:$F$1013,2,0),VLOOKUP(B103,Ring!$E$3:$F$1000,2,0)))</f>
        <v>#N/A</v>
      </c>
      <c r="D103" s="60" t="e">
        <f>IF(C103="","",IFERROR(VLOOKUP(C103,Reel!$F$2:$H$1013,3,0),VLOOKUP(C103,Ring!$F$3:$H$1000,3,0)))</f>
        <v>#N/A</v>
      </c>
      <c r="E103" s="58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$17,INDIRECT("'["&amp;Info!$B$5&amp;"]"&amp;Info!$B$6&amp;"'!"&amp;Info!$B$15),"&lt;="&amp;Info!$B$18))</f>
        <v>#REF!</v>
      </c>
      <c r="F103" s="58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$20,INDIRECT("'["&amp;Info!$B$5&amp;"]"&amp;Info!$B$6&amp;"'!"&amp;Info!$B$15),"&lt;="&amp;Info!$B$21))</f>
        <v>#REF!</v>
      </c>
      <c r="G103" s="51" t="e">
        <f ca="1">IF(B103="","",SUMIFS(INDIRECT("'["&amp;Info!$B$5&amp;"]"&amp;Info!$B$6&amp;"'!"&amp;Info!$B$11),INDIRECT("'["&amp;Info!$B$5&amp;"]"&amp;Info!$B$6&amp;"'!"&amp;Info!$B$9),B103,INDIRECT("'["&amp;Info!$B$5&amp;"]"&amp;Info!$B$6&amp;"'!"&amp;Info!$B$15),"&gt;="&amp;Info!$B$23,INDIRECT("'["&amp;Info!$B$5&amp;"]"&amp;Info!$B$6&amp;"'!"&amp;Info!$B$15),"&lt;="&amp;Info!$B$24))</f>
        <v>#REF!</v>
      </c>
      <c r="H103" s="51" t="e">
        <f t="shared" ca="1" si="2"/>
        <v>#REF!</v>
      </c>
      <c r="I103" s="60" t="e">
        <f ca="1">IF(B103="","",IFERROR(SUMIF(INDIRECT("'["&amp;Info!$B$5&amp;"]"&amp;Info!$B$6&amp;"'!"&amp;Info!$B$9),B103,INDIRECT("'["&amp;Info!$B$5&amp;"]"&amp;Info!$B$6&amp;"'!"&amp;Info!$B$13))/COUNTIF(INDIRECT("'["&amp;Info!$B$5&amp;"]"&amp;Info!$B$6&amp;"'!"&amp;Info!$B$9),B103),D103))</f>
        <v>#N/A</v>
      </c>
    </row>
    <row r="104" spans="1:9" x14ac:dyDescent="0.25">
      <c r="A104" s="64" t="str">
        <f>IF(B104="","", Info!$B$2)</f>
        <v>DVN-FP3330-180404</v>
      </c>
      <c r="B104" s="8" t="s">
        <v>67</v>
      </c>
      <c r="C104" s="56" t="e">
        <f>IF(B104="","",IFERROR(VLOOKUP(B104,Reel!$E$3:$F$1013,2,0),VLOOKUP(B104,Ring!$E$3:$F$1000,2,0)))</f>
        <v>#N/A</v>
      </c>
      <c r="D104" s="60" t="e">
        <f>IF(C104="","",IFERROR(VLOOKUP(C104,Reel!$F$2:$H$1013,3,0),VLOOKUP(C104,Ring!$F$3:$H$1000,3,0)))</f>
        <v>#N/A</v>
      </c>
      <c r="E104" s="58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$17,INDIRECT("'["&amp;Info!$B$5&amp;"]"&amp;Info!$B$6&amp;"'!"&amp;Info!$B$15),"&lt;="&amp;Info!$B$18))</f>
        <v>#REF!</v>
      </c>
      <c r="F104" s="58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$20,INDIRECT("'["&amp;Info!$B$5&amp;"]"&amp;Info!$B$6&amp;"'!"&amp;Info!$B$15),"&lt;="&amp;Info!$B$21))</f>
        <v>#REF!</v>
      </c>
      <c r="G104" s="51" t="e">
        <f ca="1">IF(B104="","",SUMIFS(INDIRECT("'["&amp;Info!$B$5&amp;"]"&amp;Info!$B$6&amp;"'!"&amp;Info!$B$11),INDIRECT("'["&amp;Info!$B$5&amp;"]"&amp;Info!$B$6&amp;"'!"&amp;Info!$B$9),B104,INDIRECT("'["&amp;Info!$B$5&amp;"]"&amp;Info!$B$6&amp;"'!"&amp;Info!$B$15),"&gt;="&amp;Info!$B$23,INDIRECT("'["&amp;Info!$B$5&amp;"]"&amp;Info!$B$6&amp;"'!"&amp;Info!$B$15),"&lt;="&amp;Info!$B$24))</f>
        <v>#REF!</v>
      </c>
      <c r="H104" s="51" t="e">
        <f t="shared" ca="1" si="2"/>
        <v>#REF!</v>
      </c>
      <c r="I104" s="60" t="e">
        <f ca="1">IF(B104="","",IFERROR(SUMIF(INDIRECT("'["&amp;Info!$B$5&amp;"]"&amp;Info!$B$6&amp;"'!"&amp;Info!$B$9),B104,INDIRECT("'["&amp;Info!$B$5&amp;"]"&amp;Info!$B$6&amp;"'!"&amp;Info!$B$13))/COUNTIF(INDIRECT("'["&amp;Info!$B$5&amp;"]"&amp;Info!$B$6&amp;"'!"&amp;Info!$B$9),B104),D104))</f>
        <v>#N/A</v>
      </c>
    </row>
    <row r="105" spans="1:9" x14ac:dyDescent="0.25">
      <c r="A105" s="64" t="str">
        <f>IF(B105="","", Info!$B$2)</f>
        <v>DVN-FP3330-180404</v>
      </c>
      <c r="B105" s="8" t="s">
        <v>68</v>
      </c>
      <c r="C105" s="56" t="e">
        <f>IF(B105="","",IFERROR(VLOOKUP(B105,Reel!$E$3:$F$1013,2,0),VLOOKUP(B105,Ring!$E$3:$F$1000,2,0)))</f>
        <v>#N/A</v>
      </c>
      <c r="D105" s="60" t="e">
        <f>IF(C105="","",IFERROR(VLOOKUP(C105,Reel!$F$2:$H$1013,3,0),VLOOKUP(C105,Ring!$F$3:$H$1000,3,0)))</f>
        <v>#N/A</v>
      </c>
      <c r="E105" s="58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$17,INDIRECT("'["&amp;Info!$B$5&amp;"]"&amp;Info!$B$6&amp;"'!"&amp;Info!$B$15),"&lt;="&amp;Info!$B$18))</f>
        <v>#REF!</v>
      </c>
      <c r="F105" s="58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$20,INDIRECT("'["&amp;Info!$B$5&amp;"]"&amp;Info!$B$6&amp;"'!"&amp;Info!$B$15),"&lt;="&amp;Info!$B$21))</f>
        <v>#REF!</v>
      </c>
      <c r="G105" s="51" t="e">
        <f ca="1">IF(B105="","",SUMIFS(INDIRECT("'["&amp;Info!$B$5&amp;"]"&amp;Info!$B$6&amp;"'!"&amp;Info!$B$11),INDIRECT("'["&amp;Info!$B$5&amp;"]"&amp;Info!$B$6&amp;"'!"&amp;Info!$B$9),B105,INDIRECT("'["&amp;Info!$B$5&amp;"]"&amp;Info!$B$6&amp;"'!"&amp;Info!$B$15),"&gt;="&amp;Info!$B$23,INDIRECT("'["&amp;Info!$B$5&amp;"]"&amp;Info!$B$6&amp;"'!"&amp;Info!$B$15),"&lt;="&amp;Info!$B$24))</f>
        <v>#REF!</v>
      </c>
      <c r="H105" s="51" t="e">
        <f t="shared" ref="H105:H122" ca="1" si="3">SUM(E105:G105)</f>
        <v>#REF!</v>
      </c>
      <c r="I105" s="60" t="e">
        <f ca="1">IF(B105="","",IFERROR(SUMIF(INDIRECT("'["&amp;Info!$B$5&amp;"]"&amp;Info!$B$6&amp;"'!"&amp;Info!$B$9),B105,INDIRECT("'["&amp;Info!$B$5&amp;"]"&amp;Info!$B$6&amp;"'!"&amp;Info!$B$13))/COUNTIF(INDIRECT("'["&amp;Info!$B$5&amp;"]"&amp;Info!$B$6&amp;"'!"&amp;Info!$B$9),B105),D105))</f>
        <v>#N/A</v>
      </c>
    </row>
    <row r="106" spans="1:9" x14ac:dyDescent="0.25">
      <c r="A106" s="64" t="str">
        <f>IF(B106="","", Info!$B$2)</f>
        <v>DVN-FP3330-180404</v>
      </c>
      <c r="B106" s="8" t="s">
        <v>69</v>
      </c>
      <c r="C106" s="56" t="e">
        <f>IF(B106="","",IFERROR(VLOOKUP(B106,Reel!$E$3:$F$1013,2,0),VLOOKUP(B106,Ring!$E$3:$F$1000,2,0)))</f>
        <v>#N/A</v>
      </c>
      <c r="D106" s="60" t="e">
        <f>IF(C106="","",IFERROR(VLOOKUP(C106,Reel!$F$2:$H$1013,3,0),VLOOKUP(C106,Ring!$F$3:$H$1000,3,0)))</f>
        <v>#N/A</v>
      </c>
      <c r="E106" s="58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$17,INDIRECT("'["&amp;Info!$B$5&amp;"]"&amp;Info!$B$6&amp;"'!"&amp;Info!$B$15),"&lt;="&amp;Info!$B$18))</f>
        <v>#REF!</v>
      </c>
      <c r="F106" s="58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$20,INDIRECT("'["&amp;Info!$B$5&amp;"]"&amp;Info!$B$6&amp;"'!"&amp;Info!$B$15),"&lt;="&amp;Info!$B$21))</f>
        <v>#REF!</v>
      </c>
      <c r="G106" s="51" t="e">
        <f ca="1">IF(B106="","",SUMIFS(INDIRECT("'["&amp;Info!$B$5&amp;"]"&amp;Info!$B$6&amp;"'!"&amp;Info!$B$11),INDIRECT("'["&amp;Info!$B$5&amp;"]"&amp;Info!$B$6&amp;"'!"&amp;Info!$B$9),B106,INDIRECT("'["&amp;Info!$B$5&amp;"]"&amp;Info!$B$6&amp;"'!"&amp;Info!$B$15),"&gt;="&amp;Info!$B$23,INDIRECT("'["&amp;Info!$B$5&amp;"]"&amp;Info!$B$6&amp;"'!"&amp;Info!$B$15),"&lt;="&amp;Info!$B$24))</f>
        <v>#REF!</v>
      </c>
      <c r="H106" s="51" t="e">
        <f t="shared" ca="1" si="3"/>
        <v>#REF!</v>
      </c>
      <c r="I106" s="60" t="e">
        <f ca="1">IF(B106="","",IFERROR(SUMIF(INDIRECT("'["&amp;Info!$B$5&amp;"]"&amp;Info!$B$6&amp;"'!"&amp;Info!$B$9),B106,INDIRECT("'["&amp;Info!$B$5&amp;"]"&amp;Info!$B$6&amp;"'!"&amp;Info!$B$13))/COUNTIF(INDIRECT("'["&amp;Info!$B$5&amp;"]"&amp;Info!$B$6&amp;"'!"&amp;Info!$B$9),B106),D106))</f>
        <v>#N/A</v>
      </c>
    </row>
    <row r="107" spans="1:9" x14ac:dyDescent="0.25">
      <c r="A107" s="64" t="str">
        <f>IF(B107="","", Info!$B$2)</f>
        <v>DVN-FP3330-180404</v>
      </c>
      <c r="B107" s="8" t="s">
        <v>70</v>
      </c>
      <c r="C107" s="56" t="e">
        <f>IF(B107="","",IFERROR(VLOOKUP(B107,Reel!$E$3:$F$1013,2,0),VLOOKUP(B107,Ring!$E$3:$F$1000,2,0)))</f>
        <v>#N/A</v>
      </c>
      <c r="D107" s="60" t="e">
        <f>IF(C107="","",IFERROR(VLOOKUP(C107,Reel!$F$2:$H$1013,3,0),VLOOKUP(C107,Ring!$F$3:$H$1000,3,0)))</f>
        <v>#N/A</v>
      </c>
      <c r="E107" s="58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$17,INDIRECT("'["&amp;Info!$B$5&amp;"]"&amp;Info!$B$6&amp;"'!"&amp;Info!$B$15),"&lt;="&amp;Info!$B$18))</f>
        <v>#REF!</v>
      </c>
      <c r="F107" s="58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$20,INDIRECT("'["&amp;Info!$B$5&amp;"]"&amp;Info!$B$6&amp;"'!"&amp;Info!$B$15),"&lt;="&amp;Info!$B$21))</f>
        <v>#REF!</v>
      </c>
      <c r="G107" s="51" t="e">
        <f ca="1">IF(B107="","",SUMIFS(INDIRECT("'["&amp;Info!$B$5&amp;"]"&amp;Info!$B$6&amp;"'!"&amp;Info!$B$11),INDIRECT("'["&amp;Info!$B$5&amp;"]"&amp;Info!$B$6&amp;"'!"&amp;Info!$B$9),B107,INDIRECT("'["&amp;Info!$B$5&amp;"]"&amp;Info!$B$6&amp;"'!"&amp;Info!$B$15),"&gt;="&amp;Info!$B$23,INDIRECT("'["&amp;Info!$B$5&amp;"]"&amp;Info!$B$6&amp;"'!"&amp;Info!$B$15),"&lt;="&amp;Info!$B$24))</f>
        <v>#REF!</v>
      </c>
      <c r="H107" s="51" t="e">
        <f t="shared" ca="1" si="3"/>
        <v>#REF!</v>
      </c>
      <c r="I107" s="60" t="e">
        <f ca="1">IF(B107="","",IFERROR(SUMIF(INDIRECT("'["&amp;Info!$B$5&amp;"]"&amp;Info!$B$6&amp;"'!"&amp;Info!$B$9),B107,INDIRECT("'["&amp;Info!$B$5&amp;"]"&amp;Info!$B$6&amp;"'!"&amp;Info!$B$13))/COUNTIF(INDIRECT("'["&amp;Info!$B$5&amp;"]"&amp;Info!$B$6&amp;"'!"&amp;Info!$B$9),B107),D107))</f>
        <v>#N/A</v>
      </c>
    </row>
    <row r="108" spans="1:9" x14ac:dyDescent="0.25">
      <c r="A108" s="64" t="str">
        <f>IF(B108="","", Info!$B$2)</f>
        <v>DVN-FP3330-180404</v>
      </c>
      <c r="B108" s="8" t="s">
        <v>71</v>
      </c>
      <c r="C108" s="56" t="e">
        <f>IF(B108="","",IFERROR(VLOOKUP(B108,Reel!$E$3:$F$1013,2,0),VLOOKUP(B108,Ring!$E$3:$F$1000,2,0)))</f>
        <v>#N/A</v>
      </c>
      <c r="D108" s="60" t="e">
        <f>IF(C108="","",IFERROR(VLOOKUP(C108,Reel!$F$2:$H$1013,3,0),VLOOKUP(C108,Ring!$F$3:$H$1000,3,0)))</f>
        <v>#N/A</v>
      </c>
      <c r="E108" s="58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$17,INDIRECT("'["&amp;Info!$B$5&amp;"]"&amp;Info!$B$6&amp;"'!"&amp;Info!$B$15),"&lt;="&amp;Info!$B$18))</f>
        <v>#REF!</v>
      </c>
      <c r="F108" s="58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$20,INDIRECT("'["&amp;Info!$B$5&amp;"]"&amp;Info!$B$6&amp;"'!"&amp;Info!$B$15),"&lt;="&amp;Info!$B$21))</f>
        <v>#REF!</v>
      </c>
      <c r="G108" s="51" t="e">
        <f ca="1">IF(B108="","",SUMIFS(INDIRECT("'["&amp;Info!$B$5&amp;"]"&amp;Info!$B$6&amp;"'!"&amp;Info!$B$11),INDIRECT("'["&amp;Info!$B$5&amp;"]"&amp;Info!$B$6&amp;"'!"&amp;Info!$B$9),B108,INDIRECT("'["&amp;Info!$B$5&amp;"]"&amp;Info!$B$6&amp;"'!"&amp;Info!$B$15),"&gt;="&amp;Info!$B$23,INDIRECT("'["&amp;Info!$B$5&amp;"]"&amp;Info!$B$6&amp;"'!"&amp;Info!$B$15),"&lt;="&amp;Info!$B$24))</f>
        <v>#REF!</v>
      </c>
      <c r="H108" s="51" t="e">
        <f t="shared" ca="1" si="3"/>
        <v>#REF!</v>
      </c>
      <c r="I108" s="60" t="e">
        <f ca="1">IF(B108="","",IFERROR(SUMIF(INDIRECT("'["&amp;Info!$B$5&amp;"]"&amp;Info!$B$6&amp;"'!"&amp;Info!$B$9),B108,INDIRECT("'["&amp;Info!$B$5&amp;"]"&amp;Info!$B$6&amp;"'!"&amp;Info!$B$13))/COUNTIF(INDIRECT("'["&amp;Info!$B$5&amp;"]"&amp;Info!$B$6&amp;"'!"&amp;Info!$B$9),B108),D108))</f>
        <v>#N/A</v>
      </c>
    </row>
    <row r="109" spans="1:9" x14ac:dyDescent="0.25">
      <c r="A109" s="64" t="str">
        <f>IF(B109="","", Info!$B$2)</f>
        <v>DVN-FP3330-180404</v>
      </c>
      <c r="B109" s="8" t="s">
        <v>72</v>
      </c>
      <c r="C109" s="56" t="e">
        <f>IF(B109="","",IFERROR(VLOOKUP(B109,Reel!$E$3:$F$1013,2,0),VLOOKUP(B109,Ring!$E$3:$F$1000,2,0)))</f>
        <v>#N/A</v>
      </c>
      <c r="D109" s="60" t="e">
        <f>IF(C109="","",IFERROR(VLOOKUP(C109,Reel!$F$2:$H$1013,3,0),VLOOKUP(C109,Ring!$F$3:$H$1000,3,0)))</f>
        <v>#N/A</v>
      </c>
      <c r="E109" s="58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$17,INDIRECT("'["&amp;Info!$B$5&amp;"]"&amp;Info!$B$6&amp;"'!"&amp;Info!$B$15),"&lt;="&amp;Info!$B$18))</f>
        <v>#REF!</v>
      </c>
      <c r="F109" s="58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$20,INDIRECT("'["&amp;Info!$B$5&amp;"]"&amp;Info!$B$6&amp;"'!"&amp;Info!$B$15),"&lt;="&amp;Info!$B$21))</f>
        <v>#REF!</v>
      </c>
      <c r="G109" s="51" t="e">
        <f ca="1">IF(B109="","",SUMIFS(INDIRECT("'["&amp;Info!$B$5&amp;"]"&amp;Info!$B$6&amp;"'!"&amp;Info!$B$11),INDIRECT("'["&amp;Info!$B$5&amp;"]"&amp;Info!$B$6&amp;"'!"&amp;Info!$B$9),B109,INDIRECT("'["&amp;Info!$B$5&amp;"]"&amp;Info!$B$6&amp;"'!"&amp;Info!$B$15),"&gt;="&amp;Info!$B$23,INDIRECT("'["&amp;Info!$B$5&amp;"]"&amp;Info!$B$6&amp;"'!"&amp;Info!$B$15),"&lt;="&amp;Info!$B$24))</f>
        <v>#REF!</v>
      </c>
      <c r="H109" s="51" t="e">
        <f t="shared" ca="1" si="3"/>
        <v>#REF!</v>
      </c>
      <c r="I109" s="60" t="e">
        <f ca="1">IF(B109="","",IFERROR(SUMIF(INDIRECT("'["&amp;Info!$B$5&amp;"]"&amp;Info!$B$6&amp;"'!"&amp;Info!$B$9),B109,INDIRECT("'["&amp;Info!$B$5&amp;"]"&amp;Info!$B$6&amp;"'!"&amp;Info!$B$13))/COUNTIF(INDIRECT("'["&amp;Info!$B$5&amp;"]"&amp;Info!$B$6&amp;"'!"&amp;Info!$B$9),B109),D109))</f>
        <v>#N/A</v>
      </c>
    </row>
    <row r="110" spans="1:9" x14ac:dyDescent="0.25">
      <c r="A110" s="64" t="str">
        <f>IF(B110="","", Info!$B$2)</f>
        <v>DVN-FP3330-180404</v>
      </c>
      <c r="B110" s="8" t="s">
        <v>73</v>
      </c>
      <c r="C110" s="56" t="e">
        <f>IF(B110="","",IFERROR(VLOOKUP(B110,Reel!$E$3:$F$1013,2,0),VLOOKUP(B110,Ring!$E$3:$F$1000,2,0)))</f>
        <v>#N/A</v>
      </c>
      <c r="D110" s="60" t="e">
        <f>IF(C110="","",IFERROR(VLOOKUP(C110,Reel!$F$2:$H$1013,3,0),VLOOKUP(C110,Ring!$F$3:$H$1000,3,0)))</f>
        <v>#N/A</v>
      </c>
      <c r="E110" s="58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$17,INDIRECT("'["&amp;Info!$B$5&amp;"]"&amp;Info!$B$6&amp;"'!"&amp;Info!$B$15),"&lt;="&amp;Info!$B$18))</f>
        <v>#REF!</v>
      </c>
      <c r="F110" s="58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$20,INDIRECT("'["&amp;Info!$B$5&amp;"]"&amp;Info!$B$6&amp;"'!"&amp;Info!$B$15),"&lt;="&amp;Info!$B$21))</f>
        <v>#REF!</v>
      </c>
      <c r="G110" s="51" t="e">
        <f ca="1">IF(B110="","",SUMIFS(INDIRECT("'["&amp;Info!$B$5&amp;"]"&amp;Info!$B$6&amp;"'!"&amp;Info!$B$11),INDIRECT("'["&amp;Info!$B$5&amp;"]"&amp;Info!$B$6&amp;"'!"&amp;Info!$B$9),B110,INDIRECT("'["&amp;Info!$B$5&amp;"]"&amp;Info!$B$6&amp;"'!"&amp;Info!$B$15),"&gt;="&amp;Info!$B$23,INDIRECT("'["&amp;Info!$B$5&amp;"]"&amp;Info!$B$6&amp;"'!"&amp;Info!$B$15),"&lt;="&amp;Info!$B$24))</f>
        <v>#REF!</v>
      </c>
      <c r="H110" s="51" t="e">
        <f t="shared" ca="1" si="3"/>
        <v>#REF!</v>
      </c>
      <c r="I110" s="60" t="e">
        <f ca="1">IF(B110="","",IFERROR(SUMIF(INDIRECT("'["&amp;Info!$B$5&amp;"]"&amp;Info!$B$6&amp;"'!"&amp;Info!$B$9),B110,INDIRECT("'["&amp;Info!$B$5&amp;"]"&amp;Info!$B$6&amp;"'!"&amp;Info!$B$13))/COUNTIF(INDIRECT("'["&amp;Info!$B$5&amp;"]"&amp;Info!$B$6&amp;"'!"&amp;Info!$B$9),B110),D110))</f>
        <v>#N/A</v>
      </c>
    </row>
    <row r="111" spans="1:9" x14ac:dyDescent="0.25">
      <c r="A111" s="64" t="str">
        <f>IF(B111="","", Info!$B$2)</f>
        <v>DVN-FP3330-180404</v>
      </c>
      <c r="B111" s="8" t="s">
        <v>74</v>
      </c>
      <c r="C111" s="56" t="e">
        <f>IF(B111="","",IFERROR(VLOOKUP(B111,Reel!$E$3:$F$1013,2,0),VLOOKUP(B111,Ring!$E$3:$F$1000,2,0)))</f>
        <v>#N/A</v>
      </c>
      <c r="D111" s="60" t="e">
        <f>IF(C111="","",IFERROR(VLOOKUP(C111,Reel!$F$2:$H$1013,3,0),VLOOKUP(C111,Ring!$F$3:$H$1000,3,0)))</f>
        <v>#N/A</v>
      </c>
      <c r="E111" s="58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$17,INDIRECT("'["&amp;Info!$B$5&amp;"]"&amp;Info!$B$6&amp;"'!"&amp;Info!$B$15),"&lt;="&amp;Info!$B$18))</f>
        <v>#REF!</v>
      </c>
      <c r="F111" s="58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$20,INDIRECT("'["&amp;Info!$B$5&amp;"]"&amp;Info!$B$6&amp;"'!"&amp;Info!$B$15),"&lt;="&amp;Info!$B$21))</f>
        <v>#REF!</v>
      </c>
      <c r="G111" s="51" t="e">
        <f ca="1">IF(B111="","",SUMIFS(INDIRECT("'["&amp;Info!$B$5&amp;"]"&amp;Info!$B$6&amp;"'!"&amp;Info!$B$11),INDIRECT("'["&amp;Info!$B$5&amp;"]"&amp;Info!$B$6&amp;"'!"&amp;Info!$B$9),B111,INDIRECT("'["&amp;Info!$B$5&amp;"]"&amp;Info!$B$6&amp;"'!"&amp;Info!$B$15),"&gt;="&amp;Info!$B$23,INDIRECT("'["&amp;Info!$B$5&amp;"]"&amp;Info!$B$6&amp;"'!"&amp;Info!$B$15),"&lt;="&amp;Info!$B$24))</f>
        <v>#REF!</v>
      </c>
      <c r="H111" s="51" t="e">
        <f t="shared" ca="1" si="3"/>
        <v>#REF!</v>
      </c>
      <c r="I111" s="60" t="e">
        <f ca="1">IF(B111="","",IFERROR(SUMIF(INDIRECT("'["&amp;Info!$B$5&amp;"]"&amp;Info!$B$6&amp;"'!"&amp;Info!$B$9),B111,INDIRECT("'["&amp;Info!$B$5&amp;"]"&amp;Info!$B$6&amp;"'!"&amp;Info!$B$13))/COUNTIF(INDIRECT("'["&amp;Info!$B$5&amp;"]"&amp;Info!$B$6&amp;"'!"&amp;Info!$B$9),B111),D111))</f>
        <v>#N/A</v>
      </c>
    </row>
    <row r="112" spans="1:9" x14ac:dyDescent="0.25">
      <c r="A112" s="64" t="str">
        <f>IF(B112="","", Info!$B$2)</f>
        <v>DVN-FP3330-180404</v>
      </c>
      <c r="B112" s="8" t="s">
        <v>75</v>
      </c>
      <c r="C112" s="56" t="e">
        <f>IF(B112="","",IFERROR(VLOOKUP(B112,Reel!$E$3:$F$1013,2,0),VLOOKUP(B112,Ring!$E$3:$F$1000,2,0)))</f>
        <v>#N/A</v>
      </c>
      <c r="D112" s="60" t="e">
        <f>IF(C112="","",IFERROR(VLOOKUP(C112,Reel!$F$2:$H$1013,3,0),VLOOKUP(C112,Ring!$F$3:$H$1000,3,0)))</f>
        <v>#N/A</v>
      </c>
      <c r="E112" s="58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$17,INDIRECT("'["&amp;Info!$B$5&amp;"]"&amp;Info!$B$6&amp;"'!"&amp;Info!$B$15),"&lt;="&amp;Info!$B$18))</f>
        <v>#REF!</v>
      </c>
      <c r="F112" s="58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$20,INDIRECT("'["&amp;Info!$B$5&amp;"]"&amp;Info!$B$6&amp;"'!"&amp;Info!$B$15),"&lt;="&amp;Info!$B$21))</f>
        <v>#REF!</v>
      </c>
      <c r="G112" s="51" t="e">
        <f ca="1">IF(B112="","",SUMIFS(INDIRECT("'["&amp;Info!$B$5&amp;"]"&amp;Info!$B$6&amp;"'!"&amp;Info!$B$11),INDIRECT("'["&amp;Info!$B$5&amp;"]"&amp;Info!$B$6&amp;"'!"&amp;Info!$B$9),B112,INDIRECT("'["&amp;Info!$B$5&amp;"]"&amp;Info!$B$6&amp;"'!"&amp;Info!$B$15),"&gt;="&amp;Info!$B$23,INDIRECT("'["&amp;Info!$B$5&amp;"]"&amp;Info!$B$6&amp;"'!"&amp;Info!$B$15),"&lt;="&amp;Info!$B$24))</f>
        <v>#REF!</v>
      </c>
      <c r="H112" s="51" t="e">
        <f t="shared" ca="1" si="3"/>
        <v>#REF!</v>
      </c>
      <c r="I112" s="60" t="e">
        <f ca="1">IF(B112="","",IFERROR(SUMIF(INDIRECT("'["&amp;Info!$B$5&amp;"]"&amp;Info!$B$6&amp;"'!"&amp;Info!$B$9),B112,INDIRECT("'["&amp;Info!$B$5&amp;"]"&amp;Info!$B$6&amp;"'!"&amp;Info!$B$13))/COUNTIF(INDIRECT("'["&amp;Info!$B$5&amp;"]"&amp;Info!$B$6&amp;"'!"&amp;Info!$B$9),B112),D112))</f>
        <v>#N/A</v>
      </c>
    </row>
    <row r="113" spans="1:13" x14ac:dyDescent="0.25">
      <c r="A113" s="64" t="str">
        <f>IF(B113="","", Info!$B$2)</f>
        <v>DVN-FP3330-180404</v>
      </c>
      <c r="B113" s="72" t="s">
        <v>425</v>
      </c>
      <c r="C113" s="56" t="e">
        <f>IF(B113="","",IFERROR(VLOOKUP(B113,Reel!$E$3:$F$1013,2,0),VLOOKUP(B113,Ring!$E$3:$F$1000,2,0)))</f>
        <v>#N/A</v>
      </c>
      <c r="D113" s="60" t="e">
        <f>IF(C113="","",IFERROR(VLOOKUP(C113,Reel!$F$2:$H$1013,3,0),VLOOKUP(C113,Ring!$F$3:$H$1000,3,0)))</f>
        <v>#N/A</v>
      </c>
      <c r="E113" s="58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$17,INDIRECT("'["&amp;Info!$B$5&amp;"]"&amp;Info!$B$6&amp;"'!"&amp;Info!$B$15),"&lt;="&amp;Info!$B$18))</f>
        <v>#REF!</v>
      </c>
      <c r="F113" s="58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$20,INDIRECT("'["&amp;Info!$B$5&amp;"]"&amp;Info!$B$6&amp;"'!"&amp;Info!$B$15),"&lt;="&amp;Info!$B$21))</f>
        <v>#REF!</v>
      </c>
      <c r="G113" s="51" t="e">
        <f ca="1">IF(B113="","",SUMIFS(INDIRECT("'["&amp;Info!$B$5&amp;"]"&amp;Info!$B$6&amp;"'!"&amp;Info!$B$11),INDIRECT("'["&amp;Info!$B$5&amp;"]"&amp;Info!$B$6&amp;"'!"&amp;Info!$B$9),B113,INDIRECT("'["&amp;Info!$B$5&amp;"]"&amp;Info!$B$6&amp;"'!"&amp;Info!$B$15),"&gt;="&amp;Info!$B$23,INDIRECT("'["&amp;Info!$B$5&amp;"]"&amp;Info!$B$6&amp;"'!"&amp;Info!$B$15),"&lt;="&amp;Info!$B$24))</f>
        <v>#REF!</v>
      </c>
      <c r="H113" s="51" t="e">
        <f t="shared" ca="1" si="3"/>
        <v>#REF!</v>
      </c>
      <c r="I113" s="60" t="e">
        <f ca="1">IF(B113="","",IFERROR(SUMIF(INDIRECT("'["&amp;Info!$B$5&amp;"]"&amp;Info!$B$6&amp;"'!"&amp;Info!$B$9),B113,INDIRECT("'["&amp;Info!$B$5&amp;"]"&amp;Info!$B$6&amp;"'!"&amp;Info!$B$13))/COUNTIF(INDIRECT("'["&amp;Info!$B$5&amp;"]"&amp;Info!$B$6&amp;"'!"&amp;Info!$B$9),B113),D113))</f>
        <v>#N/A</v>
      </c>
    </row>
    <row r="114" spans="1:13" x14ac:dyDescent="0.25">
      <c r="A114" s="64" t="str">
        <f>IF(B114="","", Info!$B$2)</f>
        <v>DVN-FP3330-180404</v>
      </c>
      <c r="B114" s="8" t="s">
        <v>423</v>
      </c>
      <c r="C114" s="56" t="e">
        <f>IF(B114="","",IFERROR(VLOOKUP(B114,Reel!$E$3:$F$1013,2,0),VLOOKUP(B114,Ring!$E$3:$F$1000,2,0)))</f>
        <v>#N/A</v>
      </c>
      <c r="D114" s="60" t="e">
        <f>IF(C114="","",IFERROR(VLOOKUP(C114,Reel!$F$2:$H$1013,3,0),VLOOKUP(C114,Ring!$F$3:$H$1000,3,0)))</f>
        <v>#N/A</v>
      </c>
      <c r="E114" s="58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$17,INDIRECT("'["&amp;Info!$B$5&amp;"]"&amp;Info!$B$6&amp;"'!"&amp;Info!$B$15),"&lt;="&amp;Info!$B$18))</f>
        <v>#REF!</v>
      </c>
      <c r="F114" s="58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$20,INDIRECT("'["&amp;Info!$B$5&amp;"]"&amp;Info!$B$6&amp;"'!"&amp;Info!$B$15),"&lt;="&amp;Info!$B$21))</f>
        <v>#REF!</v>
      </c>
      <c r="G114" s="51" t="e">
        <f ca="1">IF(B114="","",SUMIFS(INDIRECT("'["&amp;Info!$B$5&amp;"]"&amp;Info!$B$6&amp;"'!"&amp;Info!$B$11),INDIRECT("'["&amp;Info!$B$5&amp;"]"&amp;Info!$B$6&amp;"'!"&amp;Info!$B$9),B114,INDIRECT("'["&amp;Info!$B$5&amp;"]"&amp;Info!$B$6&amp;"'!"&amp;Info!$B$15),"&gt;="&amp;Info!$B$23,INDIRECT("'["&amp;Info!$B$5&amp;"]"&amp;Info!$B$6&amp;"'!"&amp;Info!$B$15),"&lt;="&amp;Info!$B$24))</f>
        <v>#REF!</v>
      </c>
      <c r="H114" s="51" t="e">
        <f t="shared" ca="1" si="3"/>
        <v>#REF!</v>
      </c>
      <c r="I114" s="60" t="e">
        <f ca="1">IF(B114="","",IFERROR(SUMIF(INDIRECT("'["&amp;Info!$B$5&amp;"]"&amp;Info!$B$6&amp;"'!"&amp;Info!$B$9),B114,INDIRECT("'["&amp;Info!$B$5&amp;"]"&amp;Info!$B$6&amp;"'!"&amp;Info!$B$13))/COUNTIF(INDIRECT("'["&amp;Info!$B$5&amp;"]"&amp;Info!$B$6&amp;"'!"&amp;Info!$B$9),B114),D114))</f>
        <v>#N/A</v>
      </c>
    </row>
    <row r="115" spans="1:13" x14ac:dyDescent="0.25">
      <c r="A115" s="64" t="str">
        <f>IF(B115="","", Info!$B$2)</f>
        <v>DVN-FP3330-180404</v>
      </c>
      <c r="B115" s="8" t="s">
        <v>430</v>
      </c>
      <c r="C115" s="56" t="e">
        <f>IF(B115="","",IFERROR(VLOOKUP(B115,Reel!$E$3:$F$1013,2,0),VLOOKUP(B115,Ring!$E$3:$F$1000,2,0)))</f>
        <v>#N/A</v>
      </c>
      <c r="D115" s="60" t="e">
        <f>IF(C115="","",IFERROR(VLOOKUP(C115,Reel!$F$2:$H$1013,3,0),VLOOKUP(C115,Ring!$F$3:$H$1000,3,0)))</f>
        <v>#N/A</v>
      </c>
      <c r="E115" s="58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$17,INDIRECT("'["&amp;Info!$B$5&amp;"]"&amp;Info!$B$6&amp;"'!"&amp;Info!$B$15),"&lt;="&amp;Info!$B$18))</f>
        <v>#REF!</v>
      </c>
      <c r="F115" s="58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$20,INDIRECT("'["&amp;Info!$B$5&amp;"]"&amp;Info!$B$6&amp;"'!"&amp;Info!$B$15),"&lt;="&amp;Info!$B$21))</f>
        <v>#REF!</v>
      </c>
      <c r="G115" s="51" t="e">
        <f ca="1">IF(B115="","",SUMIFS(INDIRECT("'["&amp;Info!$B$5&amp;"]"&amp;Info!$B$6&amp;"'!"&amp;Info!$B$11),INDIRECT("'["&amp;Info!$B$5&amp;"]"&amp;Info!$B$6&amp;"'!"&amp;Info!$B$9),B115,INDIRECT("'["&amp;Info!$B$5&amp;"]"&amp;Info!$B$6&amp;"'!"&amp;Info!$B$15),"&gt;="&amp;Info!$B$23,INDIRECT("'["&amp;Info!$B$5&amp;"]"&amp;Info!$B$6&amp;"'!"&amp;Info!$B$15),"&lt;="&amp;Info!$B$24))</f>
        <v>#REF!</v>
      </c>
      <c r="H115" s="51" t="e">
        <f t="shared" ca="1" si="3"/>
        <v>#REF!</v>
      </c>
      <c r="I115" s="60" t="e">
        <f ca="1">IF(B115="","",IFERROR(SUMIF(INDIRECT("'["&amp;Info!$B$5&amp;"]"&amp;Info!$B$6&amp;"'!"&amp;Info!$B$9),B115,INDIRECT("'["&amp;Info!$B$5&amp;"]"&amp;Info!$B$6&amp;"'!"&amp;Info!$B$13))/COUNTIF(INDIRECT("'["&amp;Info!$B$5&amp;"]"&amp;Info!$B$6&amp;"'!"&amp;Info!$B$9),B115),D115))</f>
        <v>#N/A</v>
      </c>
    </row>
    <row r="116" spans="1:13" x14ac:dyDescent="0.25">
      <c r="A116" s="64" t="str">
        <f>IF(B116="","", Info!$B$2)</f>
        <v>DVN-FP3330-180404</v>
      </c>
      <c r="B116" s="8" t="s">
        <v>433</v>
      </c>
      <c r="C116" s="56" t="e">
        <f>IF(B116="","",IFERROR(VLOOKUP(B116,Reel!$E$3:$F$1013,2,0),VLOOKUP(B116,Ring!$E$3:$F$1000,2,0)))</f>
        <v>#N/A</v>
      </c>
      <c r="D116" s="60" t="e">
        <f>IF(C116="","",IFERROR(VLOOKUP(C116,Reel!$F$2:$H$1013,3,0),VLOOKUP(C116,Ring!$F$3:$H$1000,3,0)))</f>
        <v>#N/A</v>
      </c>
      <c r="E116" s="58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$17,INDIRECT("'["&amp;Info!$B$5&amp;"]"&amp;Info!$B$6&amp;"'!"&amp;Info!$B$15),"&lt;="&amp;Info!$B$18))</f>
        <v>#REF!</v>
      </c>
      <c r="F116" s="58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$20,INDIRECT("'["&amp;Info!$B$5&amp;"]"&amp;Info!$B$6&amp;"'!"&amp;Info!$B$15),"&lt;="&amp;Info!$B$21))</f>
        <v>#REF!</v>
      </c>
      <c r="G116" s="51" t="e">
        <f ca="1">IF(B116="","",SUMIFS(INDIRECT("'["&amp;Info!$B$5&amp;"]"&amp;Info!$B$6&amp;"'!"&amp;Info!$B$11),INDIRECT("'["&amp;Info!$B$5&amp;"]"&amp;Info!$B$6&amp;"'!"&amp;Info!$B$9),B116,INDIRECT("'["&amp;Info!$B$5&amp;"]"&amp;Info!$B$6&amp;"'!"&amp;Info!$B$15),"&gt;="&amp;Info!$B$23,INDIRECT("'["&amp;Info!$B$5&amp;"]"&amp;Info!$B$6&amp;"'!"&amp;Info!$B$15),"&lt;="&amp;Info!$B$24))</f>
        <v>#REF!</v>
      </c>
      <c r="H116" s="51" t="e">
        <f t="shared" ca="1" si="3"/>
        <v>#REF!</v>
      </c>
      <c r="I116" s="60" t="e">
        <f ca="1">IF(B116="","",IFERROR(SUMIF(INDIRECT("'["&amp;Info!$B$5&amp;"]"&amp;Info!$B$6&amp;"'!"&amp;Info!$B$9),B116,INDIRECT("'["&amp;Info!$B$5&amp;"]"&amp;Info!$B$6&amp;"'!"&amp;Info!$B$13))/COUNTIF(INDIRECT("'["&amp;Info!$B$5&amp;"]"&amp;Info!$B$6&amp;"'!"&amp;Info!$B$9),B116),D116))</f>
        <v>#N/A</v>
      </c>
    </row>
    <row r="117" spans="1:13" x14ac:dyDescent="0.25">
      <c r="A117" s="64" t="str">
        <f>IF(B117="","", Info!$B$2)</f>
        <v>DVN-FP3330-180404</v>
      </c>
      <c r="B117" s="8" t="s">
        <v>437</v>
      </c>
      <c r="C117" s="56" t="e">
        <f>IF(B117="","",IFERROR(VLOOKUP(B117,Reel!$E$3:$F$1013,2,0),VLOOKUP(B117,Ring!$E$3:$F$1000,2,0)))</f>
        <v>#N/A</v>
      </c>
      <c r="D117" s="60" t="e">
        <f>IF(C117="","",IFERROR(VLOOKUP(C117,Reel!$F$2:$H$1013,3,0),VLOOKUP(C117,Ring!$F$3:$H$1000,3,0)))</f>
        <v>#N/A</v>
      </c>
      <c r="E117" s="58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$17,INDIRECT("'["&amp;Info!$B$5&amp;"]"&amp;Info!$B$6&amp;"'!"&amp;Info!$B$15),"&lt;="&amp;Info!$B$18))</f>
        <v>#REF!</v>
      </c>
      <c r="F117" s="58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$20,INDIRECT("'["&amp;Info!$B$5&amp;"]"&amp;Info!$B$6&amp;"'!"&amp;Info!$B$15),"&lt;="&amp;Info!$B$21))</f>
        <v>#REF!</v>
      </c>
      <c r="G117" s="51" t="e">
        <f ca="1">IF(B117="","",SUMIFS(INDIRECT("'["&amp;Info!$B$5&amp;"]"&amp;Info!$B$6&amp;"'!"&amp;Info!$B$11),INDIRECT("'["&amp;Info!$B$5&amp;"]"&amp;Info!$B$6&amp;"'!"&amp;Info!$B$9),B117,INDIRECT("'["&amp;Info!$B$5&amp;"]"&amp;Info!$B$6&amp;"'!"&amp;Info!$B$15),"&gt;="&amp;Info!$B$23,INDIRECT("'["&amp;Info!$B$5&amp;"]"&amp;Info!$B$6&amp;"'!"&amp;Info!$B$15),"&lt;="&amp;Info!$B$24))</f>
        <v>#REF!</v>
      </c>
      <c r="H117" s="51" t="e">
        <f t="shared" ca="1" si="3"/>
        <v>#REF!</v>
      </c>
      <c r="I117" s="60" t="e">
        <f ca="1">IF(B117="","",IFERROR(SUMIF(INDIRECT("'["&amp;Info!$B$5&amp;"]"&amp;Info!$B$6&amp;"'!"&amp;Info!$B$9),B117,INDIRECT("'["&amp;Info!$B$5&amp;"]"&amp;Info!$B$6&amp;"'!"&amp;Info!$B$13))/COUNTIF(INDIRECT("'["&amp;Info!$B$5&amp;"]"&amp;Info!$B$6&amp;"'!"&amp;Info!$B$9),B117),D117))</f>
        <v>#N/A</v>
      </c>
      <c r="L117" s="50"/>
      <c r="M117" s="50" t="e">
        <f ca="1">24669+E2</f>
        <v>#REF!</v>
      </c>
    </row>
    <row r="118" spans="1:13" x14ac:dyDescent="0.25">
      <c r="A118" s="64" t="str">
        <f>IF(B118="","", Info!$B$2)</f>
        <v>DVN-FP3330-180404</v>
      </c>
      <c r="B118" s="8" t="s">
        <v>443</v>
      </c>
      <c r="C118" s="56" t="e">
        <f>IF(B118="","",IFERROR(VLOOKUP(B118,Reel!$E$3:$F$1013,2,0),VLOOKUP(B118,Ring!$E$3:$F$1000,2,0)))</f>
        <v>#N/A</v>
      </c>
      <c r="D118" s="60" t="e">
        <f>IF(C118="","",IFERROR(VLOOKUP(C118,Reel!$F$2:$H$1013,3,0),VLOOKUP(C118,Ring!$F$3:$H$1000,3,0)))</f>
        <v>#N/A</v>
      </c>
      <c r="E118" s="58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$17,INDIRECT("'["&amp;Info!$B$5&amp;"]"&amp;Info!$B$6&amp;"'!"&amp;Info!$B$15),"&lt;="&amp;Info!$B$18))</f>
        <v>#REF!</v>
      </c>
      <c r="F118" s="58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$20,INDIRECT("'["&amp;Info!$B$5&amp;"]"&amp;Info!$B$6&amp;"'!"&amp;Info!$B$15),"&lt;="&amp;Info!$B$21))</f>
        <v>#REF!</v>
      </c>
      <c r="G118" s="51" t="e">
        <f ca="1">IF(B118="","",SUMIFS(INDIRECT("'["&amp;Info!$B$5&amp;"]"&amp;Info!$B$6&amp;"'!"&amp;Info!$B$11),INDIRECT("'["&amp;Info!$B$5&amp;"]"&amp;Info!$B$6&amp;"'!"&amp;Info!$B$9),B118,INDIRECT("'["&amp;Info!$B$5&amp;"]"&amp;Info!$B$6&amp;"'!"&amp;Info!$B$15),"&gt;="&amp;Info!$B$23,INDIRECT("'["&amp;Info!$B$5&amp;"]"&amp;Info!$B$6&amp;"'!"&amp;Info!$B$15),"&lt;="&amp;Info!$B$24))</f>
        <v>#REF!</v>
      </c>
      <c r="H118" s="51" t="e">
        <f t="shared" ca="1" si="3"/>
        <v>#REF!</v>
      </c>
      <c r="I118" s="60" t="e">
        <f ca="1">IF(B118="","",IFERROR(SUMIF(INDIRECT("'["&amp;Info!$B$5&amp;"]"&amp;Info!$B$6&amp;"'!"&amp;Info!$B$9),B118,INDIRECT("'["&amp;Info!$B$5&amp;"]"&amp;Info!$B$6&amp;"'!"&amp;Info!$B$13))/COUNTIF(INDIRECT("'["&amp;Info!$B$5&amp;"]"&amp;Info!$B$6&amp;"'!"&amp;Info!$B$9),B118),D118))</f>
        <v>#N/A</v>
      </c>
    </row>
    <row r="119" spans="1:13" x14ac:dyDescent="0.25">
      <c r="A119" s="64" t="str">
        <f>IF(B119="","", Info!$B$2)</f>
        <v>DVN-FP3330-180404</v>
      </c>
      <c r="B119" s="8" t="s">
        <v>76</v>
      </c>
      <c r="C119" s="56" t="e">
        <f>IF(B119="","",IFERROR(VLOOKUP(B119,Reel!$E$3:$F$1013,2,0),VLOOKUP(B119,Ring!$E$3:$F$1000,2,0)))</f>
        <v>#N/A</v>
      </c>
      <c r="D119" s="60" t="e">
        <f>IF(C119="","",IFERROR(VLOOKUP(C119,Reel!$F$2:$H$1013,3,0),VLOOKUP(C119,Ring!$F$3:$H$1000,3,0)))</f>
        <v>#N/A</v>
      </c>
      <c r="E119" s="58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$17,INDIRECT("'["&amp;Info!$B$5&amp;"]"&amp;Info!$B$6&amp;"'!"&amp;Info!$B$15),"&lt;="&amp;Info!$B$18))</f>
        <v>#REF!</v>
      </c>
      <c r="F119" s="58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$20,INDIRECT("'["&amp;Info!$B$5&amp;"]"&amp;Info!$B$6&amp;"'!"&amp;Info!$B$15),"&lt;="&amp;Info!$B$21))</f>
        <v>#REF!</v>
      </c>
      <c r="G119" s="51" t="e">
        <f ca="1">IF(B119="","",SUMIFS(INDIRECT("'["&amp;Info!$B$5&amp;"]"&amp;Info!$B$6&amp;"'!"&amp;Info!$B$11),INDIRECT("'["&amp;Info!$B$5&amp;"]"&amp;Info!$B$6&amp;"'!"&amp;Info!$B$9),B119,INDIRECT("'["&amp;Info!$B$5&amp;"]"&amp;Info!$B$6&amp;"'!"&amp;Info!$B$15),"&gt;="&amp;Info!$B$23,INDIRECT("'["&amp;Info!$B$5&amp;"]"&amp;Info!$B$6&amp;"'!"&amp;Info!$B$15),"&lt;="&amp;Info!$B$24))</f>
        <v>#REF!</v>
      </c>
      <c r="H119" s="51" t="e">
        <f t="shared" ca="1" si="3"/>
        <v>#REF!</v>
      </c>
      <c r="I119" s="60" t="e">
        <f ca="1">IF(B119="","",IFERROR(SUMIF(INDIRECT("'["&amp;Info!$B$5&amp;"]"&amp;Info!$B$6&amp;"'!"&amp;Info!$B$9),B119,INDIRECT("'["&amp;Info!$B$5&amp;"]"&amp;Info!$B$6&amp;"'!"&amp;Info!$B$13))/COUNTIF(INDIRECT("'["&amp;Info!$B$5&amp;"]"&amp;Info!$B$6&amp;"'!"&amp;Info!$B$9),B119),D119))</f>
        <v>#N/A</v>
      </c>
    </row>
    <row r="120" spans="1:13" x14ac:dyDescent="0.25">
      <c r="A120" s="64" t="str">
        <f>IF(B120="","", Info!$B$2)</f>
        <v>DVN-FP3330-180404</v>
      </c>
      <c r="B120" s="8" t="s">
        <v>77</v>
      </c>
      <c r="C120" s="56" t="e">
        <f>IF(B120="","",IFERROR(VLOOKUP(B120,Reel!$E$3:$F$1013,2,0),VLOOKUP(B120,Ring!$E$3:$F$1000,2,0)))</f>
        <v>#N/A</v>
      </c>
      <c r="D120" s="60" t="e">
        <f>IF(C120="","",IFERROR(VLOOKUP(C120,Reel!$F$2:$H$1013,3,0),VLOOKUP(C120,Ring!$F$3:$H$1000,3,0)))</f>
        <v>#N/A</v>
      </c>
      <c r="E120" s="58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$17,INDIRECT("'["&amp;Info!$B$5&amp;"]"&amp;Info!$B$6&amp;"'!"&amp;Info!$B$15),"&lt;="&amp;Info!$B$18))</f>
        <v>#REF!</v>
      </c>
      <c r="F120" s="58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$20,INDIRECT("'["&amp;Info!$B$5&amp;"]"&amp;Info!$B$6&amp;"'!"&amp;Info!$B$15),"&lt;="&amp;Info!$B$21))</f>
        <v>#REF!</v>
      </c>
      <c r="G120" s="51" t="e">
        <f ca="1">IF(B120="","",SUMIFS(INDIRECT("'["&amp;Info!$B$5&amp;"]"&amp;Info!$B$6&amp;"'!"&amp;Info!$B$11),INDIRECT("'["&amp;Info!$B$5&amp;"]"&amp;Info!$B$6&amp;"'!"&amp;Info!$B$9),B120,INDIRECT("'["&amp;Info!$B$5&amp;"]"&amp;Info!$B$6&amp;"'!"&amp;Info!$B$15),"&gt;="&amp;Info!$B$23,INDIRECT("'["&amp;Info!$B$5&amp;"]"&amp;Info!$B$6&amp;"'!"&amp;Info!$B$15),"&lt;="&amp;Info!$B$24))</f>
        <v>#REF!</v>
      </c>
      <c r="H120" s="51" t="e">
        <f t="shared" ca="1" si="3"/>
        <v>#REF!</v>
      </c>
      <c r="I120" s="60" t="e">
        <f ca="1">IF(B120="","",IFERROR(SUMIF(INDIRECT("'["&amp;Info!$B$5&amp;"]"&amp;Info!$B$6&amp;"'!"&amp;Info!$B$9),B120,INDIRECT("'["&amp;Info!$B$5&amp;"]"&amp;Info!$B$6&amp;"'!"&amp;Info!$B$13))/COUNTIF(INDIRECT("'["&amp;Info!$B$5&amp;"]"&amp;Info!$B$6&amp;"'!"&amp;Info!$B$9),B120),D120))</f>
        <v>#N/A</v>
      </c>
    </row>
    <row r="121" spans="1:13" x14ac:dyDescent="0.25">
      <c r="A121" s="64" t="str">
        <f>IF(B121="","", Info!$B$2)</f>
        <v>DVN-FP3330-180404</v>
      </c>
      <c r="B121" s="8" t="s">
        <v>78</v>
      </c>
      <c r="C121" s="56" t="e">
        <f>IF(B121="","",IFERROR(VLOOKUP(B121,Reel!$E$3:$F$1013,2,0),VLOOKUP(B121,Ring!$E$3:$F$1000,2,0)))</f>
        <v>#N/A</v>
      </c>
      <c r="D121" s="60" t="e">
        <f>IF(C121="","",IFERROR(VLOOKUP(C121,Reel!$F$2:$H$1013,3,0),VLOOKUP(C121,Ring!$F$3:$H$1000,3,0)))</f>
        <v>#N/A</v>
      </c>
      <c r="E121" s="58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$17,INDIRECT("'["&amp;Info!$B$5&amp;"]"&amp;Info!$B$6&amp;"'!"&amp;Info!$B$15),"&lt;="&amp;Info!$B$18))</f>
        <v>#REF!</v>
      </c>
      <c r="F121" s="58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$20,INDIRECT("'["&amp;Info!$B$5&amp;"]"&amp;Info!$B$6&amp;"'!"&amp;Info!$B$15),"&lt;="&amp;Info!$B$21))</f>
        <v>#REF!</v>
      </c>
      <c r="G121" s="51" t="e">
        <f ca="1">IF(B121="","",SUMIFS(INDIRECT("'["&amp;Info!$B$5&amp;"]"&amp;Info!$B$6&amp;"'!"&amp;Info!$B$11),INDIRECT("'["&amp;Info!$B$5&amp;"]"&amp;Info!$B$6&amp;"'!"&amp;Info!$B$9),B121,INDIRECT("'["&amp;Info!$B$5&amp;"]"&amp;Info!$B$6&amp;"'!"&amp;Info!$B$15),"&gt;="&amp;Info!$B$23,INDIRECT("'["&amp;Info!$B$5&amp;"]"&amp;Info!$B$6&amp;"'!"&amp;Info!$B$15),"&lt;="&amp;Info!$B$24))</f>
        <v>#REF!</v>
      </c>
      <c r="H121" s="51" t="e">
        <f t="shared" ca="1" si="3"/>
        <v>#REF!</v>
      </c>
      <c r="I121" s="60" t="e">
        <f ca="1">IF(B121="","",IFERROR(SUMIF(INDIRECT("'["&amp;Info!$B$5&amp;"]"&amp;Info!$B$6&amp;"'!"&amp;Info!$B$9),B121,INDIRECT("'["&amp;Info!$B$5&amp;"]"&amp;Info!$B$6&amp;"'!"&amp;Info!$B$13))/COUNTIF(INDIRECT("'["&amp;Info!$B$5&amp;"]"&amp;Info!$B$6&amp;"'!"&amp;Info!$B$9),B121),D121))</f>
        <v>#N/A</v>
      </c>
    </row>
    <row r="122" spans="1:13" x14ac:dyDescent="0.25">
      <c r="A122" s="64" t="str">
        <f>IF(B122="","", Info!$B$2)</f>
        <v>DVN-FP3330-180404</v>
      </c>
      <c r="B122" s="74" t="s">
        <v>79</v>
      </c>
      <c r="C122" s="75" t="e">
        <f>IF(B122="","",IFERROR(VLOOKUP(B122,Reel!$E$3:$F$1013,2,0),VLOOKUP(B122,Ring!$E$3:$F$1000,2,0)))</f>
        <v>#N/A</v>
      </c>
      <c r="D122" s="76" t="e">
        <f>IF(C122="","",IFERROR(VLOOKUP(C122,Reel!$F$2:$H$1013,3,0),VLOOKUP(C122,Ring!$F$3:$H$1000,3,0)))</f>
        <v>#N/A</v>
      </c>
      <c r="E122" s="77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$17,INDIRECT("'["&amp;Info!$B$5&amp;"]"&amp;Info!$B$6&amp;"'!"&amp;Info!$B$15),"&lt;="&amp;Info!$B$18))</f>
        <v>#REF!</v>
      </c>
      <c r="F122" s="77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$20,INDIRECT("'["&amp;Info!$B$5&amp;"]"&amp;Info!$B$6&amp;"'!"&amp;Info!$B$15),"&lt;="&amp;Info!$B$21))</f>
        <v>#REF!</v>
      </c>
      <c r="G122" s="78" t="e">
        <f ca="1">IF(B122="","",SUMIFS(INDIRECT("'["&amp;Info!$B$5&amp;"]"&amp;Info!$B$6&amp;"'!"&amp;Info!$B$11),INDIRECT("'["&amp;Info!$B$5&amp;"]"&amp;Info!$B$6&amp;"'!"&amp;Info!$B$9),B122,INDIRECT("'["&amp;Info!$B$5&amp;"]"&amp;Info!$B$6&amp;"'!"&amp;Info!$B$15),"&gt;="&amp;Info!$B$23,INDIRECT("'["&amp;Info!$B$5&amp;"]"&amp;Info!$B$6&amp;"'!"&amp;Info!$B$15),"&lt;="&amp;Info!$B$24))</f>
        <v>#REF!</v>
      </c>
      <c r="H122" s="78" t="e">
        <f t="shared" ca="1" si="3"/>
        <v>#REF!</v>
      </c>
      <c r="I122" s="76" t="e">
        <f ca="1">IF(B122="","",IFERROR(SUMIF(INDIRECT("'["&amp;Info!$B$5&amp;"]"&amp;Info!$B$6&amp;"'!"&amp;Info!$B$9),B122,INDIRECT("'["&amp;Info!$B$5&amp;"]"&amp;Info!$B$6&amp;"'!"&amp;Info!$B$13))/COUNTIF(INDIRECT("'["&amp;Info!$B$5&amp;"]"&amp;Info!$B$6&amp;"'!"&amp;Info!$B$9),B122),D122))</f>
        <v>#N/A</v>
      </c>
    </row>
    <row r="123" spans="1:13" x14ac:dyDescent="0.25">
      <c r="A123" s="79" t="str">
        <f>IF(B123="","", Info!$B$2)</f>
        <v>DVN-FP3330-180404</v>
      </c>
      <c r="B123" s="80" t="s">
        <v>445</v>
      </c>
      <c r="C123" s="56" t="e">
        <f>IF(B123="","",IFERROR(VLOOKUP(B123,Reel!$E$3:$F$1013,2,0),VLOOKUP(B123,Ring!$E$3:$F$1000,2,0)))</f>
        <v>#N/A</v>
      </c>
      <c r="D123" s="60" t="e">
        <f>IF(C123="","",IFERROR(VLOOKUP(C123,Reel!$F$2:$H$1013,3,0),VLOOKUP(C123,Ring!$F$3:$H$1000,3,0)))</f>
        <v>#N/A</v>
      </c>
      <c r="E123" s="58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$17,INDIRECT("'["&amp;Info!$B$5&amp;"]"&amp;Info!$B$6&amp;"'!"&amp;Info!$B$15),"&lt;="&amp;Info!$B$18))</f>
        <v>#REF!</v>
      </c>
      <c r="F123" s="58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$20,INDIRECT("'["&amp;Info!$B$5&amp;"]"&amp;Info!$B$6&amp;"'!"&amp;Info!$B$15),"&lt;="&amp;Info!$B$21))</f>
        <v>#REF!</v>
      </c>
      <c r="G123" s="51" t="e">
        <f ca="1">IF(B123="","",SUMIFS(INDIRECT("'["&amp;Info!$B$5&amp;"]"&amp;Info!$B$6&amp;"'!"&amp;Info!$B$11),INDIRECT("'["&amp;Info!$B$5&amp;"]"&amp;Info!$B$6&amp;"'!"&amp;Info!$B$9),B123,INDIRECT("'["&amp;Info!$B$5&amp;"]"&amp;Info!$B$6&amp;"'!"&amp;Info!$B$15),"&gt;="&amp;Info!$B$23,INDIRECT("'["&amp;Info!$B$5&amp;"]"&amp;Info!$B$6&amp;"'!"&amp;Info!$B$15),"&lt;="&amp;Info!$B$24))</f>
        <v>#REF!</v>
      </c>
      <c r="H123" s="51" t="e">
        <f t="shared" ref="H123:H128" ca="1" si="4">SUM(E123:G123)</f>
        <v>#REF!</v>
      </c>
      <c r="I123" s="60" t="e">
        <f ca="1">IF(B123="","",IFERROR(SUMIF(INDIRECT("'["&amp;Info!$B$5&amp;"]"&amp;Info!$B$6&amp;"'!"&amp;Info!$B$9),B123,INDIRECT("'["&amp;Info!$B$5&amp;"]"&amp;Info!$B$6&amp;"'!"&amp;Info!$B$13))/COUNTIF(INDIRECT("'["&amp;Info!$B$5&amp;"]"&amp;Info!$B$6&amp;"'!"&amp;Info!$B$9),B123),D123))</f>
        <v>#N/A</v>
      </c>
    </row>
    <row r="124" spans="1:13" x14ac:dyDescent="0.25">
      <c r="A124" s="79" t="str">
        <f>IF(B124="","", Info!$B$2)</f>
        <v>DVN-FP3330-180404</v>
      </c>
      <c r="B124" s="80" t="s">
        <v>446</v>
      </c>
      <c r="C124" s="56" t="e">
        <f>IF(B124="","",IFERROR(VLOOKUP(B124,Reel!$E$3:$F$1013,2,0),VLOOKUP(B124,Ring!$E$3:$F$1000,2,0)))</f>
        <v>#N/A</v>
      </c>
      <c r="D124" s="60" t="e">
        <f>IF(C124="","",IFERROR(VLOOKUP(C124,Reel!$F$2:$H$1013,3,0),VLOOKUP(C124,Ring!$F$3:$H$1000,3,0)))</f>
        <v>#N/A</v>
      </c>
      <c r="E124" s="58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$17,INDIRECT("'["&amp;Info!$B$5&amp;"]"&amp;Info!$B$6&amp;"'!"&amp;Info!$B$15),"&lt;="&amp;Info!$B$18))</f>
        <v>#REF!</v>
      </c>
      <c r="F124" s="58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$20,INDIRECT("'["&amp;Info!$B$5&amp;"]"&amp;Info!$B$6&amp;"'!"&amp;Info!$B$15),"&lt;="&amp;Info!$B$21))</f>
        <v>#REF!</v>
      </c>
      <c r="G124" s="51" t="e">
        <f ca="1">IF(B124="","",SUMIFS(INDIRECT("'["&amp;Info!$B$5&amp;"]"&amp;Info!$B$6&amp;"'!"&amp;Info!$B$11),INDIRECT("'["&amp;Info!$B$5&amp;"]"&amp;Info!$B$6&amp;"'!"&amp;Info!$B$9),B124,INDIRECT("'["&amp;Info!$B$5&amp;"]"&amp;Info!$B$6&amp;"'!"&amp;Info!$B$15),"&gt;="&amp;Info!$B$23,INDIRECT("'["&amp;Info!$B$5&amp;"]"&amp;Info!$B$6&amp;"'!"&amp;Info!$B$15),"&lt;="&amp;Info!$B$24))</f>
        <v>#REF!</v>
      </c>
      <c r="H124" s="51" t="e">
        <f t="shared" ca="1" si="4"/>
        <v>#REF!</v>
      </c>
      <c r="I124" s="60" t="e">
        <f ca="1">IF(B124="","",IFERROR(SUMIF(INDIRECT("'["&amp;Info!$B$5&amp;"]"&amp;Info!$B$6&amp;"'!"&amp;Info!$B$9),B124,INDIRECT("'["&amp;Info!$B$5&amp;"]"&amp;Info!$B$6&amp;"'!"&amp;Info!$B$13))/COUNTIF(INDIRECT("'["&amp;Info!$B$5&amp;"]"&amp;Info!$B$6&amp;"'!"&amp;Info!$B$9),B124),D124))</f>
        <v>#N/A</v>
      </c>
    </row>
    <row r="125" spans="1:13" x14ac:dyDescent="0.25">
      <c r="A125" s="79" t="str">
        <f>IF(B125="","", Info!$B$2)</f>
        <v>DVN-FP3330-180404</v>
      </c>
      <c r="B125" s="80" t="s">
        <v>447</v>
      </c>
      <c r="C125" s="56" t="e">
        <f>IF(B125="","",IFERROR(VLOOKUP(B125,Reel!$E$3:$F$1013,2,0),VLOOKUP(B125,Ring!$E$3:$F$1000,2,0)))</f>
        <v>#N/A</v>
      </c>
      <c r="D125" s="60" t="e">
        <f>IF(C125="","",IFERROR(VLOOKUP(C125,Reel!$F$2:$H$1013,3,0),VLOOKUP(C125,Ring!$F$3:$H$1000,3,0)))</f>
        <v>#N/A</v>
      </c>
      <c r="E125" s="58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$17,INDIRECT("'["&amp;Info!$B$5&amp;"]"&amp;Info!$B$6&amp;"'!"&amp;Info!$B$15),"&lt;="&amp;Info!$B$18))</f>
        <v>#REF!</v>
      </c>
      <c r="F125" s="58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$20,INDIRECT("'["&amp;Info!$B$5&amp;"]"&amp;Info!$B$6&amp;"'!"&amp;Info!$B$15),"&lt;="&amp;Info!$B$21))</f>
        <v>#REF!</v>
      </c>
      <c r="G125" s="51" t="e">
        <f ca="1">IF(B125="","",SUMIFS(INDIRECT("'["&amp;Info!$B$5&amp;"]"&amp;Info!$B$6&amp;"'!"&amp;Info!$B$11),INDIRECT("'["&amp;Info!$B$5&amp;"]"&amp;Info!$B$6&amp;"'!"&amp;Info!$B$9),B125,INDIRECT("'["&amp;Info!$B$5&amp;"]"&amp;Info!$B$6&amp;"'!"&amp;Info!$B$15),"&gt;="&amp;Info!$B$23,INDIRECT("'["&amp;Info!$B$5&amp;"]"&amp;Info!$B$6&amp;"'!"&amp;Info!$B$15),"&lt;="&amp;Info!$B$24))</f>
        <v>#REF!</v>
      </c>
      <c r="H125" s="51" t="e">
        <f t="shared" ca="1" si="4"/>
        <v>#REF!</v>
      </c>
      <c r="I125" s="60" t="e">
        <f ca="1">IF(B125="","",IFERROR(SUMIF(INDIRECT("'["&amp;Info!$B$5&amp;"]"&amp;Info!$B$6&amp;"'!"&amp;Info!$B$9),B125,INDIRECT("'["&amp;Info!$B$5&amp;"]"&amp;Info!$B$6&amp;"'!"&amp;Info!$B$13))/COUNTIF(INDIRECT("'["&amp;Info!$B$5&amp;"]"&amp;Info!$B$6&amp;"'!"&amp;Info!$B$9),B125),D125))</f>
        <v>#N/A</v>
      </c>
    </row>
    <row r="126" spans="1:13" x14ac:dyDescent="0.25">
      <c r="A126" s="79" t="str">
        <f>IF(B126="","", Info!$B$2)</f>
        <v>DVN-FP3330-180404</v>
      </c>
      <c r="B126" s="80" t="s">
        <v>448</v>
      </c>
      <c r="C126" s="56" t="e">
        <f>IF(B126="","",IFERROR(VLOOKUP(B126,Reel!$E$3:$F$1013,2,0),VLOOKUP(B126,Ring!$E$3:$F$1000,2,0)))</f>
        <v>#N/A</v>
      </c>
      <c r="D126" s="60" t="e">
        <f>IF(C126="","",IFERROR(VLOOKUP(C126,Reel!$F$2:$H$1013,3,0),VLOOKUP(C126,Ring!$F$3:$H$1000,3,0)))</f>
        <v>#N/A</v>
      </c>
      <c r="E126" s="58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$17,INDIRECT("'["&amp;Info!$B$5&amp;"]"&amp;Info!$B$6&amp;"'!"&amp;Info!$B$15),"&lt;="&amp;Info!$B$18))</f>
        <v>#REF!</v>
      </c>
      <c r="F126" s="58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$20,INDIRECT("'["&amp;Info!$B$5&amp;"]"&amp;Info!$B$6&amp;"'!"&amp;Info!$B$15),"&lt;="&amp;Info!$B$21))</f>
        <v>#REF!</v>
      </c>
      <c r="G126" s="51" t="e">
        <f ca="1">IF(B126="","",SUMIFS(INDIRECT("'["&amp;Info!$B$5&amp;"]"&amp;Info!$B$6&amp;"'!"&amp;Info!$B$11),INDIRECT("'["&amp;Info!$B$5&amp;"]"&amp;Info!$B$6&amp;"'!"&amp;Info!$B$9),B126,INDIRECT("'["&amp;Info!$B$5&amp;"]"&amp;Info!$B$6&amp;"'!"&amp;Info!$B$15),"&gt;="&amp;Info!$B$23,INDIRECT("'["&amp;Info!$B$5&amp;"]"&amp;Info!$B$6&amp;"'!"&amp;Info!$B$15),"&lt;="&amp;Info!$B$24))</f>
        <v>#REF!</v>
      </c>
      <c r="H126" s="51" t="e">
        <f t="shared" ca="1" si="4"/>
        <v>#REF!</v>
      </c>
      <c r="I126" s="60" t="e">
        <f ca="1">IF(B126="","",IFERROR(SUMIF(INDIRECT("'["&amp;Info!$B$5&amp;"]"&amp;Info!$B$6&amp;"'!"&amp;Info!$B$9),B126,INDIRECT("'["&amp;Info!$B$5&amp;"]"&amp;Info!$B$6&amp;"'!"&amp;Info!$B$13))/COUNTIF(INDIRECT("'["&amp;Info!$B$5&amp;"]"&amp;Info!$B$6&amp;"'!"&amp;Info!$B$9),B126),D126))</f>
        <v>#N/A</v>
      </c>
    </row>
    <row r="127" spans="1:13" x14ac:dyDescent="0.25">
      <c r="A127" s="79" t="str">
        <f>IF(B127="","", Info!$B$2)</f>
        <v>DVN-FP3330-180404</v>
      </c>
      <c r="B127" s="80" t="s">
        <v>449</v>
      </c>
      <c r="C127" s="56" t="e">
        <f>IF(B127="","",IFERROR(VLOOKUP(B127,Reel!$E$3:$F$1013,2,0),VLOOKUP(B127,Ring!$E$3:$F$1000,2,0)))</f>
        <v>#N/A</v>
      </c>
      <c r="D127" s="60" t="e">
        <f>IF(C127="","",IFERROR(VLOOKUP(C127,Reel!$F$2:$H$1013,3,0),VLOOKUP(C127,Ring!$F$3:$H$1000,3,0)))</f>
        <v>#N/A</v>
      </c>
      <c r="E127" s="58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$17,INDIRECT("'["&amp;Info!$B$5&amp;"]"&amp;Info!$B$6&amp;"'!"&amp;Info!$B$15),"&lt;="&amp;Info!$B$18))</f>
        <v>#REF!</v>
      </c>
      <c r="F127" s="58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$20,INDIRECT("'["&amp;Info!$B$5&amp;"]"&amp;Info!$B$6&amp;"'!"&amp;Info!$B$15),"&lt;="&amp;Info!$B$21))</f>
        <v>#REF!</v>
      </c>
      <c r="G127" s="51" t="e">
        <f ca="1">IF(B127="","",SUMIFS(INDIRECT("'["&amp;Info!$B$5&amp;"]"&amp;Info!$B$6&amp;"'!"&amp;Info!$B$11),INDIRECT("'["&amp;Info!$B$5&amp;"]"&amp;Info!$B$6&amp;"'!"&amp;Info!$B$9),B127,INDIRECT("'["&amp;Info!$B$5&amp;"]"&amp;Info!$B$6&amp;"'!"&amp;Info!$B$15),"&gt;="&amp;Info!$B$23,INDIRECT("'["&amp;Info!$B$5&amp;"]"&amp;Info!$B$6&amp;"'!"&amp;Info!$B$15),"&lt;="&amp;Info!$B$24))</f>
        <v>#REF!</v>
      </c>
      <c r="H127" s="51" t="e">
        <f t="shared" ca="1" si="4"/>
        <v>#REF!</v>
      </c>
      <c r="I127" s="60" t="e">
        <f ca="1">IF(B127="","",IFERROR(SUMIF(INDIRECT("'["&amp;Info!$B$5&amp;"]"&amp;Info!$B$6&amp;"'!"&amp;Info!$B$9),B127,INDIRECT("'["&amp;Info!$B$5&amp;"]"&amp;Info!$B$6&amp;"'!"&amp;Info!$B$13))/COUNTIF(INDIRECT("'["&amp;Info!$B$5&amp;"]"&amp;Info!$B$6&amp;"'!"&amp;Info!$B$9),B127),D127))</f>
        <v>#N/A</v>
      </c>
    </row>
    <row r="128" spans="1:13" x14ac:dyDescent="0.25">
      <c r="A128" s="79" t="str">
        <f>IF(B128="","", Info!$B$2)</f>
        <v>DVN-FP3330-180404</v>
      </c>
      <c r="B128" s="80" t="s">
        <v>450</v>
      </c>
      <c r="C128" s="56" t="e">
        <f>IF(B128="","",IFERROR(VLOOKUP(B128,Reel!$E$3:$F$1013,2,0),VLOOKUP(B128,Ring!$E$3:$F$1000,2,0)))</f>
        <v>#N/A</v>
      </c>
      <c r="D128" s="60" t="e">
        <f>IF(C128="","",IFERROR(VLOOKUP(C128,Reel!$F$2:$H$1013,3,0),VLOOKUP(C128,Ring!$F$3:$H$1000,3,0)))</f>
        <v>#N/A</v>
      </c>
      <c r="E128" s="58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$17,INDIRECT("'["&amp;Info!$B$5&amp;"]"&amp;Info!$B$6&amp;"'!"&amp;Info!$B$15),"&lt;="&amp;Info!$B$18))</f>
        <v>#REF!</v>
      </c>
      <c r="F128" s="58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$20,INDIRECT("'["&amp;Info!$B$5&amp;"]"&amp;Info!$B$6&amp;"'!"&amp;Info!$B$15),"&lt;="&amp;Info!$B$21))</f>
        <v>#REF!</v>
      </c>
      <c r="G128" s="51" t="e">
        <f ca="1">IF(B128="","",SUMIFS(INDIRECT("'["&amp;Info!$B$5&amp;"]"&amp;Info!$B$6&amp;"'!"&amp;Info!$B$11),INDIRECT("'["&amp;Info!$B$5&amp;"]"&amp;Info!$B$6&amp;"'!"&amp;Info!$B$9),B128,INDIRECT("'["&amp;Info!$B$5&amp;"]"&amp;Info!$B$6&amp;"'!"&amp;Info!$B$15),"&gt;="&amp;Info!$B$23,INDIRECT("'["&amp;Info!$B$5&amp;"]"&amp;Info!$B$6&amp;"'!"&amp;Info!$B$15),"&lt;="&amp;Info!$B$24))</f>
        <v>#REF!</v>
      </c>
      <c r="H128" s="51" t="e">
        <f t="shared" ca="1" si="4"/>
        <v>#REF!</v>
      </c>
      <c r="I128" s="60" t="e">
        <f ca="1">IF(B128="","",IFERROR(SUMIF(INDIRECT("'["&amp;Info!$B$5&amp;"]"&amp;Info!$B$6&amp;"'!"&amp;Info!$B$9),B128,INDIRECT("'["&amp;Info!$B$5&amp;"]"&amp;Info!$B$6&amp;"'!"&amp;Info!$B$13))/COUNTIF(INDIRECT("'["&amp;Info!$B$5&amp;"]"&amp;Info!$B$6&amp;"'!"&amp;Info!$B$9),B128),D128))</f>
        <v>#N/A</v>
      </c>
    </row>
  </sheetData>
  <autoFilter ref="A2:I128"/>
  <conditionalFormatting sqref="I117:I128 I3:I115">
    <cfRule type="cellIs" dxfId="23" priority="13" stopIfTrue="1" operator="notEqual">
      <formula>D3</formula>
    </cfRule>
  </conditionalFormatting>
  <conditionalFormatting sqref="C47:C65536 C1:C45">
    <cfRule type="duplicateValues" dxfId="22" priority="10" stopIfTrue="1"/>
  </conditionalFormatting>
  <conditionalFormatting sqref="C46">
    <cfRule type="duplicateValues" dxfId="21" priority="6" stopIfTrue="1"/>
  </conditionalFormatting>
  <conditionalFormatting sqref="B119:B128 B3:B115">
    <cfRule type="duplicateValues" dxfId="20" priority="5" stopIfTrue="1"/>
  </conditionalFormatting>
  <conditionalFormatting sqref="I116">
    <cfRule type="cellIs" dxfId="19" priority="4" stopIfTrue="1" operator="notEqual">
      <formula>D116</formula>
    </cfRule>
  </conditionalFormatting>
  <conditionalFormatting sqref="B116">
    <cfRule type="duplicateValues" dxfId="18" priority="2" stopIfTrue="1"/>
  </conditionalFormatting>
  <conditionalFormatting sqref="B117:B118">
    <cfRule type="duplicateValues" dxfId="17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53"/>
  <sheetViews>
    <sheetView zoomScale="115" zoomScaleNormal="115" workbookViewId="0">
      <pane xSplit="1" ySplit="2" topLeftCell="C33" activePane="bottomRight" state="frozen"/>
      <selection pane="topRight" activeCell="B1" sqref="B1"/>
      <selection pane="bottomLeft" activeCell="A3" sqref="A3"/>
      <selection pane="bottomRight" activeCell="E9" sqref="E9"/>
    </sheetView>
  </sheetViews>
  <sheetFormatPr defaultRowHeight="15.75" x14ac:dyDescent="0.25"/>
  <cols>
    <col min="1" max="1" width="12" style="117" customWidth="1"/>
    <col min="2" max="2" width="7.140625" style="150" hidden="1" customWidth="1"/>
    <col min="3" max="3" width="17.85546875" style="118" customWidth="1"/>
    <col min="4" max="4" width="21.28515625" style="118" customWidth="1"/>
    <col min="5" max="5" width="19.28515625" style="151" customWidth="1"/>
    <col min="6" max="6" width="19.7109375" style="120" customWidth="1"/>
    <col min="7" max="7" width="8.28515625" style="152" customWidth="1"/>
    <col min="8" max="8" width="9.28515625" style="119" customWidth="1"/>
    <col min="9" max="9" width="17" style="120" hidden="1" customWidth="1"/>
    <col min="10" max="10" width="9.140625" style="120" hidden="1" customWidth="1"/>
    <col min="11" max="11" width="6.42578125" style="120" hidden="1" customWidth="1"/>
    <col min="12" max="12" width="8.5703125" style="120" hidden="1" customWidth="1"/>
    <col min="13" max="13" width="9" style="120" hidden="1" customWidth="1"/>
    <col min="14" max="14" width="8.42578125" style="120" hidden="1" customWidth="1"/>
    <col min="15" max="15" width="9.140625" style="120" hidden="1" customWidth="1"/>
    <col min="16" max="16" width="9" style="153" hidden="1" customWidth="1"/>
    <col min="17" max="17" width="10.85546875" style="154" hidden="1" customWidth="1"/>
    <col min="18" max="18" width="9.140625" style="154" hidden="1" customWidth="1"/>
    <col min="19" max="19" width="9.85546875" style="120" hidden="1" customWidth="1"/>
    <col min="20" max="21" width="9.140625" style="120" hidden="1" customWidth="1"/>
    <col min="22" max="22" width="6.140625" style="120" hidden="1" customWidth="1"/>
    <col min="23" max="23" width="7.140625" style="120" hidden="1" customWidth="1"/>
    <col min="24" max="24" width="6.28515625" style="120" hidden="1" customWidth="1"/>
    <col min="25" max="27" width="9.140625" style="120" hidden="1" customWidth="1"/>
    <col min="28" max="28" width="6.5703125" style="120" hidden="1" customWidth="1"/>
    <col min="29" max="29" width="5.140625" style="138" hidden="1" customWidth="1"/>
    <col min="30" max="16384" width="9.140625" style="120"/>
  </cols>
  <sheetData>
    <row r="1" spans="1:29" ht="43.5" customHeight="1" x14ac:dyDescent="0.25">
      <c r="A1" s="222" t="s">
        <v>361</v>
      </c>
      <c r="B1" s="221" t="s">
        <v>0</v>
      </c>
      <c r="C1" s="221" t="s">
        <v>362</v>
      </c>
      <c r="D1" s="223" t="s">
        <v>370</v>
      </c>
      <c r="E1" s="225" t="s">
        <v>363</v>
      </c>
      <c r="F1" s="221" t="s">
        <v>224</v>
      </c>
      <c r="G1" s="221" t="s">
        <v>345</v>
      </c>
      <c r="H1" s="221"/>
      <c r="I1" s="228"/>
      <c r="J1" s="221" t="s">
        <v>1</v>
      </c>
      <c r="K1" s="221" t="s">
        <v>233</v>
      </c>
      <c r="L1" s="221" t="s">
        <v>269</v>
      </c>
      <c r="M1" s="227" t="s">
        <v>346</v>
      </c>
      <c r="N1" s="227"/>
      <c r="O1" s="227"/>
      <c r="P1" s="227"/>
      <c r="Q1" s="227"/>
      <c r="R1" s="227"/>
      <c r="S1" s="227"/>
      <c r="T1" s="226" t="s">
        <v>349</v>
      </c>
      <c r="U1" s="226"/>
      <c r="V1" s="226"/>
      <c r="W1" s="226"/>
      <c r="X1" s="226"/>
      <c r="Y1" s="226"/>
      <c r="Z1" s="226" t="s">
        <v>350</v>
      </c>
      <c r="AA1" s="226"/>
      <c r="AB1" s="226"/>
      <c r="AC1" s="227" t="s">
        <v>359</v>
      </c>
    </row>
    <row r="2" spans="1:29" s="105" customFormat="1" ht="63.75" customHeight="1" x14ac:dyDescent="0.25">
      <c r="A2" s="222"/>
      <c r="B2" s="221"/>
      <c r="C2" s="221"/>
      <c r="D2" s="224"/>
      <c r="E2" s="225"/>
      <c r="F2" s="221"/>
      <c r="G2" s="97" t="s">
        <v>347</v>
      </c>
      <c r="H2" s="98" t="s">
        <v>348</v>
      </c>
      <c r="I2" s="228"/>
      <c r="J2" s="221"/>
      <c r="K2" s="221"/>
      <c r="L2" s="221"/>
      <c r="M2" s="99" t="s">
        <v>334</v>
      </c>
      <c r="N2" s="99" t="s">
        <v>335</v>
      </c>
      <c r="O2" s="100" t="s">
        <v>340</v>
      </c>
      <c r="P2" s="101" t="s">
        <v>341</v>
      </c>
      <c r="Q2" s="102" t="s">
        <v>342</v>
      </c>
      <c r="R2" s="102" t="s">
        <v>343</v>
      </c>
      <c r="S2" s="103" t="s">
        <v>344</v>
      </c>
      <c r="T2" s="104" t="s">
        <v>351</v>
      </c>
      <c r="U2" s="104" t="s">
        <v>352</v>
      </c>
      <c r="V2" s="104" t="s">
        <v>353</v>
      </c>
      <c r="W2" s="104" t="s">
        <v>354</v>
      </c>
      <c r="X2" s="104" t="s">
        <v>353</v>
      </c>
      <c r="Y2" s="104" t="s">
        <v>355</v>
      </c>
      <c r="Z2" s="104" t="s">
        <v>356</v>
      </c>
      <c r="AA2" s="104" t="s">
        <v>357</v>
      </c>
      <c r="AB2" s="104" t="s">
        <v>358</v>
      </c>
      <c r="AC2" s="227"/>
    </row>
    <row r="3" spans="1:29" s="127" customFormat="1" ht="21.95" customHeight="1" x14ac:dyDescent="0.25">
      <c r="A3" s="106">
        <v>1</v>
      </c>
      <c r="B3" s="99" t="s">
        <v>360</v>
      </c>
      <c r="C3" s="107" t="s">
        <v>379</v>
      </c>
      <c r="D3" s="107" t="s">
        <v>552</v>
      </c>
      <c r="E3" s="121">
        <v>741646600</v>
      </c>
      <c r="F3" s="122">
        <v>741646600</v>
      </c>
      <c r="G3" s="123"/>
      <c r="H3" s="98">
        <v>0.49</v>
      </c>
      <c r="I3" s="124"/>
      <c r="J3" s="124" t="s">
        <v>227</v>
      </c>
      <c r="K3" s="124" t="s">
        <v>242</v>
      </c>
      <c r="L3" s="124">
        <v>3</v>
      </c>
      <c r="M3" s="124">
        <f t="shared" ref="M3:M69" si="0">(L3+(IF(K3&lt;=4,1.5,IF(K3&lt;=7,2,IF(K3&lt;=11,2.5,IF(K3&lt;=19,3,IF(K3&lt;=25,3.5,4)))))))*1.1</f>
        <v>7.7000000000000011</v>
      </c>
      <c r="N3" s="124">
        <v>5.5</v>
      </c>
      <c r="O3" s="124">
        <v>0.19</v>
      </c>
      <c r="P3" s="125">
        <f t="shared" ref="P3:P69" si="1">M3*O3</f>
        <v>1.4630000000000003</v>
      </c>
      <c r="Q3" s="126"/>
      <c r="R3" s="126">
        <f t="shared" ref="R3:R69" si="2">Q3/1000*P3</f>
        <v>0</v>
      </c>
      <c r="S3" s="108">
        <f t="shared" ref="S3:S69" si="3">IF(G3&lt;&gt;0,R3/G3*100,R3/(H3*21000)*100)</f>
        <v>0</v>
      </c>
      <c r="T3" s="124"/>
      <c r="U3" s="124"/>
      <c r="V3" s="124"/>
      <c r="W3" s="124"/>
      <c r="X3" s="124"/>
      <c r="Y3" s="124"/>
      <c r="Z3" s="124"/>
      <c r="AA3" s="124"/>
      <c r="AB3" s="124"/>
      <c r="AC3" s="124"/>
    </row>
    <row r="4" spans="1:29" s="127" customFormat="1" ht="21.95" customHeight="1" x14ac:dyDescent="0.25">
      <c r="A4" s="106">
        <v>2</v>
      </c>
      <c r="B4" s="99"/>
      <c r="C4" s="107" t="s">
        <v>379</v>
      </c>
      <c r="D4" s="170" t="s">
        <v>552</v>
      </c>
      <c r="E4" s="121">
        <v>741646700</v>
      </c>
      <c r="F4" s="122">
        <v>741646700</v>
      </c>
      <c r="G4" s="123"/>
      <c r="H4" s="98">
        <v>0.59</v>
      </c>
      <c r="I4" s="124"/>
      <c r="J4" s="124" t="s">
        <v>227</v>
      </c>
      <c r="K4" s="124" t="s">
        <v>235</v>
      </c>
      <c r="L4" s="124">
        <v>6</v>
      </c>
      <c r="M4" s="124">
        <f t="shared" si="0"/>
        <v>11</v>
      </c>
      <c r="N4" s="124">
        <v>6</v>
      </c>
      <c r="O4" s="124">
        <v>0.24</v>
      </c>
      <c r="P4" s="125">
        <f t="shared" si="1"/>
        <v>2.6399999999999997</v>
      </c>
      <c r="Q4" s="126"/>
      <c r="R4" s="126">
        <f t="shared" si="2"/>
        <v>0</v>
      </c>
      <c r="S4" s="108">
        <f t="shared" si="3"/>
        <v>0</v>
      </c>
      <c r="T4" s="124"/>
      <c r="U4" s="124"/>
      <c r="V4" s="124"/>
      <c r="W4" s="124"/>
      <c r="X4" s="124"/>
      <c r="Y4" s="124"/>
      <c r="Z4" s="124"/>
      <c r="AA4" s="124"/>
      <c r="AB4" s="124"/>
      <c r="AC4" s="124"/>
    </row>
    <row r="5" spans="1:29" s="127" customFormat="1" ht="21.95" customHeight="1" x14ac:dyDescent="0.25">
      <c r="A5" s="106">
        <v>3</v>
      </c>
      <c r="B5" s="99"/>
      <c r="C5" s="107" t="s">
        <v>379</v>
      </c>
      <c r="D5" s="170" t="s">
        <v>552</v>
      </c>
      <c r="E5" s="121">
        <v>741810300</v>
      </c>
      <c r="F5" s="122" t="s">
        <v>716</v>
      </c>
      <c r="G5" s="123"/>
      <c r="H5" s="98">
        <v>0.5</v>
      </c>
      <c r="I5" s="124"/>
      <c r="J5" s="124" t="s">
        <v>227</v>
      </c>
      <c r="K5" s="124" t="s">
        <v>235</v>
      </c>
      <c r="L5" s="124">
        <v>7.4</v>
      </c>
      <c r="M5" s="124">
        <f t="shared" si="0"/>
        <v>12.540000000000001</v>
      </c>
      <c r="N5" s="124">
        <v>6</v>
      </c>
      <c r="O5" s="124">
        <v>0.24</v>
      </c>
      <c r="P5" s="125">
        <f t="shared" si="1"/>
        <v>3.0096000000000003</v>
      </c>
      <c r="Q5" s="126"/>
      <c r="R5" s="126">
        <f t="shared" si="2"/>
        <v>0</v>
      </c>
      <c r="S5" s="108">
        <f t="shared" si="3"/>
        <v>0</v>
      </c>
      <c r="T5" s="124"/>
      <c r="U5" s="124"/>
      <c r="V5" s="124"/>
      <c r="W5" s="124"/>
      <c r="X5" s="124"/>
      <c r="Y5" s="124"/>
      <c r="Z5" s="124"/>
      <c r="AA5" s="124"/>
      <c r="AB5" s="124"/>
      <c r="AC5" s="124"/>
    </row>
    <row r="6" spans="1:29" s="127" customFormat="1" ht="21.95" customHeight="1" x14ac:dyDescent="0.25">
      <c r="A6" s="106">
        <v>4</v>
      </c>
      <c r="B6" s="99"/>
      <c r="C6" s="107" t="s">
        <v>379</v>
      </c>
      <c r="D6" s="170" t="s">
        <v>552</v>
      </c>
      <c r="E6" s="121">
        <v>741879700</v>
      </c>
      <c r="F6" s="122" t="s">
        <v>620</v>
      </c>
      <c r="G6" s="123"/>
      <c r="H6" s="98">
        <v>0.57999999999999996</v>
      </c>
      <c r="I6" s="124"/>
      <c r="J6" s="124" t="s">
        <v>227</v>
      </c>
      <c r="K6" s="124" t="s">
        <v>239</v>
      </c>
      <c r="L6" s="124">
        <v>3.2</v>
      </c>
      <c r="M6" s="124">
        <f t="shared" si="0"/>
        <v>7.9200000000000008</v>
      </c>
      <c r="N6" s="124">
        <v>7</v>
      </c>
      <c r="O6" s="124">
        <v>0.33</v>
      </c>
      <c r="P6" s="125">
        <f t="shared" si="1"/>
        <v>2.6136000000000004</v>
      </c>
      <c r="Q6" s="126"/>
      <c r="R6" s="126">
        <f t="shared" si="2"/>
        <v>0</v>
      </c>
      <c r="S6" s="108">
        <f t="shared" si="3"/>
        <v>0</v>
      </c>
      <c r="T6" s="124"/>
      <c r="U6" s="124"/>
      <c r="V6" s="124"/>
      <c r="W6" s="124"/>
      <c r="X6" s="124"/>
      <c r="Y6" s="124"/>
      <c r="Z6" s="124"/>
      <c r="AA6" s="124"/>
      <c r="AB6" s="124"/>
      <c r="AC6" s="124"/>
    </row>
    <row r="7" spans="1:29" s="127" customFormat="1" ht="21.95" customHeight="1" x14ac:dyDescent="0.25">
      <c r="A7" s="106">
        <v>5</v>
      </c>
      <c r="B7" s="99"/>
      <c r="C7" s="107" t="s">
        <v>379</v>
      </c>
      <c r="D7" s="170" t="s">
        <v>552</v>
      </c>
      <c r="E7" s="121">
        <v>742513200</v>
      </c>
      <c r="F7" s="122" t="s">
        <v>642</v>
      </c>
      <c r="G7" s="123"/>
      <c r="H7" s="98">
        <v>0.48299999999999998</v>
      </c>
      <c r="I7" s="124"/>
      <c r="J7" s="124" t="s">
        <v>227</v>
      </c>
      <c r="K7" s="124" t="s">
        <v>243</v>
      </c>
      <c r="L7" s="124">
        <v>1.1000000000000001</v>
      </c>
      <c r="M7" s="124">
        <f t="shared" si="0"/>
        <v>5.61</v>
      </c>
      <c r="N7" s="124"/>
      <c r="O7" s="124">
        <v>0.38</v>
      </c>
      <c r="P7" s="125">
        <f t="shared" si="1"/>
        <v>2.1318000000000001</v>
      </c>
      <c r="Q7" s="126"/>
      <c r="R7" s="126">
        <f t="shared" si="2"/>
        <v>0</v>
      </c>
      <c r="S7" s="108">
        <f t="shared" si="3"/>
        <v>0</v>
      </c>
      <c r="T7" s="124"/>
      <c r="U7" s="124"/>
      <c r="V7" s="124"/>
      <c r="W7" s="124"/>
      <c r="X7" s="124"/>
      <c r="Y7" s="124"/>
      <c r="Z7" s="124"/>
      <c r="AA7" s="124"/>
      <c r="AB7" s="124"/>
      <c r="AC7" s="124"/>
    </row>
    <row r="8" spans="1:29" s="127" customFormat="1" ht="21.95" customHeight="1" x14ac:dyDescent="0.25">
      <c r="A8" s="106">
        <v>6</v>
      </c>
      <c r="B8" s="99"/>
      <c r="C8" s="107" t="s">
        <v>379</v>
      </c>
      <c r="D8" s="170" t="s">
        <v>552</v>
      </c>
      <c r="E8" s="121">
        <v>742513300</v>
      </c>
      <c r="F8" s="122" t="s">
        <v>643</v>
      </c>
      <c r="G8" s="123"/>
      <c r="H8" s="98">
        <v>0.5635</v>
      </c>
      <c r="I8" s="124"/>
      <c r="J8" s="124" t="s">
        <v>227</v>
      </c>
      <c r="K8" s="124" t="s">
        <v>244</v>
      </c>
      <c r="L8" s="124">
        <v>1</v>
      </c>
      <c r="M8" s="124">
        <f t="shared" si="0"/>
        <v>5.5</v>
      </c>
      <c r="N8" s="124">
        <v>12</v>
      </c>
      <c r="O8" s="124">
        <f>1.2*1.2*0.66</f>
        <v>0.95040000000000002</v>
      </c>
      <c r="P8" s="125">
        <f t="shared" si="1"/>
        <v>5.2271999999999998</v>
      </c>
      <c r="Q8" s="126"/>
      <c r="R8" s="126">
        <f t="shared" si="2"/>
        <v>0</v>
      </c>
      <c r="S8" s="108">
        <f t="shared" si="3"/>
        <v>0</v>
      </c>
      <c r="T8" s="124"/>
      <c r="U8" s="124"/>
      <c r="V8" s="124"/>
      <c r="W8" s="124"/>
      <c r="X8" s="124"/>
      <c r="Y8" s="124"/>
      <c r="Z8" s="124"/>
      <c r="AA8" s="124"/>
      <c r="AB8" s="124"/>
      <c r="AC8" s="124"/>
    </row>
    <row r="9" spans="1:29" s="127" customFormat="1" ht="21.95" customHeight="1" x14ac:dyDescent="0.25">
      <c r="A9" s="106">
        <v>7</v>
      </c>
      <c r="B9" s="99"/>
      <c r="C9" s="107" t="s">
        <v>379</v>
      </c>
      <c r="D9" s="170" t="s">
        <v>552</v>
      </c>
      <c r="E9" s="121">
        <v>742513400</v>
      </c>
      <c r="F9" s="122" t="s">
        <v>644</v>
      </c>
      <c r="G9" s="123"/>
      <c r="H9" s="98">
        <v>0.5</v>
      </c>
      <c r="I9" s="124"/>
      <c r="J9" s="124" t="s">
        <v>227</v>
      </c>
      <c r="K9" s="124" t="s">
        <v>245</v>
      </c>
      <c r="L9" s="124">
        <v>3.9</v>
      </c>
      <c r="M9" s="124">
        <f t="shared" si="0"/>
        <v>8.6900000000000013</v>
      </c>
      <c r="N9" s="124"/>
      <c r="O9" s="124">
        <f>2.2*2.2*0.66</f>
        <v>3.1944000000000008</v>
      </c>
      <c r="P9" s="125">
        <f t="shared" si="1"/>
        <v>27.759336000000012</v>
      </c>
      <c r="Q9" s="126"/>
      <c r="R9" s="126">
        <f t="shared" si="2"/>
        <v>0</v>
      </c>
      <c r="S9" s="108">
        <f t="shared" si="3"/>
        <v>0</v>
      </c>
      <c r="T9" s="124"/>
      <c r="U9" s="124"/>
      <c r="V9" s="124"/>
      <c r="W9" s="124"/>
      <c r="X9" s="124"/>
      <c r="Y9" s="124"/>
      <c r="Z9" s="124"/>
      <c r="AA9" s="124"/>
      <c r="AB9" s="124"/>
      <c r="AC9" s="124"/>
    </row>
    <row r="10" spans="1:29" s="127" customFormat="1" ht="21.95" customHeight="1" x14ac:dyDescent="0.25">
      <c r="A10" s="106">
        <v>8</v>
      </c>
      <c r="B10" s="99"/>
      <c r="C10" s="107" t="s">
        <v>379</v>
      </c>
      <c r="D10" s="170" t="s">
        <v>552</v>
      </c>
      <c r="E10" s="121">
        <v>742513500</v>
      </c>
      <c r="F10" s="122" t="s">
        <v>645</v>
      </c>
      <c r="G10" s="123"/>
      <c r="H10" s="98">
        <v>0.33</v>
      </c>
      <c r="I10" s="124"/>
      <c r="J10" s="124" t="s">
        <v>227</v>
      </c>
      <c r="K10" s="124" t="s">
        <v>244</v>
      </c>
      <c r="L10" s="124">
        <v>2.2999999999999998</v>
      </c>
      <c r="M10" s="124">
        <f t="shared" si="0"/>
        <v>6.9300000000000006</v>
      </c>
      <c r="N10" s="124">
        <v>12</v>
      </c>
      <c r="O10" s="124">
        <f>1.2*1.2*0.66</f>
        <v>0.95040000000000002</v>
      </c>
      <c r="P10" s="125">
        <f t="shared" si="1"/>
        <v>6.586272000000001</v>
      </c>
      <c r="Q10" s="126"/>
      <c r="R10" s="126">
        <f t="shared" si="2"/>
        <v>0</v>
      </c>
      <c r="S10" s="108">
        <f t="shared" si="3"/>
        <v>0</v>
      </c>
      <c r="T10" s="124"/>
      <c r="U10" s="124"/>
      <c r="V10" s="124"/>
      <c r="W10" s="124"/>
      <c r="X10" s="124"/>
      <c r="Y10" s="124"/>
      <c r="Z10" s="124"/>
      <c r="AA10" s="124"/>
      <c r="AB10" s="124"/>
      <c r="AC10" s="124"/>
    </row>
    <row r="11" spans="1:29" s="127" customFormat="1" ht="21.95" customHeight="1" x14ac:dyDescent="0.25">
      <c r="A11" s="106">
        <v>9</v>
      </c>
      <c r="B11" s="99"/>
      <c r="C11" s="107" t="s">
        <v>379</v>
      </c>
      <c r="D11" s="170" t="s">
        <v>552</v>
      </c>
      <c r="E11" s="121">
        <v>742514400</v>
      </c>
      <c r="F11" s="122" t="s">
        <v>672</v>
      </c>
      <c r="G11" s="123"/>
      <c r="H11" s="98">
        <v>0.45</v>
      </c>
      <c r="I11" s="124"/>
      <c r="J11" s="124" t="s">
        <v>227</v>
      </c>
      <c r="K11" s="124" t="s">
        <v>235</v>
      </c>
      <c r="L11" s="124">
        <v>32.4</v>
      </c>
      <c r="M11" s="124">
        <f t="shared" si="0"/>
        <v>40.04</v>
      </c>
      <c r="N11" s="124">
        <v>6</v>
      </c>
      <c r="O11" s="124">
        <v>0.24</v>
      </c>
      <c r="P11" s="125">
        <f t="shared" si="1"/>
        <v>9.6095999999999986</v>
      </c>
      <c r="Q11" s="126"/>
      <c r="R11" s="126">
        <f t="shared" si="2"/>
        <v>0</v>
      </c>
      <c r="S11" s="108">
        <f t="shared" si="3"/>
        <v>0</v>
      </c>
      <c r="T11" s="124"/>
      <c r="U11" s="124"/>
      <c r="V11" s="124"/>
      <c r="W11" s="124"/>
      <c r="X11" s="124"/>
      <c r="Y11" s="124"/>
      <c r="Z11" s="124"/>
      <c r="AA11" s="124"/>
      <c r="AB11" s="124"/>
      <c r="AC11" s="124"/>
    </row>
    <row r="12" spans="1:29" s="127" customFormat="1" ht="21.95" customHeight="1" x14ac:dyDescent="0.25">
      <c r="A12" s="106">
        <v>10</v>
      </c>
      <c r="B12" s="99"/>
      <c r="C12" s="107" t="s">
        <v>379</v>
      </c>
      <c r="D12" s="170" t="s">
        <v>552</v>
      </c>
      <c r="E12" s="121">
        <v>742514500</v>
      </c>
      <c r="F12" s="122" t="s">
        <v>715</v>
      </c>
      <c r="G12" s="123"/>
      <c r="H12" s="98">
        <v>0.4</v>
      </c>
      <c r="I12" s="124"/>
      <c r="J12" s="124" t="s">
        <v>227</v>
      </c>
      <c r="K12" s="124" t="s">
        <v>235</v>
      </c>
      <c r="L12" s="124">
        <v>33.799999999999997</v>
      </c>
      <c r="M12" s="124">
        <f t="shared" si="0"/>
        <v>41.58</v>
      </c>
      <c r="N12" s="124">
        <v>6</v>
      </c>
      <c r="O12" s="124">
        <v>0.24</v>
      </c>
      <c r="P12" s="125">
        <f t="shared" si="1"/>
        <v>9.9791999999999987</v>
      </c>
      <c r="Q12" s="126"/>
      <c r="R12" s="126">
        <f t="shared" si="2"/>
        <v>0</v>
      </c>
      <c r="S12" s="108">
        <f t="shared" si="3"/>
        <v>0</v>
      </c>
      <c r="T12" s="124"/>
      <c r="U12" s="124"/>
      <c r="V12" s="124"/>
      <c r="W12" s="124"/>
      <c r="X12" s="124"/>
      <c r="Y12" s="124"/>
      <c r="Z12" s="124"/>
      <c r="AA12" s="124"/>
      <c r="AB12" s="124"/>
      <c r="AC12" s="124"/>
    </row>
    <row r="13" spans="1:29" s="127" customFormat="1" ht="21.95" customHeight="1" x14ac:dyDescent="0.25">
      <c r="A13" s="106">
        <v>11</v>
      </c>
      <c r="B13" s="99"/>
      <c r="C13" s="107" t="s">
        <v>379</v>
      </c>
      <c r="D13" s="170" t="s">
        <v>552</v>
      </c>
      <c r="E13" s="121">
        <v>742517000</v>
      </c>
      <c r="F13" s="122" t="s">
        <v>717</v>
      </c>
      <c r="G13" s="123"/>
      <c r="H13" s="98">
        <v>0.49</v>
      </c>
      <c r="I13" s="124"/>
      <c r="J13" s="124" t="s">
        <v>227</v>
      </c>
      <c r="K13" s="124" t="s">
        <v>235</v>
      </c>
      <c r="L13" s="124">
        <v>33.9</v>
      </c>
      <c r="M13" s="124">
        <f t="shared" si="0"/>
        <v>41.690000000000005</v>
      </c>
      <c r="N13" s="124">
        <v>6</v>
      </c>
      <c r="O13" s="124">
        <v>0.24</v>
      </c>
      <c r="P13" s="125">
        <f t="shared" si="1"/>
        <v>10.005600000000001</v>
      </c>
      <c r="Q13" s="126"/>
      <c r="R13" s="126">
        <f t="shared" si="2"/>
        <v>0</v>
      </c>
      <c r="S13" s="108">
        <f t="shared" si="3"/>
        <v>0</v>
      </c>
      <c r="T13" s="124"/>
      <c r="U13" s="124"/>
      <c r="V13" s="124"/>
      <c r="W13" s="124"/>
      <c r="X13" s="124"/>
      <c r="Y13" s="124"/>
      <c r="Z13" s="124"/>
      <c r="AA13" s="124"/>
      <c r="AB13" s="124"/>
      <c r="AC13" s="124"/>
    </row>
    <row r="14" spans="1:29" s="127" customFormat="1" ht="21.95" customHeight="1" x14ac:dyDescent="0.25">
      <c r="A14" s="106">
        <v>12</v>
      </c>
      <c r="B14" s="99"/>
      <c r="C14" s="107" t="s">
        <v>379</v>
      </c>
      <c r="D14" s="170" t="s">
        <v>552</v>
      </c>
      <c r="E14" s="121">
        <v>742517010</v>
      </c>
      <c r="F14" s="122" t="s">
        <v>718</v>
      </c>
      <c r="G14" s="123"/>
      <c r="H14" s="98">
        <v>0.49</v>
      </c>
      <c r="I14" s="124"/>
      <c r="J14" s="124" t="s">
        <v>227</v>
      </c>
      <c r="K14" s="124" t="s">
        <v>235</v>
      </c>
      <c r="L14" s="124">
        <v>34.4</v>
      </c>
      <c r="M14" s="124">
        <f t="shared" si="0"/>
        <v>42.24</v>
      </c>
      <c r="N14" s="124">
        <v>6</v>
      </c>
      <c r="O14" s="124">
        <v>0.24</v>
      </c>
      <c r="P14" s="125">
        <f t="shared" si="1"/>
        <v>10.137600000000001</v>
      </c>
      <c r="Q14" s="126"/>
      <c r="R14" s="126">
        <f t="shared" si="2"/>
        <v>0</v>
      </c>
      <c r="S14" s="108">
        <f t="shared" si="3"/>
        <v>0</v>
      </c>
      <c r="T14" s="124"/>
      <c r="U14" s="124"/>
      <c r="V14" s="124"/>
      <c r="W14" s="124"/>
      <c r="X14" s="124"/>
      <c r="Y14" s="124"/>
      <c r="Z14" s="124"/>
      <c r="AA14" s="124"/>
      <c r="AB14" s="124"/>
      <c r="AC14" s="124"/>
    </row>
    <row r="15" spans="1:29" s="127" customFormat="1" ht="21.95" customHeight="1" x14ac:dyDescent="0.25">
      <c r="A15" s="106">
        <v>13</v>
      </c>
      <c r="B15" s="99"/>
      <c r="C15" s="107" t="s">
        <v>379</v>
      </c>
      <c r="D15" s="170" t="s">
        <v>552</v>
      </c>
      <c r="E15" s="121">
        <v>742517200</v>
      </c>
      <c r="F15" s="122" t="s">
        <v>719</v>
      </c>
      <c r="G15" s="123"/>
      <c r="H15" s="98">
        <v>0.52</v>
      </c>
      <c r="I15" s="124"/>
      <c r="J15" s="124" t="s">
        <v>227</v>
      </c>
      <c r="K15" s="124" t="s">
        <v>235</v>
      </c>
      <c r="L15" s="124">
        <v>34.4</v>
      </c>
      <c r="M15" s="124">
        <f t="shared" si="0"/>
        <v>42.24</v>
      </c>
      <c r="N15" s="124">
        <v>6</v>
      </c>
      <c r="O15" s="124">
        <v>0.24</v>
      </c>
      <c r="P15" s="125">
        <f t="shared" si="1"/>
        <v>10.137600000000001</v>
      </c>
      <c r="Q15" s="126"/>
      <c r="R15" s="126">
        <f t="shared" si="2"/>
        <v>0</v>
      </c>
      <c r="S15" s="108">
        <f t="shared" si="3"/>
        <v>0</v>
      </c>
      <c r="T15" s="124"/>
      <c r="U15" s="124"/>
      <c r="V15" s="124"/>
      <c r="W15" s="124"/>
      <c r="X15" s="124"/>
      <c r="Y15" s="124"/>
      <c r="Z15" s="124"/>
      <c r="AA15" s="124"/>
      <c r="AB15" s="124"/>
      <c r="AC15" s="124"/>
    </row>
    <row r="16" spans="1:29" s="127" customFormat="1" ht="21.95" customHeight="1" x14ac:dyDescent="0.25">
      <c r="A16" s="106">
        <v>14</v>
      </c>
      <c r="B16" s="99"/>
      <c r="C16" s="107" t="s">
        <v>379</v>
      </c>
      <c r="D16" s="170" t="s">
        <v>552</v>
      </c>
      <c r="E16" s="121">
        <v>742517300</v>
      </c>
      <c r="F16" s="122" t="s">
        <v>720</v>
      </c>
      <c r="G16" s="123"/>
      <c r="H16" s="98">
        <v>0.5</v>
      </c>
      <c r="I16" s="124"/>
      <c r="J16" s="124" t="s">
        <v>227</v>
      </c>
      <c r="K16" s="124" t="s">
        <v>246</v>
      </c>
      <c r="L16" s="124">
        <v>44.9</v>
      </c>
      <c r="M16" s="124">
        <f t="shared" si="0"/>
        <v>53.790000000000006</v>
      </c>
      <c r="N16" s="124">
        <v>7.5</v>
      </c>
      <c r="O16" s="124">
        <v>0.38</v>
      </c>
      <c r="P16" s="125">
        <f t="shared" si="1"/>
        <v>20.440200000000004</v>
      </c>
      <c r="Q16" s="126"/>
      <c r="R16" s="126">
        <f t="shared" si="2"/>
        <v>0</v>
      </c>
      <c r="S16" s="108">
        <f t="shared" si="3"/>
        <v>0</v>
      </c>
      <c r="T16" s="124"/>
      <c r="U16" s="124"/>
      <c r="V16" s="124"/>
      <c r="W16" s="124"/>
      <c r="X16" s="124"/>
      <c r="Y16" s="124"/>
      <c r="Z16" s="124"/>
      <c r="AA16" s="124"/>
      <c r="AB16" s="124"/>
      <c r="AC16" s="124"/>
    </row>
    <row r="17" spans="1:29" s="127" customFormat="1" ht="21.95" customHeight="1" x14ac:dyDescent="0.25">
      <c r="A17" s="106">
        <v>15</v>
      </c>
      <c r="B17" s="99"/>
      <c r="C17" s="107" t="s">
        <v>379</v>
      </c>
      <c r="D17" s="170" t="s">
        <v>552</v>
      </c>
      <c r="E17" s="128">
        <v>742517400</v>
      </c>
      <c r="F17" s="129" t="s">
        <v>721</v>
      </c>
      <c r="G17" s="130"/>
      <c r="H17" s="109">
        <v>0.49</v>
      </c>
      <c r="I17" s="124"/>
      <c r="J17" s="124" t="s">
        <v>227</v>
      </c>
      <c r="K17" s="124" t="s">
        <v>246</v>
      </c>
      <c r="L17" s="124">
        <v>44.9</v>
      </c>
      <c r="M17" s="124">
        <f t="shared" si="0"/>
        <v>53.790000000000006</v>
      </c>
      <c r="N17" s="124">
        <v>7.5</v>
      </c>
      <c r="O17" s="124">
        <v>0.38</v>
      </c>
      <c r="P17" s="125">
        <f t="shared" si="1"/>
        <v>20.440200000000004</v>
      </c>
      <c r="Q17" s="126"/>
      <c r="R17" s="126">
        <f t="shared" si="2"/>
        <v>0</v>
      </c>
      <c r="S17" s="108">
        <f t="shared" si="3"/>
        <v>0</v>
      </c>
      <c r="T17" s="124"/>
      <c r="U17" s="124"/>
      <c r="V17" s="124"/>
      <c r="W17" s="124"/>
      <c r="X17" s="124"/>
      <c r="Y17" s="124"/>
      <c r="Z17" s="124"/>
      <c r="AA17" s="124"/>
      <c r="AB17" s="124"/>
      <c r="AC17" s="124"/>
    </row>
    <row r="18" spans="1:29" s="127" customFormat="1" ht="21.95" customHeight="1" x14ac:dyDescent="0.25">
      <c r="A18" s="106">
        <v>16</v>
      </c>
      <c r="B18" s="99"/>
      <c r="C18" s="107" t="s">
        <v>379</v>
      </c>
      <c r="D18" s="170" t="s">
        <v>552</v>
      </c>
      <c r="E18" s="121">
        <v>742521100</v>
      </c>
      <c r="F18" s="122" t="s">
        <v>722</v>
      </c>
      <c r="G18" s="123"/>
      <c r="H18" s="98">
        <v>0.4</v>
      </c>
      <c r="I18" s="124"/>
      <c r="J18" s="124" t="s">
        <v>229</v>
      </c>
      <c r="K18" s="124" t="s">
        <v>235</v>
      </c>
      <c r="L18" s="124">
        <v>34.9</v>
      </c>
      <c r="M18" s="124">
        <f t="shared" si="0"/>
        <v>42.79</v>
      </c>
      <c r="N18" s="124">
        <v>6</v>
      </c>
      <c r="O18" s="124">
        <v>0.24</v>
      </c>
      <c r="P18" s="125">
        <f t="shared" si="1"/>
        <v>10.269599999999999</v>
      </c>
      <c r="Q18" s="126">
        <v>120000</v>
      </c>
      <c r="R18" s="126">
        <f t="shared" si="2"/>
        <v>1232.3519999999999</v>
      </c>
      <c r="S18" s="108">
        <f t="shared" si="3"/>
        <v>14.670857142857141</v>
      </c>
      <c r="T18" s="124"/>
      <c r="U18" s="124"/>
      <c r="V18" s="124"/>
      <c r="W18" s="124"/>
      <c r="X18" s="124"/>
      <c r="Y18" s="124"/>
      <c r="Z18" s="124"/>
      <c r="AA18" s="124"/>
      <c r="AB18" s="124"/>
      <c r="AC18" s="124"/>
    </row>
    <row r="19" spans="1:29" s="127" customFormat="1" ht="21.95" customHeight="1" x14ac:dyDescent="0.25">
      <c r="A19" s="106">
        <v>17</v>
      </c>
      <c r="B19" s="99"/>
      <c r="C19" s="107" t="s">
        <v>379</v>
      </c>
      <c r="D19" s="170" t="s">
        <v>552</v>
      </c>
      <c r="E19" s="121">
        <v>742521200</v>
      </c>
      <c r="F19" s="122" t="s">
        <v>723</v>
      </c>
      <c r="G19" s="123"/>
      <c r="H19" s="98">
        <v>0.4</v>
      </c>
      <c r="I19" s="124"/>
      <c r="J19" s="124" t="s">
        <v>229</v>
      </c>
      <c r="K19" s="124" t="s">
        <v>239</v>
      </c>
      <c r="L19" s="124">
        <v>34.9</v>
      </c>
      <c r="M19" s="124">
        <f t="shared" si="0"/>
        <v>42.79</v>
      </c>
      <c r="N19" s="124">
        <v>7</v>
      </c>
      <c r="O19" s="124">
        <v>0.33</v>
      </c>
      <c r="P19" s="125">
        <f t="shared" si="1"/>
        <v>14.120700000000001</v>
      </c>
      <c r="Q19" s="126">
        <v>120000</v>
      </c>
      <c r="R19" s="126">
        <f t="shared" si="2"/>
        <v>1694.4840000000002</v>
      </c>
      <c r="S19" s="108">
        <f t="shared" si="3"/>
        <v>20.172428571428576</v>
      </c>
      <c r="T19" s="124"/>
      <c r="U19" s="124"/>
      <c r="V19" s="124"/>
      <c r="W19" s="124"/>
      <c r="X19" s="124"/>
      <c r="Y19" s="124"/>
      <c r="Z19" s="124"/>
      <c r="AA19" s="124"/>
      <c r="AB19" s="124"/>
      <c r="AC19" s="124"/>
    </row>
    <row r="20" spans="1:29" s="127" customFormat="1" ht="21.95" customHeight="1" x14ac:dyDescent="0.25">
      <c r="A20" s="106">
        <v>18</v>
      </c>
      <c r="B20" s="99"/>
      <c r="C20" s="107" t="s">
        <v>379</v>
      </c>
      <c r="D20" s="170" t="s">
        <v>552</v>
      </c>
      <c r="E20" s="128">
        <v>752506000</v>
      </c>
      <c r="F20" s="129" t="s">
        <v>553</v>
      </c>
      <c r="G20" s="130"/>
      <c r="H20" s="109">
        <v>0.64700000000000002</v>
      </c>
      <c r="I20" s="124"/>
      <c r="J20" s="124" t="s">
        <v>227</v>
      </c>
      <c r="K20" s="124" t="s">
        <v>235</v>
      </c>
      <c r="L20" s="124">
        <v>36.9</v>
      </c>
      <c r="M20" s="124">
        <f t="shared" si="0"/>
        <v>44.99</v>
      </c>
      <c r="N20" s="124">
        <v>6</v>
      </c>
      <c r="O20" s="124">
        <v>0.24</v>
      </c>
      <c r="P20" s="125">
        <f t="shared" si="1"/>
        <v>10.797599999999999</v>
      </c>
      <c r="Q20" s="126"/>
      <c r="R20" s="126">
        <f t="shared" si="2"/>
        <v>0</v>
      </c>
      <c r="S20" s="108">
        <f t="shared" si="3"/>
        <v>0</v>
      </c>
      <c r="T20" s="124"/>
      <c r="U20" s="124"/>
      <c r="V20" s="124"/>
      <c r="W20" s="124"/>
      <c r="X20" s="124"/>
      <c r="Y20" s="124"/>
      <c r="Z20" s="124"/>
      <c r="AA20" s="124"/>
      <c r="AB20" s="124"/>
      <c r="AC20" s="124"/>
    </row>
    <row r="21" spans="1:29" s="127" customFormat="1" ht="21.95" customHeight="1" x14ac:dyDescent="0.25">
      <c r="A21" s="106">
        <v>19</v>
      </c>
      <c r="B21" s="99"/>
      <c r="C21" s="107" t="s">
        <v>379</v>
      </c>
      <c r="D21" s="170" t="s">
        <v>552</v>
      </c>
      <c r="E21" s="121" t="s">
        <v>472</v>
      </c>
      <c r="F21" s="122" t="s">
        <v>554</v>
      </c>
      <c r="G21" s="123"/>
      <c r="H21" s="98">
        <v>0.28710000000000002</v>
      </c>
      <c r="I21" s="124"/>
      <c r="J21" s="124" t="s">
        <v>227</v>
      </c>
      <c r="K21" s="124" t="s">
        <v>235</v>
      </c>
      <c r="L21" s="124">
        <v>45.4</v>
      </c>
      <c r="M21" s="124">
        <f t="shared" si="0"/>
        <v>54.34</v>
      </c>
      <c r="N21" s="124">
        <v>6</v>
      </c>
      <c r="O21" s="124">
        <v>0.24</v>
      </c>
      <c r="P21" s="125">
        <f t="shared" si="1"/>
        <v>13.041600000000001</v>
      </c>
      <c r="Q21" s="126"/>
      <c r="R21" s="126">
        <f t="shared" si="2"/>
        <v>0</v>
      </c>
      <c r="S21" s="108">
        <f t="shared" si="3"/>
        <v>0</v>
      </c>
      <c r="T21" s="124"/>
      <c r="U21" s="124"/>
      <c r="V21" s="124"/>
      <c r="W21" s="124"/>
      <c r="X21" s="124"/>
      <c r="Y21" s="124"/>
      <c r="Z21" s="124"/>
      <c r="AA21" s="124"/>
      <c r="AB21" s="124"/>
      <c r="AC21" s="124"/>
    </row>
    <row r="22" spans="1:29" s="127" customFormat="1" ht="21.95" customHeight="1" x14ac:dyDescent="0.25">
      <c r="A22" s="106">
        <v>20</v>
      </c>
      <c r="B22" s="99"/>
      <c r="C22" s="107" t="s">
        <v>379</v>
      </c>
      <c r="D22" s="170" t="s">
        <v>552</v>
      </c>
      <c r="E22" s="128" t="s">
        <v>473</v>
      </c>
      <c r="F22" s="129" t="s">
        <v>555</v>
      </c>
      <c r="G22" s="130"/>
      <c r="H22" s="109">
        <v>0.28710000000000002</v>
      </c>
      <c r="I22" s="124"/>
      <c r="J22" s="124" t="s">
        <v>227</v>
      </c>
      <c r="K22" s="124" t="s">
        <v>234</v>
      </c>
      <c r="L22" s="124">
        <v>46.2</v>
      </c>
      <c r="M22" s="124">
        <f t="shared" si="0"/>
        <v>55.220000000000006</v>
      </c>
      <c r="N22" s="124">
        <v>8</v>
      </c>
      <c r="O22" s="124">
        <v>0.42</v>
      </c>
      <c r="P22" s="125">
        <f t="shared" si="1"/>
        <v>23.192400000000003</v>
      </c>
      <c r="Q22" s="126"/>
      <c r="R22" s="126">
        <f t="shared" si="2"/>
        <v>0</v>
      </c>
      <c r="S22" s="108">
        <f t="shared" si="3"/>
        <v>0</v>
      </c>
      <c r="T22" s="124"/>
      <c r="U22" s="124"/>
      <c r="V22" s="124"/>
      <c r="W22" s="124"/>
      <c r="X22" s="124"/>
      <c r="Y22" s="124"/>
      <c r="Z22" s="124"/>
      <c r="AA22" s="124"/>
      <c r="AB22" s="124"/>
      <c r="AC22" s="124"/>
    </row>
    <row r="23" spans="1:29" s="127" customFormat="1" ht="21.95" customHeight="1" x14ac:dyDescent="0.25">
      <c r="A23" s="106">
        <v>21</v>
      </c>
      <c r="B23" s="99"/>
      <c r="C23" s="107" t="s">
        <v>379</v>
      </c>
      <c r="D23" s="170" t="s">
        <v>552</v>
      </c>
      <c r="E23" s="121" t="s">
        <v>474</v>
      </c>
      <c r="F23" s="122" t="s">
        <v>556</v>
      </c>
      <c r="G23" s="123"/>
      <c r="H23" s="98">
        <v>0.28710000000000002</v>
      </c>
      <c r="I23" s="124"/>
      <c r="J23" s="124" t="s">
        <v>227</v>
      </c>
      <c r="K23" s="124" t="s">
        <v>239</v>
      </c>
      <c r="L23" s="124">
        <v>34.4</v>
      </c>
      <c r="M23" s="124">
        <f t="shared" si="0"/>
        <v>42.24</v>
      </c>
      <c r="N23" s="124">
        <v>7</v>
      </c>
      <c r="O23" s="124">
        <v>0.33</v>
      </c>
      <c r="P23" s="125">
        <f t="shared" si="1"/>
        <v>13.939200000000001</v>
      </c>
      <c r="Q23" s="126"/>
      <c r="R23" s="126">
        <f t="shared" si="2"/>
        <v>0</v>
      </c>
      <c r="S23" s="108">
        <f t="shared" si="3"/>
        <v>0</v>
      </c>
      <c r="T23" s="124"/>
      <c r="U23" s="124"/>
      <c r="V23" s="124"/>
      <c r="W23" s="124"/>
      <c r="X23" s="124"/>
      <c r="Y23" s="124"/>
      <c r="Z23" s="124"/>
      <c r="AA23" s="124"/>
      <c r="AB23" s="124"/>
      <c r="AC23" s="124"/>
    </row>
    <row r="24" spans="1:29" s="127" customFormat="1" ht="21.95" customHeight="1" x14ac:dyDescent="0.25">
      <c r="A24" s="106">
        <v>22</v>
      </c>
      <c r="B24" s="99"/>
      <c r="C24" s="107" t="s">
        <v>379</v>
      </c>
      <c r="D24" s="170" t="s">
        <v>552</v>
      </c>
      <c r="E24" s="121" t="s">
        <v>475</v>
      </c>
      <c r="F24" s="122" t="s">
        <v>557</v>
      </c>
      <c r="G24" s="123"/>
      <c r="H24" s="98">
        <v>0.28710000000000002</v>
      </c>
      <c r="I24" s="124"/>
      <c r="J24" s="124" t="s">
        <v>225</v>
      </c>
      <c r="K24" s="124" t="s">
        <v>234</v>
      </c>
      <c r="L24" s="124">
        <v>23.5</v>
      </c>
      <c r="M24" s="124">
        <f t="shared" si="0"/>
        <v>30.250000000000004</v>
      </c>
      <c r="N24" s="124">
        <v>8</v>
      </c>
      <c r="O24" s="124">
        <v>0.42</v>
      </c>
      <c r="P24" s="125">
        <f t="shared" si="1"/>
        <v>12.705000000000002</v>
      </c>
      <c r="Q24" s="126">
        <v>35000</v>
      </c>
      <c r="R24" s="126">
        <f t="shared" si="2"/>
        <v>444.67500000000007</v>
      </c>
      <c r="S24" s="108">
        <f t="shared" si="3"/>
        <v>7.3754789272030665</v>
      </c>
      <c r="T24" s="124"/>
      <c r="U24" s="124"/>
      <c r="V24" s="124"/>
      <c r="W24" s="124"/>
      <c r="X24" s="124"/>
      <c r="Y24" s="124"/>
      <c r="Z24" s="124"/>
      <c r="AA24" s="124"/>
      <c r="AB24" s="124"/>
      <c r="AC24" s="124"/>
    </row>
    <row r="25" spans="1:29" s="127" customFormat="1" ht="21.95" customHeight="1" x14ac:dyDescent="0.25">
      <c r="A25" s="106">
        <v>23</v>
      </c>
      <c r="B25" s="99"/>
      <c r="C25" s="107" t="s">
        <v>379</v>
      </c>
      <c r="D25" s="170" t="s">
        <v>552</v>
      </c>
      <c r="E25" s="121" t="s">
        <v>476</v>
      </c>
      <c r="F25" s="122" t="s">
        <v>558</v>
      </c>
      <c r="G25" s="123"/>
      <c r="H25" s="98">
        <v>0.28710000000000002</v>
      </c>
      <c r="I25" s="124"/>
      <c r="J25" s="124" t="s">
        <v>225</v>
      </c>
      <c r="K25" s="124" t="s">
        <v>234</v>
      </c>
      <c r="L25" s="124">
        <v>27.5</v>
      </c>
      <c r="M25" s="124">
        <f t="shared" si="0"/>
        <v>34.650000000000006</v>
      </c>
      <c r="N25" s="124">
        <v>8</v>
      </c>
      <c r="O25" s="124">
        <v>0.42</v>
      </c>
      <c r="P25" s="125">
        <f t="shared" si="1"/>
        <v>14.553000000000003</v>
      </c>
      <c r="Q25" s="126">
        <v>35000</v>
      </c>
      <c r="R25" s="126">
        <f t="shared" si="2"/>
        <v>509.35500000000008</v>
      </c>
      <c r="S25" s="108">
        <f t="shared" si="3"/>
        <v>8.4482758620689662</v>
      </c>
      <c r="T25" s="124"/>
      <c r="U25" s="124"/>
      <c r="V25" s="124"/>
      <c r="W25" s="124"/>
      <c r="X25" s="124"/>
      <c r="Y25" s="124"/>
      <c r="Z25" s="124"/>
      <c r="AA25" s="124"/>
      <c r="AB25" s="124"/>
      <c r="AC25" s="124"/>
    </row>
    <row r="26" spans="1:29" s="127" customFormat="1" ht="21.95" customHeight="1" x14ac:dyDescent="0.25">
      <c r="A26" s="106">
        <v>24</v>
      </c>
      <c r="B26" s="99"/>
      <c r="C26" s="107" t="s">
        <v>379</v>
      </c>
      <c r="D26" s="170" t="s">
        <v>552</v>
      </c>
      <c r="E26" s="128" t="s">
        <v>477</v>
      </c>
      <c r="F26" s="129" t="s">
        <v>559</v>
      </c>
      <c r="G26" s="130"/>
      <c r="H26" s="109">
        <v>0.28710000000000002</v>
      </c>
      <c r="I26" s="124"/>
      <c r="J26" s="124" t="s">
        <v>227</v>
      </c>
      <c r="K26" s="124" t="s">
        <v>239</v>
      </c>
      <c r="L26" s="124">
        <v>9.6</v>
      </c>
      <c r="M26" s="124">
        <f t="shared" si="0"/>
        <v>14.96</v>
      </c>
      <c r="N26" s="124">
        <v>7</v>
      </c>
      <c r="O26" s="124">
        <v>0.33</v>
      </c>
      <c r="P26" s="125">
        <f t="shared" si="1"/>
        <v>4.9368000000000007</v>
      </c>
      <c r="Q26" s="126"/>
      <c r="R26" s="126">
        <f t="shared" si="2"/>
        <v>0</v>
      </c>
      <c r="S26" s="108">
        <f t="shared" si="3"/>
        <v>0</v>
      </c>
      <c r="T26" s="124"/>
      <c r="U26" s="124"/>
      <c r="V26" s="124"/>
      <c r="W26" s="124"/>
      <c r="X26" s="124"/>
      <c r="Y26" s="124"/>
      <c r="Z26" s="124"/>
      <c r="AA26" s="124"/>
      <c r="AB26" s="124"/>
      <c r="AC26" s="124"/>
    </row>
    <row r="27" spans="1:29" s="127" customFormat="1" ht="21.95" customHeight="1" x14ac:dyDescent="0.25">
      <c r="A27" s="106">
        <v>25</v>
      </c>
      <c r="B27" s="99"/>
      <c r="C27" s="107" t="s">
        <v>379</v>
      </c>
      <c r="D27" s="170" t="s">
        <v>552</v>
      </c>
      <c r="E27" s="128" t="s">
        <v>478</v>
      </c>
      <c r="F27" s="129" t="s">
        <v>560</v>
      </c>
      <c r="G27" s="130"/>
      <c r="H27" s="109">
        <v>0.28710000000000002</v>
      </c>
      <c r="I27" s="124"/>
      <c r="J27" s="124" t="s">
        <v>226</v>
      </c>
      <c r="K27" s="124" t="s">
        <v>268</v>
      </c>
      <c r="L27" s="124">
        <v>42.1</v>
      </c>
      <c r="M27" s="124">
        <f t="shared" si="0"/>
        <v>50.710000000000008</v>
      </c>
      <c r="N27" s="124"/>
      <c r="O27" s="124">
        <f>1.45*1.45*0.66</f>
        <v>1.3876500000000001</v>
      </c>
      <c r="P27" s="125">
        <f t="shared" si="1"/>
        <v>70.367731500000019</v>
      </c>
      <c r="Q27" s="126">
        <v>120000</v>
      </c>
      <c r="R27" s="126">
        <f t="shared" si="2"/>
        <v>8444.1277800000025</v>
      </c>
      <c r="S27" s="108">
        <f t="shared" si="3"/>
        <v>140.05619047619052</v>
      </c>
      <c r="T27" s="124"/>
      <c r="U27" s="124"/>
      <c r="V27" s="124"/>
      <c r="W27" s="124"/>
      <c r="X27" s="124"/>
      <c r="Y27" s="124"/>
      <c r="Z27" s="124"/>
      <c r="AA27" s="124"/>
      <c r="AB27" s="124"/>
      <c r="AC27" s="124"/>
    </row>
    <row r="28" spans="1:29" s="127" customFormat="1" ht="21.95" customHeight="1" x14ac:dyDescent="0.25">
      <c r="A28" s="106">
        <v>26</v>
      </c>
      <c r="B28" s="99"/>
      <c r="C28" s="107" t="s">
        <v>379</v>
      </c>
      <c r="D28" s="170" t="s">
        <v>552</v>
      </c>
      <c r="E28" s="121" t="s">
        <v>479</v>
      </c>
      <c r="F28" s="122" t="s">
        <v>561</v>
      </c>
      <c r="G28" s="123"/>
      <c r="H28" s="98">
        <v>0.28710000000000002</v>
      </c>
      <c r="I28" s="124"/>
      <c r="J28" s="124" t="s">
        <v>226</v>
      </c>
      <c r="K28" s="124" t="s">
        <v>247</v>
      </c>
      <c r="L28" s="124">
        <v>35.799999999999997</v>
      </c>
      <c r="M28" s="124">
        <f t="shared" si="0"/>
        <v>43.78</v>
      </c>
      <c r="N28" s="124"/>
      <c r="O28" s="124">
        <f>1.6*1.6*0.66</f>
        <v>1.6896000000000004</v>
      </c>
      <c r="P28" s="125">
        <f t="shared" si="1"/>
        <v>73.970688000000024</v>
      </c>
      <c r="Q28" s="126">
        <v>120000</v>
      </c>
      <c r="R28" s="126">
        <f t="shared" si="2"/>
        <v>8876.4825600000022</v>
      </c>
      <c r="S28" s="108">
        <f t="shared" si="3"/>
        <v>147.22732348111663</v>
      </c>
      <c r="T28" s="124"/>
      <c r="U28" s="124"/>
      <c r="V28" s="124"/>
      <c r="W28" s="124"/>
      <c r="X28" s="124"/>
      <c r="Y28" s="124"/>
      <c r="Z28" s="124"/>
      <c r="AA28" s="124"/>
      <c r="AB28" s="124"/>
      <c r="AC28" s="124"/>
    </row>
    <row r="29" spans="1:29" s="127" customFormat="1" ht="21.95" customHeight="1" x14ac:dyDescent="0.25">
      <c r="A29" s="106">
        <v>27</v>
      </c>
      <c r="B29" s="99"/>
      <c r="C29" s="107" t="s">
        <v>379</v>
      </c>
      <c r="D29" s="170" t="s">
        <v>552</v>
      </c>
      <c r="E29" s="110" t="s">
        <v>480</v>
      </c>
      <c r="F29" s="122" t="s">
        <v>562</v>
      </c>
      <c r="G29" s="123"/>
      <c r="H29" s="109">
        <v>0.28710000000000002</v>
      </c>
      <c r="I29" s="124"/>
      <c r="J29" s="124" t="s">
        <v>226</v>
      </c>
      <c r="K29" s="124" t="s">
        <v>268</v>
      </c>
      <c r="L29" s="124">
        <v>39.1</v>
      </c>
      <c r="M29" s="124">
        <f>(L29+(IF(K29&lt;=4,1.5,IF(K29&lt;=7,2,IF(K29&lt;=11,2.5,IF(K29&lt;=19,3,IF(K29&lt;=25,3.5,4)))))))*1.1</f>
        <v>47.410000000000004</v>
      </c>
      <c r="N29" s="124"/>
      <c r="O29" s="124">
        <f>1.45*1.45*0.66</f>
        <v>1.3876500000000001</v>
      </c>
      <c r="P29" s="125">
        <f>M29*O29</f>
        <v>65.788486500000005</v>
      </c>
      <c r="Q29" s="126">
        <v>120000</v>
      </c>
      <c r="R29" s="126">
        <f>Q29/1000*P29</f>
        <v>7894.6183800000008</v>
      </c>
      <c r="S29" s="108">
        <f>IF(G29&lt;&gt;0,R29/G29*100,R29/(H29*21000)*100)</f>
        <v>130.94190476190477</v>
      </c>
      <c r="T29" s="124"/>
      <c r="U29" s="124"/>
      <c r="V29" s="124"/>
      <c r="W29" s="124"/>
      <c r="X29" s="124"/>
      <c r="Y29" s="124"/>
      <c r="Z29" s="124"/>
      <c r="AA29" s="124"/>
      <c r="AB29" s="124"/>
      <c r="AC29" s="124"/>
    </row>
    <row r="30" spans="1:29" s="127" customFormat="1" ht="21.95" customHeight="1" x14ac:dyDescent="0.25">
      <c r="A30" s="106">
        <v>28</v>
      </c>
      <c r="B30" s="99"/>
      <c r="C30" s="107" t="s">
        <v>379</v>
      </c>
      <c r="D30" s="170" t="s">
        <v>552</v>
      </c>
      <c r="E30" s="128" t="s">
        <v>481</v>
      </c>
      <c r="F30" s="129" t="s">
        <v>563</v>
      </c>
      <c r="G30" s="130"/>
      <c r="H30" s="109">
        <v>0.28710000000000002</v>
      </c>
      <c r="I30" s="124"/>
      <c r="J30" s="124" t="s">
        <v>226</v>
      </c>
      <c r="K30" s="124" t="s">
        <v>268</v>
      </c>
      <c r="L30" s="124">
        <v>39.1</v>
      </c>
      <c r="M30" s="124">
        <f t="shared" si="0"/>
        <v>47.410000000000004</v>
      </c>
      <c r="N30" s="124"/>
      <c r="O30" s="124">
        <f>1.45*1.45*0.66</f>
        <v>1.3876500000000001</v>
      </c>
      <c r="P30" s="125">
        <f t="shared" si="1"/>
        <v>65.788486500000005</v>
      </c>
      <c r="Q30" s="126">
        <v>120000</v>
      </c>
      <c r="R30" s="126">
        <f t="shared" si="2"/>
        <v>7894.6183800000008</v>
      </c>
      <c r="S30" s="108">
        <f t="shared" si="3"/>
        <v>130.94190476190477</v>
      </c>
      <c r="T30" s="124"/>
      <c r="U30" s="124"/>
      <c r="V30" s="124"/>
      <c r="W30" s="124"/>
      <c r="X30" s="124"/>
      <c r="Y30" s="124"/>
      <c r="Z30" s="124"/>
      <c r="AA30" s="124"/>
      <c r="AB30" s="124"/>
      <c r="AC30" s="124"/>
    </row>
    <row r="31" spans="1:29" s="127" customFormat="1" ht="21.95" customHeight="1" x14ac:dyDescent="0.25">
      <c r="A31" s="106">
        <v>29</v>
      </c>
      <c r="B31" s="99"/>
      <c r="C31" s="107" t="s">
        <v>379</v>
      </c>
      <c r="D31" s="170" t="s">
        <v>552</v>
      </c>
      <c r="E31" s="121" t="s">
        <v>482</v>
      </c>
      <c r="F31" s="122" t="s">
        <v>564</v>
      </c>
      <c r="G31" s="123"/>
      <c r="H31" s="98">
        <v>0.28710000000000002</v>
      </c>
      <c r="I31" s="124"/>
      <c r="J31" s="124" t="s">
        <v>227</v>
      </c>
      <c r="K31" s="124" t="s">
        <v>248</v>
      </c>
      <c r="L31" s="124">
        <v>7.3</v>
      </c>
      <c r="M31" s="124">
        <f t="shared" si="0"/>
        <v>12.430000000000001</v>
      </c>
      <c r="N31" s="124"/>
      <c r="O31" s="124">
        <f>1.05*1.05*0.66</f>
        <v>0.72765000000000002</v>
      </c>
      <c r="P31" s="125">
        <f t="shared" si="1"/>
        <v>9.0446895000000005</v>
      </c>
      <c r="Q31" s="126"/>
      <c r="R31" s="126">
        <f t="shared" si="2"/>
        <v>0</v>
      </c>
      <c r="S31" s="108">
        <f t="shared" si="3"/>
        <v>0</v>
      </c>
      <c r="T31" s="124"/>
      <c r="U31" s="124"/>
      <c r="V31" s="124"/>
      <c r="W31" s="124"/>
      <c r="X31" s="124"/>
      <c r="Y31" s="124"/>
      <c r="Z31" s="124"/>
      <c r="AA31" s="124"/>
      <c r="AB31" s="124"/>
      <c r="AC31" s="124"/>
    </row>
    <row r="32" spans="1:29" s="127" customFormat="1" ht="21.95" customHeight="1" x14ac:dyDescent="0.25">
      <c r="A32" s="106">
        <v>30</v>
      </c>
      <c r="B32" s="99"/>
      <c r="C32" s="107" t="s">
        <v>379</v>
      </c>
      <c r="D32" s="170" t="s">
        <v>552</v>
      </c>
      <c r="E32" s="121" t="s">
        <v>635</v>
      </c>
      <c r="F32" s="122" t="s">
        <v>648</v>
      </c>
      <c r="G32" s="123"/>
      <c r="H32" s="98">
        <v>0.28710000000000002</v>
      </c>
      <c r="I32" s="124"/>
      <c r="J32" s="124"/>
      <c r="K32" s="124"/>
      <c r="L32" s="124"/>
      <c r="M32" s="124"/>
      <c r="N32" s="124"/>
      <c r="O32" s="124"/>
      <c r="P32" s="125"/>
      <c r="Q32" s="126"/>
      <c r="R32" s="126"/>
      <c r="S32" s="108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</row>
    <row r="33" spans="1:29" s="127" customFormat="1" ht="21.95" customHeight="1" x14ac:dyDescent="0.25">
      <c r="A33" s="106">
        <v>31</v>
      </c>
      <c r="B33" s="99"/>
      <c r="C33" s="107" t="s">
        <v>379</v>
      </c>
      <c r="D33" s="170" t="s">
        <v>552</v>
      </c>
      <c r="E33" s="121" t="s">
        <v>636</v>
      </c>
      <c r="F33" s="122" t="s">
        <v>649</v>
      </c>
      <c r="G33" s="123"/>
      <c r="H33" s="98">
        <v>0.28710000000000002</v>
      </c>
      <c r="I33" s="124"/>
      <c r="J33" s="124" t="s">
        <v>227</v>
      </c>
      <c r="K33" s="124" t="s">
        <v>236</v>
      </c>
      <c r="L33" s="124">
        <v>8.1999999999999993</v>
      </c>
      <c r="M33" s="124">
        <f t="shared" si="0"/>
        <v>13.42</v>
      </c>
      <c r="N33" s="124">
        <v>9</v>
      </c>
      <c r="O33" s="124">
        <v>0.54</v>
      </c>
      <c r="P33" s="125">
        <f t="shared" si="1"/>
        <v>7.2468000000000004</v>
      </c>
      <c r="Q33" s="126"/>
      <c r="R33" s="126">
        <f t="shared" si="2"/>
        <v>0</v>
      </c>
      <c r="S33" s="108">
        <f t="shared" si="3"/>
        <v>0</v>
      </c>
      <c r="T33" s="124"/>
      <c r="U33" s="124"/>
      <c r="V33" s="124"/>
      <c r="W33" s="124"/>
      <c r="X33" s="124"/>
      <c r="Y33" s="124"/>
      <c r="Z33" s="124"/>
      <c r="AA33" s="124"/>
      <c r="AB33" s="124"/>
      <c r="AC33" s="124"/>
    </row>
    <row r="34" spans="1:29" s="127" customFormat="1" ht="21.95" customHeight="1" x14ac:dyDescent="0.25">
      <c r="A34" s="106">
        <v>32</v>
      </c>
      <c r="B34" s="99"/>
      <c r="C34" s="107" t="s">
        <v>379</v>
      </c>
      <c r="D34" s="170" t="s">
        <v>552</v>
      </c>
      <c r="E34" s="121" t="s">
        <v>637</v>
      </c>
      <c r="F34" s="122" t="s">
        <v>650</v>
      </c>
      <c r="G34" s="123"/>
      <c r="H34" s="98">
        <v>0.28710000000000002</v>
      </c>
      <c r="I34" s="124"/>
      <c r="J34" s="124" t="s">
        <v>226</v>
      </c>
      <c r="K34" s="124" t="s">
        <v>236</v>
      </c>
      <c r="L34" s="124">
        <v>8.1999999999999993</v>
      </c>
      <c r="M34" s="124">
        <f t="shared" si="0"/>
        <v>13.42</v>
      </c>
      <c r="N34" s="124">
        <v>9</v>
      </c>
      <c r="O34" s="124">
        <v>0.54</v>
      </c>
      <c r="P34" s="125">
        <f t="shared" si="1"/>
        <v>7.2468000000000004</v>
      </c>
      <c r="Q34" s="126"/>
      <c r="R34" s="126">
        <f t="shared" si="2"/>
        <v>0</v>
      </c>
      <c r="S34" s="108">
        <f t="shared" si="3"/>
        <v>0</v>
      </c>
      <c r="T34" s="124"/>
      <c r="U34" s="124"/>
      <c r="V34" s="124"/>
      <c r="W34" s="124"/>
      <c r="X34" s="124"/>
      <c r="Y34" s="124"/>
      <c r="Z34" s="124"/>
      <c r="AA34" s="124"/>
      <c r="AB34" s="124"/>
      <c r="AC34" s="124"/>
    </row>
    <row r="35" spans="1:29" s="127" customFormat="1" ht="21.95" customHeight="1" x14ac:dyDescent="0.25">
      <c r="A35" s="106">
        <v>33</v>
      </c>
      <c r="B35" s="99"/>
      <c r="C35" s="107" t="s">
        <v>379</v>
      </c>
      <c r="D35" s="170" t="s">
        <v>552</v>
      </c>
      <c r="E35" s="121" t="s">
        <v>638</v>
      </c>
      <c r="F35" s="122" t="s">
        <v>651</v>
      </c>
      <c r="G35" s="123"/>
      <c r="H35" s="98">
        <v>0.28710000000000002</v>
      </c>
      <c r="I35" s="124"/>
      <c r="J35" s="124"/>
      <c r="K35" s="124"/>
      <c r="L35" s="124"/>
      <c r="M35" s="124"/>
      <c r="N35" s="124"/>
      <c r="O35" s="124"/>
      <c r="P35" s="125"/>
      <c r="Q35" s="126"/>
      <c r="R35" s="126"/>
      <c r="S35" s="108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</row>
    <row r="36" spans="1:29" s="127" customFormat="1" ht="21.95" customHeight="1" x14ac:dyDescent="0.25">
      <c r="A36" s="106">
        <v>34</v>
      </c>
      <c r="B36" s="99"/>
      <c r="C36" s="107" t="s">
        <v>379</v>
      </c>
      <c r="D36" s="170" t="s">
        <v>552</v>
      </c>
      <c r="E36" s="121" t="s">
        <v>639</v>
      </c>
      <c r="F36" s="122" t="s">
        <v>652</v>
      </c>
      <c r="G36" s="123"/>
      <c r="H36" s="98">
        <v>0.28710000000000002</v>
      </c>
      <c r="I36" s="124"/>
      <c r="J36" s="124"/>
      <c r="K36" s="124"/>
      <c r="L36" s="124"/>
      <c r="M36" s="124"/>
      <c r="N36" s="124"/>
      <c r="O36" s="124"/>
      <c r="P36" s="125"/>
      <c r="Q36" s="126"/>
      <c r="R36" s="126"/>
      <c r="S36" s="108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</row>
    <row r="37" spans="1:29" s="127" customFormat="1" ht="21.95" customHeight="1" x14ac:dyDescent="0.25">
      <c r="A37" s="106">
        <v>35</v>
      </c>
      <c r="B37" s="99"/>
      <c r="C37" s="107" t="s">
        <v>379</v>
      </c>
      <c r="D37" s="170" t="s">
        <v>552</v>
      </c>
      <c r="E37" s="121" t="s">
        <v>673</v>
      </c>
      <c r="F37" s="122" t="s">
        <v>674</v>
      </c>
      <c r="G37" s="123"/>
      <c r="H37" s="98">
        <v>0.28710000000000002</v>
      </c>
      <c r="I37" s="124"/>
      <c r="J37" s="124" t="s">
        <v>230</v>
      </c>
      <c r="K37" s="124" t="s">
        <v>249</v>
      </c>
      <c r="L37" s="124">
        <v>5.7</v>
      </c>
      <c r="M37" s="124">
        <f t="shared" si="0"/>
        <v>10.67</v>
      </c>
      <c r="N37" s="124">
        <v>3.44</v>
      </c>
      <c r="O37" s="124">
        <v>8.2000000000000003E-2</v>
      </c>
      <c r="P37" s="125">
        <f t="shared" si="1"/>
        <v>0.87494000000000005</v>
      </c>
      <c r="Q37" s="126">
        <v>120000</v>
      </c>
      <c r="R37" s="126">
        <f t="shared" si="2"/>
        <v>104.9928</v>
      </c>
      <c r="S37" s="108">
        <f t="shared" si="3"/>
        <v>1.7414340448823209</v>
      </c>
      <c r="T37" s="124"/>
      <c r="U37" s="124"/>
      <c r="V37" s="124"/>
      <c r="W37" s="124"/>
      <c r="X37" s="124"/>
      <c r="Y37" s="124"/>
      <c r="Z37" s="124"/>
      <c r="AA37" s="124"/>
      <c r="AB37" s="124"/>
      <c r="AC37" s="124"/>
    </row>
    <row r="38" spans="1:29" s="127" customFormat="1" ht="21.95" customHeight="1" x14ac:dyDescent="0.25">
      <c r="A38" s="106">
        <v>36</v>
      </c>
      <c r="B38" s="99"/>
      <c r="C38" s="107" t="s">
        <v>379</v>
      </c>
      <c r="D38" s="170" t="s">
        <v>552</v>
      </c>
      <c r="E38" s="121" t="s">
        <v>675</v>
      </c>
      <c r="F38" s="122" t="s">
        <v>676</v>
      </c>
      <c r="G38" s="123"/>
      <c r="H38" s="98">
        <v>0.28710000000000002</v>
      </c>
      <c r="I38" s="124"/>
      <c r="J38" s="124" t="s">
        <v>225</v>
      </c>
      <c r="K38" s="124" t="s">
        <v>241</v>
      </c>
      <c r="L38" s="124">
        <v>119.4</v>
      </c>
      <c r="M38" s="124">
        <f t="shared" si="0"/>
        <v>135.74</v>
      </c>
      <c r="N38" s="124">
        <v>5</v>
      </c>
      <c r="O38" s="124">
        <v>0.16</v>
      </c>
      <c r="P38" s="125">
        <f t="shared" si="1"/>
        <v>21.718400000000003</v>
      </c>
      <c r="Q38" s="126">
        <v>35000</v>
      </c>
      <c r="R38" s="126">
        <f t="shared" si="2"/>
        <v>760.14400000000012</v>
      </c>
      <c r="S38" s="108">
        <f t="shared" si="3"/>
        <v>12.607918263090678</v>
      </c>
      <c r="T38" s="124"/>
      <c r="U38" s="124"/>
      <c r="V38" s="124"/>
      <c r="W38" s="124"/>
      <c r="X38" s="124"/>
      <c r="Y38" s="124"/>
      <c r="Z38" s="124"/>
      <c r="AA38" s="124"/>
      <c r="AB38" s="124"/>
      <c r="AC38" s="124"/>
    </row>
    <row r="39" spans="1:29" s="127" customFormat="1" ht="21.95" customHeight="1" x14ac:dyDescent="0.25">
      <c r="A39" s="106">
        <v>37</v>
      </c>
      <c r="B39" s="99"/>
      <c r="C39" s="107" t="s">
        <v>379</v>
      </c>
      <c r="D39" s="170" t="s">
        <v>552</v>
      </c>
      <c r="E39" s="121" t="s">
        <v>677</v>
      </c>
      <c r="F39" s="122" t="s">
        <v>678</v>
      </c>
      <c r="G39" s="123"/>
      <c r="H39" s="98">
        <v>0.28710000000000002</v>
      </c>
      <c r="I39" s="124"/>
      <c r="J39" s="124" t="s">
        <v>225</v>
      </c>
      <c r="K39" s="124" t="s">
        <v>235</v>
      </c>
      <c r="L39" s="124">
        <v>138.80000000000001</v>
      </c>
      <c r="M39" s="124">
        <f t="shared" si="0"/>
        <v>157.08000000000001</v>
      </c>
      <c r="N39" s="124">
        <v>6</v>
      </c>
      <c r="O39" s="124">
        <v>0.24</v>
      </c>
      <c r="P39" s="125">
        <f t="shared" si="1"/>
        <v>37.699200000000005</v>
      </c>
      <c r="Q39" s="126">
        <v>35000</v>
      </c>
      <c r="R39" s="126">
        <f t="shared" si="2"/>
        <v>1319.4720000000002</v>
      </c>
      <c r="S39" s="108">
        <f t="shared" si="3"/>
        <v>21.885057471264368</v>
      </c>
      <c r="T39" s="124"/>
      <c r="U39" s="124"/>
      <c r="V39" s="124"/>
      <c r="W39" s="124"/>
      <c r="X39" s="124"/>
      <c r="Y39" s="124"/>
      <c r="Z39" s="124"/>
      <c r="AA39" s="124"/>
      <c r="AB39" s="124"/>
      <c r="AC39" s="124"/>
    </row>
    <row r="40" spans="1:29" s="127" customFormat="1" ht="21.95" customHeight="1" x14ac:dyDescent="0.25">
      <c r="A40" s="106">
        <v>38</v>
      </c>
      <c r="B40" s="99"/>
      <c r="C40" s="107" t="s">
        <v>379</v>
      </c>
      <c r="D40" s="170" t="s">
        <v>552</v>
      </c>
      <c r="E40" s="121" t="s">
        <v>724</v>
      </c>
      <c r="F40" s="122" t="s">
        <v>725</v>
      </c>
      <c r="G40" s="123"/>
      <c r="H40" s="98">
        <v>0.28710000000000002</v>
      </c>
      <c r="I40" s="124"/>
      <c r="J40" s="124" t="s">
        <v>225</v>
      </c>
      <c r="K40" s="124" t="s">
        <v>235</v>
      </c>
      <c r="L40" s="124">
        <v>146.1</v>
      </c>
      <c r="M40" s="124">
        <f t="shared" si="0"/>
        <v>165.11</v>
      </c>
      <c r="N40" s="124">
        <v>6</v>
      </c>
      <c r="O40" s="124">
        <v>0.24</v>
      </c>
      <c r="P40" s="125">
        <f t="shared" si="1"/>
        <v>39.626400000000004</v>
      </c>
      <c r="Q40" s="126">
        <v>35000</v>
      </c>
      <c r="R40" s="126">
        <f t="shared" si="2"/>
        <v>1386.9240000000002</v>
      </c>
      <c r="S40" s="108">
        <f t="shared" si="3"/>
        <v>23.003831417624525</v>
      </c>
      <c r="T40" s="124"/>
      <c r="U40" s="124"/>
      <c r="V40" s="124"/>
      <c r="W40" s="124"/>
      <c r="X40" s="124"/>
      <c r="Y40" s="124"/>
      <c r="Z40" s="124"/>
      <c r="AA40" s="124"/>
      <c r="AB40" s="124"/>
      <c r="AC40" s="124"/>
    </row>
    <row r="41" spans="1:29" s="127" customFormat="1" ht="21.95" customHeight="1" x14ac:dyDescent="0.25">
      <c r="A41" s="106">
        <v>39</v>
      </c>
      <c r="B41" s="99"/>
      <c r="C41" s="107" t="s">
        <v>379</v>
      </c>
      <c r="D41" s="170" t="s">
        <v>552</v>
      </c>
      <c r="E41" s="121" t="s">
        <v>726</v>
      </c>
      <c r="F41" s="122" t="s">
        <v>727</v>
      </c>
      <c r="G41" s="123"/>
      <c r="H41" s="98">
        <v>0.28710000000000002</v>
      </c>
      <c r="I41" s="124"/>
      <c r="J41" s="124" t="s">
        <v>229</v>
      </c>
      <c r="K41" s="124" t="s">
        <v>238</v>
      </c>
      <c r="L41" s="124">
        <v>84.6</v>
      </c>
      <c r="M41" s="124">
        <f t="shared" si="0"/>
        <v>97.460000000000008</v>
      </c>
      <c r="N41" s="124">
        <v>4</v>
      </c>
      <c r="O41" s="124">
        <v>0.1</v>
      </c>
      <c r="P41" s="125">
        <f t="shared" si="1"/>
        <v>9.7460000000000022</v>
      </c>
      <c r="Q41" s="126">
        <v>120000</v>
      </c>
      <c r="R41" s="126">
        <f t="shared" si="2"/>
        <v>1169.5200000000002</v>
      </c>
      <c r="S41" s="108">
        <f t="shared" si="3"/>
        <v>19.397920087575262</v>
      </c>
      <c r="T41" s="124"/>
      <c r="U41" s="124"/>
      <c r="V41" s="124"/>
      <c r="W41" s="124"/>
      <c r="X41" s="124"/>
      <c r="Y41" s="124"/>
      <c r="Z41" s="124"/>
      <c r="AA41" s="124"/>
      <c r="AB41" s="124"/>
      <c r="AC41" s="124"/>
    </row>
    <row r="42" spans="1:29" s="127" customFormat="1" ht="21.95" customHeight="1" x14ac:dyDescent="0.25">
      <c r="A42" s="106">
        <v>40</v>
      </c>
      <c r="B42" s="99"/>
      <c r="C42" s="107" t="s">
        <v>379</v>
      </c>
      <c r="D42" s="170" t="s">
        <v>552</v>
      </c>
      <c r="E42" s="121" t="s">
        <v>728</v>
      </c>
      <c r="F42" s="122" t="s">
        <v>729</v>
      </c>
      <c r="G42" s="123"/>
      <c r="H42" s="98">
        <v>0.28710000000000002</v>
      </c>
      <c r="I42" s="124"/>
      <c r="J42" s="124" t="s">
        <v>229</v>
      </c>
      <c r="K42" s="124" t="s">
        <v>238</v>
      </c>
      <c r="L42" s="124">
        <v>88</v>
      </c>
      <c r="M42" s="124">
        <f t="shared" si="0"/>
        <v>101.2</v>
      </c>
      <c r="N42" s="124">
        <v>4</v>
      </c>
      <c r="O42" s="124">
        <v>0.1</v>
      </c>
      <c r="P42" s="125">
        <f t="shared" si="1"/>
        <v>10.120000000000001</v>
      </c>
      <c r="Q42" s="126">
        <v>120000</v>
      </c>
      <c r="R42" s="126">
        <f t="shared" si="2"/>
        <v>1214.4000000000001</v>
      </c>
      <c r="S42" s="108">
        <f t="shared" si="3"/>
        <v>20.142309797482209</v>
      </c>
      <c r="T42" s="124"/>
      <c r="U42" s="124"/>
      <c r="V42" s="124"/>
      <c r="W42" s="124"/>
      <c r="X42" s="124"/>
      <c r="Y42" s="124"/>
      <c r="Z42" s="124"/>
      <c r="AA42" s="124"/>
      <c r="AB42" s="124"/>
      <c r="AC42" s="124"/>
    </row>
    <row r="43" spans="1:29" s="127" customFormat="1" ht="21.95" customHeight="1" x14ac:dyDescent="0.25">
      <c r="A43" s="106">
        <v>41</v>
      </c>
      <c r="B43" s="99"/>
      <c r="C43" s="107" t="s">
        <v>379</v>
      </c>
      <c r="D43" s="170" t="s">
        <v>552</v>
      </c>
      <c r="E43" s="121" t="s">
        <v>483</v>
      </c>
      <c r="F43" s="122" t="s">
        <v>565</v>
      </c>
      <c r="G43" s="123"/>
      <c r="H43" s="98">
        <v>0.2475</v>
      </c>
      <c r="I43" s="124"/>
      <c r="J43" s="124" t="s">
        <v>229</v>
      </c>
      <c r="K43" s="124" t="s">
        <v>241</v>
      </c>
      <c r="L43" s="124">
        <v>104</v>
      </c>
      <c r="M43" s="124">
        <f t="shared" si="0"/>
        <v>118.80000000000001</v>
      </c>
      <c r="N43" s="124">
        <v>5</v>
      </c>
      <c r="O43" s="124">
        <v>0.16</v>
      </c>
      <c r="P43" s="125">
        <f t="shared" si="1"/>
        <v>19.008000000000003</v>
      </c>
      <c r="Q43" s="126">
        <v>120000</v>
      </c>
      <c r="R43" s="126">
        <f t="shared" si="2"/>
        <v>2280.9600000000005</v>
      </c>
      <c r="S43" s="108">
        <f t="shared" si="3"/>
        <v>43.885714285714293</v>
      </c>
      <c r="T43" s="124"/>
      <c r="U43" s="124"/>
      <c r="V43" s="124"/>
      <c r="W43" s="124"/>
      <c r="X43" s="124"/>
      <c r="Y43" s="124"/>
      <c r="Z43" s="124"/>
      <c r="AA43" s="124"/>
      <c r="AB43" s="124"/>
      <c r="AC43" s="124"/>
    </row>
    <row r="44" spans="1:29" s="127" customFormat="1" ht="21.95" customHeight="1" x14ac:dyDescent="0.25">
      <c r="A44" s="106">
        <v>42</v>
      </c>
      <c r="B44" s="99"/>
      <c r="C44" s="107" t="s">
        <v>379</v>
      </c>
      <c r="D44" s="170" t="s">
        <v>552</v>
      </c>
      <c r="E44" s="121" t="s">
        <v>484</v>
      </c>
      <c r="F44" s="122" t="s">
        <v>566</v>
      </c>
      <c r="G44" s="123"/>
      <c r="H44" s="98">
        <v>0.2475</v>
      </c>
      <c r="I44" s="124"/>
      <c r="J44" s="124" t="s">
        <v>229</v>
      </c>
      <c r="K44" s="124" t="s">
        <v>241</v>
      </c>
      <c r="L44" s="124">
        <v>104</v>
      </c>
      <c r="M44" s="124">
        <f t="shared" si="0"/>
        <v>118.80000000000001</v>
      </c>
      <c r="N44" s="124">
        <v>5</v>
      </c>
      <c r="O44" s="124">
        <v>0.16</v>
      </c>
      <c r="P44" s="125">
        <f t="shared" si="1"/>
        <v>19.008000000000003</v>
      </c>
      <c r="Q44" s="126">
        <v>120000</v>
      </c>
      <c r="R44" s="126">
        <f t="shared" si="2"/>
        <v>2280.9600000000005</v>
      </c>
      <c r="S44" s="108">
        <f t="shared" si="3"/>
        <v>43.885714285714293</v>
      </c>
      <c r="T44" s="124"/>
      <c r="U44" s="124"/>
      <c r="V44" s="124"/>
      <c r="W44" s="124"/>
      <c r="X44" s="124"/>
      <c r="Y44" s="124"/>
      <c r="Z44" s="124"/>
      <c r="AA44" s="124"/>
      <c r="AB44" s="124"/>
      <c r="AC44" s="124"/>
    </row>
    <row r="45" spans="1:29" s="127" customFormat="1" ht="21.95" customHeight="1" x14ac:dyDescent="0.25">
      <c r="A45" s="106">
        <v>43</v>
      </c>
      <c r="B45" s="99"/>
      <c r="C45" s="107" t="s">
        <v>379</v>
      </c>
      <c r="D45" s="170" t="s">
        <v>552</v>
      </c>
      <c r="E45" s="121" t="s">
        <v>485</v>
      </c>
      <c r="F45" s="122" t="s">
        <v>567</v>
      </c>
      <c r="G45" s="123"/>
      <c r="H45" s="98">
        <v>0.2475</v>
      </c>
      <c r="I45" s="124"/>
      <c r="J45" s="124" t="s">
        <v>229</v>
      </c>
      <c r="K45" s="124" t="s">
        <v>235</v>
      </c>
      <c r="L45" s="124">
        <v>138.80000000000001</v>
      </c>
      <c r="M45" s="124">
        <f t="shared" si="0"/>
        <v>157.08000000000001</v>
      </c>
      <c r="N45" s="124">
        <v>6</v>
      </c>
      <c r="O45" s="124">
        <v>0.24</v>
      </c>
      <c r="P45" s="125">
        <f t="shared" si="1"/>
        <v>37.699200000000005</v>
      </c>
      <c r="Q45" s="126">
        <v>120000</v>
      </c>
      <c r="R45" s="126">
        <f t="shared" si="2"/>
        <v>4523.9040000000005</v>
      </c>
      <c r="S45" s="108">
        <f t="shared" si="3"/>
        <v>87.04</v>
      </c>
      <c r="T45" s="124"/>
      <c r="U45" s="124"/>
      <c r="V45" s="124"/>
      <c r="W45" s="124"/>
      <c r="X45" s="124"/>
      <c r="Y45" s="124"/>
      <c r="Z45" s="124"/>
      <c r="AA45" s="124"/>
      <c r="AB45" s="124"/>
      <c r="AC45" s="124"/>
    </row>
    <row r="46" spans="1:29" s="127" customFormat="1" ht="21.95" customHeight="1" x14ac:dyDescent="0.25">
      <c r="A46" s="106">
        <v>44</v>
      </c>
      <c r="B46" s="99"/>
      <c r="C46" s="107" t="s">
        <v>379</v>
      </c>
      <c r="D46" s="170" t="s">
        <v>552</v>
      </c>
      <c r="E46" s="121" t="s">
        <v>486</v>
      </c>
      <c r="F46" s="122" t="s">
        <v>568</v>
      </c>
      <c r="G46" s="123"/>
      <c r="H46" s="98">
        <v>0.2475</v>
      </c>
      <c r="I46" s="124"/>
      <c r="J46" s="124" t="s">
        <v>229</v>
      </c>
      <c r="K46" s="124" t="s">
        <v>235</v>
      </c>
      <c r="L46" s="124">
        <v>138.80000000000001</v>
      </c>
      <c r="M46" s="124">
        <f t="shared" si="0"/>
        <v>157.08000000000001</v>
      </c>
      <c r="N46" s="124">
        <v>6</v>
      </c>
      <c r="O46" s="124">
        <v>0.24</v>
      </c>
      <c r="P46" s="125">
        <f t="shared" si="1"/>
        <v>37.699200000000005</v>
      </c>
      <c r="Q46" s="126">
        <v>120000</v>
      </c>
      <c r="R46" s="126">
        <f t="shared" si="2"/>
        <v>4523.9040000000005</v>
      </c>
      <c r="S46" s="108">
        <f t="shared" si="3"/>
        <v>87.04</v>
      </c>
      <c r="T46" s="124"/>
      <c r="U46" s="124"/>
      <c r="V46" s="124"/>
      <c r="W46" s="124"/>
      <c r="X46" s="124"/>
      <c r="Y46" s="124"/>
      <c r="Z46" s="124"/>
      <c r="AA46" s="124"/>
      <c r="AB46" s="124"/>
      <c r="AC46" s="124"/>
    </row>
    <row r="47" spans="1:29" s="127" customFormat="1" ht="21.95" customHeight="1" x14ac:dyDescent="0.25">
      <c r="A47" s="106">
        <v>45</v>
      </c>
      <c r="B47" s="99"/>
      <c r="C47" s="107" t="s">
        <v>379</v>
      </c>
      <c r="D47" s="170" t="s">
        <v>552</v>
      </c>
      <c r="E47" s="121" t="s">
        <v>487</v>
      </c>
      <c r="F47" s="122" t="s">
        <v>569</v>
      </c>
      <c r="G47" s="123"/>
      <c r="H47" s="98">
        <v>0.2475</v>
      </c>
      <c r="I47" s="124"/>
      <c r="J47" s="124" t="s">
        <v>231</v>
      </c>
      <c r="K47" s="124" t="s">
        <v>241</v>
      </c>
      <c r="L47" s="124">
        <v>100.4</v>
      </c>
      <c r="M47" s="124">
        <f t="shared" si="0"/>
        <v>114.84000000000002</v>
      </c>
      <c r="N47" s="124">
        <v>5</v>
      </c>
      <c r="O47" s="124">
        <v>0.16</v>
      </c>
      <c r="P47" s="125">
        <f t="shared" si="1"/>
        <v>18.374400000000005</v>
      </c>
      <c r="Q47" s="126">
        <v>120000</v>
      </c>
      <c r="R47" s="126">
        <f t="shared" si="2"/>
        <v>2204.9280000000008</v>
      </c>
      <c r="S47" s="108">
        <f t="shared" si="3"/>
        <v>42.422857142857154</v>
      </c>
      <c r="T47" s="124"/>
      <c r="U47" s="124"/>
      <c r="V47" s="124"/>
      <c r="W47" s="124"/>
      <c r="X47" s="124"/>
      <c r="Y47" s="124"/>
      <c r="Z47" s="124"/>
      <c r="AA47" s="124"/>
      <c r="AB47" s="124"/>
      <c r="AC47" s="124"/>
    </row>
    <row r="48" spans="1:29" s="127" customFormat="1" ht="21.95" customHeight="1" x14ac:dyDescent="0.25">
      <c r="A48" s="106">
        <v>46</v>
      </c>
      <c r="B48" s="99"/>
      <c r="C48" s="107" t="s">
        <v>379</v>
      </c>
      <c r="D48" s="170" t="s">
        <v>552</v>
      </c>
      <c r="E48" s="128" t="s">
        <v>488</v>
      </c>
      <c r="F48" s="129" t="s">
        <v>570</v>
      </c>
      <c r="G48" s="130"/>
      <c r="H48" s="109">
        <v>0.2475</v>
      </c>
      <c r="I48" s="124"/>
      <c r="J48" s="124" t="s">
        <v>225</v>
      </c>
      <c r="K48" s="124" t="s">
        <v>250</v>
      </c>
      <c r="L48" s="124">
        <v>7.5</v>
      </c>
      <c r="M48" s="124">
        <f t="shared" si="0"/>
        <v>12.65</v>
      </c>
      <c r="N48" s="124">
        <v>7</v>
      </c>
      <c r="O48" s="124">
        <f>0.33*1.5</f>
        <v>0.495</v>
      </c>
      <c r="P48" s="125">
        <f t="shared" si="1"/>
        <v>6.2617500000000001</v>
      </c>
      <c r="Q48" s="126">
        <v>35000</v>
      </c>
      <c r="R48" s="126">
        <f t="shared" si="2"/>
        <v>219.16125</v>
      </c>
      <c r="S48" s="108">
        <f t="shared" si="3"/>
        <v>4.2166666666666668</v>
      </c>
      <c r="T48" s="124"/>
      <c r="U48" s="124"/>
      <c r="V48" s="124"/>
      <c r="W48" s="124"/>
      <c r="X48" s="124"/>
      <c r="Y48" s="124"/>
      <c r="Z48" s="124"/>
      <c r="AA48" s="124"/>
      <c r="AB48" s="124"/>
      <c r="AC48" s="124"/>
    </row>
    <row r="49" spans="1:29" s="127" customFormat="1" ht="21.95" customHeight="1" x14ac:dyDescent="0.25">
      <c r="A49" s="106">
        <v>47</v>
      </c>
      <c r="B49" s="99"/>
      <c r="C49" s="107" t="s">
        <v>379</v>
      </c>
      <c r="D49" s="170" t="s">
        <v>552</v>
      </c>
      <c r="E49" s="121" t="s">
        <v>489</v>
      </c>
      <c r="F49" s="122" t="s">
        <v>571</v>
      </c>
      <c r="G49" s="123"/>
      <c r="H49" s="98">
        <v>0.2475</v>
      </c>
      <c r="I49" s="124"/>
      <c r="J49" s="124" t="s">
        <v>225</v>
      </c>
      <c r="K49" s="124" t="s">
        <v>250</v>
      </c>
      <c r="L49" s="124">
        <v>7.5</v>
      </c>
      <c r="M49" s="124">
        <f t="shared" si="0"/>
        <v>12.65</v>
      </c>
      <c r="N49" s="124">
        <v>7</v>
      </c>
      <c r="O49" s="124">
        <f>0.33*1.5</f>
        <v>0.495</v>
      </c>
      <c r="P49" s="125">
        <f t="shared" si="1"/>
        <v>6.2617500000000001</v>
      </c>
      <c r="Q49" s="126">
        <v>35000</v>
      </c>
      <c r="R49" s="126">
        <f t="shared" si="2"/>
        <v>219.16125</v>
      </c>
      <c r="S49" s="108">
        <f t="shared" si="3"/>
        <v>4.2166666666666668</v>
      </c>
      <c r="T49" s="124"/>
      <c r="U49" s="124"/>
      <c r="V49" s="124"/>
      <c r="W49" s="124"/>
      <c r="X49" s="124"/>
      <c r="Y49" s="124"/>
      <c r="Z49" s="124"/>
      <c r="AA49" s="124"/>
      <c r="AB49" s="124"/>
      <c r="AC49" s="124"/>
    </row>
    <row r="50" spans="1:29" s="127" customFormat="1" ht="21.95" customHeight="1" x14ac:dyDescent="0.25">
      <c r="A50" s="106">
        <v>48</v>
      </c>
      <c r="B50" s="99"/>
      <c r="C50" s="107" t="s">
        <v>379</v>
      </c>
      <c r="D50" s="170" t="s">
        <v>552</v>
      </c>
      <c r="E50" s="128" t="s">
        <v>730</v>
      </c>
      <c r="F50" s="129" t="s">
        <v>731</v>
      </c>
      <c r="G50" s="130"/>
      <c r="H50" s="109">
        <v>0.2475</v>
      </c>
      <c r="I50" s="124"/>
      <c r="J50" s="124" t="s">
        <v>225</v>
      </c>
      <c r="K50" s="124" t="s">
        <v>251</v>
      </c>
      <c r="L50" s="124">
        <v>4.5</v>
      </c>
      <c r="M50" s="124">
        <f t="shared" si="0"/>
        <v>9.3500000000000014</v>
      </c>
      <c r="N50" s="124">
        <v>13</v>
      </c>
      <c r="O50" s="124">
        <f>1.3*1.3*0.66*1.5</f>
        <v>1.6731000000000003</v>
      </c>
      <c r="P50" s="125">
        <f t="shared" si="1"/>
        <v>15.643485000000005</v>
      </c>
      <c r="Q50" s="126">
        <v>35000</v>
      </c>
      <c r="R50" s="126">
        <f t="shared" si="2"/>
        <v>547.52197500000023</v>
      </c>
      <c r="S50" s="108">
        <f t="shared" si="3"/>
        <v>10.534333333333338</v>
      </c>
      <c r="T50" s="124"/>
      <c r="U50" s="124"/>
      <c r="V50" s="124"/>
      <c r="W50" s="124"/>
      <c r="X50" s="124"/>
      <c r="Y50" s="124"/>
      <c r="Z50" s="124"/>
      <c r="AA50" s="124"/>
      <c r="AB50" s="124"/>
      <c r="AC50" s="124"/>
    </row>
    <row r="51" spans="1:29" s="127" customFormat="1" ht="21.95" customHeight="1" x14ac:dyDescent="0.25">
      <c r="A51" s="106">
        <v>49</v>
      </c>
      <c r="B51" s="99"/>
      <c r="C51" s="107" t="s">
        <v>379</v>
      </c>
      <c r="D51" s="170" t="s">
        <v>552</v>
      </c>
      <c r="E51" s="128" t="s">
        <v>539</v>
      </c>
      <c r="F51" s="129" t="s">
        <v>622</v>
      </c>
      <c r="G51" s="130"/>
      <c r="H51" s="109">
        <v>0.2475</v>
      </c>
      <c r="I51" s="124"/>
      <c r="J51" s="124" t="s">
        <v>225</v>
      </c>
      <c r="K51" s="124" t="s">
        <v>251</v>
      </c>
      <c r="L51" s="124">
        <v>4.5</v>
      </c>
      <c r="M51" s="124">
        <f t="shared" si="0"/>
        <v>9.3500000000000014</v>
      </c>
      <c r="N51" s="124">
        <v>13</v>
      </c>
      <c r="O51" s="124">
        <f>1.3*1.3*0.66*1.5</f>
        <v>1.6731000000000003</v>
      </c>
      <c r="P51" s="125">
        <f t="shared" si="1"/>
        <v>15.643485000000005</v>
      </c>
      <c r="Q51" s="126">
        <v>35000</v>
      </c>
      <c r="R51" s="126">
        <f t="shared" si="2"/>
        <v>547.52197500000023</v>
      </c>
      <c r="S51" s="108">
        <f t="shared" si="3"/>
        <v>10.534333333333338</v>
      </c>
      <c r="T51" s="124"/>
      <c r="U51" s="124"/>
      <c r="V51" s="124"/>
      <c r="W51" s="124"/>
      <c r="X51" s="124"/>
      <c r="Y51" s="124"/>
      <c r="Z51" s="124"/>
      <c r="AA51" s="124"/>
      <c r="AB51" s="124"/>
      <c r="AC51" s="124"/>
    </row>
    <row r="52" spans="1:29" s="127" customFormat="1" ht="21.95" customHeight="1" x14ac:dyDescent="0.25">
      <c r="A52" s="106">
        <v>50</v>
      </c>
      <c r="B52" s="99"/>
      <c r="C52" s="107" t="s">
        <v>379</v>
      </c>
      <c r="D52" s="170" t="s">
        <v>552</v>
      </c>
      <c r="E52" s="121" t="s">
        <v>540</v>
      </c>
      <c r="F52" s="122" t="s">
        <v>623</v>
      </c>
      <c r="G52" s="123"/>
      <c r="H52" s="98">
        <v>0.2475</v>
      </c>
      <c r="I52" s="124"/>
      <c r="J52" s="124" t="s">
        <v>227</v>
      </c>
      <c r="K52" s="124" t="s">
        <v>235</v>
      </c>
      <c r="L52" s="124">
        <v>7.5</v>
      </c>
      <c r="M52" s="124">
        <f t="shared" si="0"/>
        <v>12.65</v>
      </c>
      <c r="N52" s="124">
        <v>6</v>
      </c>
      <c r="O52" s="124">
        <v>0.24</v>
      </c>
      <c r="P52" s="125">
        <f t="shared" si="1"/>
        <v>3.036</v>
      </c>
      <c r="Q52" s="126"/>
      <c r="R52" s="126">
        <f t="shared" si="2"/>
        <v>0</v>
      </c>
      <c r="S52" s="108">
        <f t="shared" si="3"/>
        <v>0</v>
      </c>
      <c r="T52" s="124"/>
      <c r="U52" s="124"/>
      <c r="V52" s="124"/>
      <c r="W52" s="124"/>
      <c r="X52" s="124"/>
      <c r="Y52" s="124"/>
      <c r="Z52" s="124"/>
      <c r="AA52" s="124"/>
      <c r="AB52" s="124"/>
      <c r="AC52" s="124"/>
    </row>
    <row r="53" spans="1:29" s="127" customFormat="1" ht="21.95" customHeight="1" x14ac:dyDescent="0.25">
      <c r="A53" s="106">
        <v>51</v>
      </c>
      <c r="B53" s="99"/>
      <c r="C53" s="107" t="s">
        <v>379</v>
      </c>
      <c r="D53" s="170" t="s">
        <v>552</v>
      </c>
      <c r="E53" s="121" t="s">
        <v>490</v>
      </c>
      <c r="F53" s="122" t="s">
        <v>572</v>
      </c>
      <c r="G53" s="123"/>
      <c r="H53" s="98">
        <v>0.2475</v>
      </c>
      <c r="I53" s="124"/>
      <c r="J53" s="124" t="s">
        <v>227</v>
      </c>
      <c r="K53" s="124" t="s">
        <v>252</v>
      </c>
      <c r="L53" s="124">
        <v>3</v>
      </c>
      <c r="M53" s="124">
        <f t="shared" si="0"/>
        <v>7.7000000000000011</v>
      </c>
      <c r="N53" s="124">
        <v>12</v>
      </c>
      <c r="O53" s="124">
        <f>1.2*1.2*0.66*1.5</f>
        <v>1.4256</v>
      </c>
      <c r="P53" s="125">
        <f t="shared" si="1"/>
        <v>10.977120000000001</v>
      </c>
      <c r="Q53" s="126"/>
      <c r="R53" s="126">
        <f t="shared" si="2"/>
        <v>0</v>
      </c>
      <c r="S53" s="108">
        <f t="shared" si="3"/>
        <v>0</v>
      </c>
      <c r="T53" s="124"/>
      <c r="U53" s="124"/>
      <c r="V53" s="124"/>
      <c r="W53" s="124"/>
      <c r="X53" s="124"/>
      <c r="Y53" s="124"/>
      <c r="Z53" s="124"/>
      <c r="AA53" s="124"/>
      <c r="AB53" s="124"/>
      <c r="AC53" s="124"/>
    </row>
    <row r="54" spans="1:29" s="127" customFormat="1" ht="21.95" customHeight="1" x14ac:dyDescent="0.25">
      <c r="A54" s="106">
        <v>52</v>
      </c>
      <c r="B54" s="99"/>
      <c r="C54" s="107" t="s">
        <v>379</v>
      </c>
      <c r="D54" s="170" t="s">
        <v>552</v>
      </c>
      <c r="E54" s="121" t="s">
        <v>491</v>
      </c>
      <c r="F54" s="122" t="s">
        <v>573</v>
      </c>
      <c r="G54" s="123"/>
      <c r="H54" s="98">
        <v>0.2475</v>
      </c>
      <c r="I54" s="124"/>
      <c r="J54" s="124" t="s">
        <v>227</v>
      </c>
      <c r="K54" s="124" t="s">
        <v>252</v>
      </c>
      <c r="L54" s="124">
        <v>3</v>
      </c>
      <c r="M54" s="124">
        <f t="shared" si="0"/>
        <v>7.7000000000000011</v>
      </c>
      <c r="N54" s="124">
        <v>12</v>
      </c>
      <c r="O54" s="124">
        <f>1.2*1.2*0.66*1.5</f>
        <v>1.4256</v>
      </c>
      <c r="P54" s="125">
        <f t="shared" si="1"/>
        <v>10.977120000000001</v>
      </c>
      <c r="Q54" s="126"/>
      <c r="R54" s="126">
        <f t="shared" si="2"/>
        <v>0</v>
      </c>
      <c r="S54" s="108">
        <f t="shared" si="3"/>
        <v>0</v>
      </c>
      <c r="T54" s="124"/>
      <c r="U54" s="124"/>
      <c r="V54" s="124"/>
      <c r="W54" s="124"/>
      <c r="X54" s="124"/>
      <c r="Y54" s="124"/>
      <c r="Z54" s="124"/>
      <c r="AA54" s="124"/>
      <c r="AB54" s="124"/>
      <c r="AC54" s="124"/>
    </row>
    <row r="55" spans="1:29" s="127" customFormat="1" ht="21.95" customHeight="1" x14ac:dyDescent="0.25">
      <c r="A55" s="106">
        <v>53</v>
      </c>
      <c r="B55" s="99"/>
      <c r="C55" s="107" t="s">
        <v>378</v>
      </c>
      <c r="D55" s="170" t="s">
        <v>552</v>
      </c>
      <c r="E55" s="121" t="s">
        <v>492</v>
      </c>
      <c r="F55" s="122" t="s">
        <v>574</v>
      </c>
      <c r="G55" s="123"/>
      <c r="H55" s="98">
        <v>0.2475</v>
      </c>
      <c r="I55" s="124"/>
      <c r="J55" s="124" t="s">
        <v>225</v>
      </c>
      <c r="K55" s="124" t="s">
        <v>251</v>
      </c>
      <c r="L55" s="124">
        <v>8.9</v>
      </c>
      <c r="M55" s="124">
        <f t="shared" si="0"/>
        <v>14.190000000000001</v>
      </c>
      <c r="N55" s="124">
        <v>13</v>
      </c>
      <c r="O55" s="124">
        <f>1.3*1.3*0.66*1.5</f>
        <v>1.6731000000000003</v>
      </c>
      <c r="P55" s="125">
        <f t="shared" si="1"/>
        <v>23.741289000000005</v>
      </c>
      <c r="Q55" s="126">
        <v>35000</v>
      </c>
      <c r="R55" s="126">
        <f t="shared" si="2"/>
        <v>830.94511500000021</v>
      </c>
      <c r="S55" s="108">
        <f t="shared" si="3"/>
        <v>15.987400000000004</v>
      </c>
      <c r="T55" s="124"/>
      <c r="U55" s="124"/>
      <c r="V55" s="124"/>
      <c r="W55" s="124"/>
      <c r="X55" s="124"/>
      <c r="Y55" s="124"/>
      <c r="Z55" s="124"/>
      <c r="AA55" s="124"/>
      <c r="AB55" s="124"/>
      <c r="AC55" s="124"/>
    </row>
    <row r="56" spans="1:29" s="127" customFormat="1" ht="21.95" customHeight="1" x14ac:dyDescent="0.25">
      <c r="A56" s="106">
        <v>54</v>
      </c>
      <c r="B56" s="99"/>
      <c r="C56" s="170" t="s">
        <v>378</v>
      </c>
      <c r="D56" s="170" t="s">
        <v>552</v>
      </c>
      <c r="E56" s="128" t="s">
        <v>493</v>
      </c>
      <c r="F56" s="129" t="s">
        <v>575</v>
      </c>
      <c r="G56" s="130"/>
      <c r="H56" s="109">
        <v>0.2475</v>
      </c>
      <c r="I56" s="124"/>
      <c r="J56" s="124" t="s">
        <v>227</v>
      </c>
      <c r="K56" s="124" t="s">
        <v>253</v>
      </c>
      <c r="L56" s="124">
        <v>3.6</v>
      </c>
      <c r="M56" s="124">
        <f t="shared" si="0"/>
        <v>8.36</v>
      </c>
      <c r="N56" s="124">
        <v>14</v>
      </c>
      <c r="O56" s="124">
        <f>1.4*1.4*0.66*1.5</f>
        <v>1.9403999999999999</v>
      </c>
      <c r="P56" s="125">
        <f t="shared" si="1"/>
        <v>16.221743999999997</v>
      </c>
      <c r="Q56" s="126"/>
      <c r="R56" s="126">
        <f t="shared" si="2"/>
        <v>0</v>
      </c>
      <c r="S56" s="108">
        <f t="shared" si="3"/>
        <v>0</v>
      </c>
      <c r="T56" s="124"/>
      <c r="U56" s="124"/>
      <c r="V56" s="124"/>
      <c r="W56" s="124"/>
      <c r="X56" s="124"/>
      <c r="Y56" s="124"/>
      <c r="Z56" s="124"/>
      <c r="AA56" s="124"/>
      <c r="AB56" s="124"/>
      <c r="AC56" s="124"/>
    </row>
    <row r="57" spans="1:29" s="127" customFormat="1" ht="21.95" customHeight="1" x14ac:dyDescent="0.25">
      <c r="A57" s="106">
        <v>55</v>
      </c>
      <c r="B57" s="99"/>
      <c r="C57" s="170" t="s">
        <v>378</v>
      </c>
      <c r="D57" s="170" t="s">
        <v>552</v>
      </c>
      <c r="E57" s="121" t="s">
        <v>494</v>
      </c>
      <c r="F57" s="122" t="s">
        <v>576</v>
      </c>
      <c r="G57" s="123"/>
      <c r="H57" s="98">
        <v>2.81</v>
      </c>
      <c r="I57" s="124"/>
      <c r="J57" s="124" t="s">
        <v>227</v>
      </c>
      <c r="K57" s="124" t="s">
        <v>253</v>
      </c>
      <c r="L57" s="124">
        <v>6.3</v>
      </c>
      <c r="M57" s="124">
        <f t="shared" si="0"/>
        <v>11.330000000000002</v>
      </c>
      <c r="N57" s="124">
        <v>14</v>
      </c>
      <c r="O57" s="124">
        <f>1.4*1.4*0.66*1.5</f>
        <v>1.9403999999999999</v>
      </c>
      <c r="P57" s="125">
        <f t="shared" si="1"/>
        <v>21.984732000000001</v>
      </c>
      <c r="Q57" s="126"/>
      <c r="R57" s="126">
        <f t="shared" si="2"/>
        <v>0</v>
      </c>
      <c r="S57" s="108">
        <f t="shared" si="3"/>
        <v>0</v>
      </c>
      <c r="T57" s="124"/>
      <c r="U57" s="124"/>
      <c r="V57" s="124"/>
      <c r="W57" s="124"/>
      <c r="X57" s="124"/>
      <c r="Y57" s="124"/>
      <c r="Z57" s="124"/>
      <c r="AA57" s="124"/>
      <c r="AB57" s="124"/>
      <c r="AC57" s="124"/>
    </row>
    <row r="58" spans="1:29" s="127" customFormat="1" ht="21.95" customHeight="1" x14ac:dyDescent="0.25">
      <c r="A58" s="106">
        <v>56</v>
      </c>
      <c r="B58" s="99"/>
      <c r="C58" s="170" t="s">
        <v>378</v>
      </c>
      <c r="D58" s="170" t="s">
        <v>552</v>
      </c>
      <c r="E58" s="121" t="s">
        <v>495</v>
      </c>
      <c r="F58" s="122" t="s">
        <v>577</v>
      </c>
      <c r="G58" s="123"/>
      <c r="H58" s="98">
        <v>0.59</v>
      </c>
      <c r="I58" s="124"/>
      <c r="J58" s="124" t="s">
        <v>227</v>
      </c>
      <c r="K58" s="124" t="s">
        <v>235</v>
      </c>
      <c r="L58" s="124">
        <v>7.5</v>
      </c>
      <c r="M58" s="124">
        <f t="shared" si="0"/>
        <v>12.65</v>
      </c>
      <c r="N58" s="124">
        <v>6</v>
      </c>
      <c r="O58" s="124">
        <v>0.24</v>
      </c>
      <c r="P58" s="125">
        <f t="shared" si="1"/>
        <v>3.036</v>
      </c>
      <c r="Q58" s="126"/>
      <c r="R58" s="126">
        <f t="shared" si="2"/>
        <v>0</v>
      </c>
      <c r="S58" s="108">
        <f t="shared" si="3"/>
        <v>0</v>
      </c>
      <c r="T58" s="124"/>
      <c r="U58" s="124"/>
      <c r="V58" s="124"/>
      <c r="W58" s="124"/>
      <c r="X58" s="124"/>
      <c r="Y58" s="124"/>
      <c r="Z58" s="124"/>
      <c r="AA58" s="124"/>
      <c r="AB58" s="124"/>
      <c r="AC58" s="124"/>
    </row>
    <row r="59" spans="1:29" s="127" customFormat="1" ht="21.95" customHeight="1" x14ac:dyDescent="0.25">
      <c r="A59" s="106">
        <v>57</v>
      </c>
      <c r="B59" s="99"/>
      <c r="C59" s="170" t="s">
        <v>378</v>
      </c>
      <c r="D59" s="170" t="s">
        <v>552</v>
      </c>
      <c r="E59" s="128" t="s">
        <v>496</v>
      </c>
      <c r="F59" s="129" t="s">
        <v>578</v>
      </c>
      <c r="G59" s="130"/>
      <c r="H59" s="109">
        <v>0.49</v>
      </c>
      <c r="I59" s="124"/>
      <c r="J59" s="124" t="s">
        <v>230</v>
      </c>
      <c r="K59" s="124" t="s">
        <v>254</v>
      </c>
      <c r="L59" s="124">
        <v>9.1</v>
      </c>
      <c r="M59" s="124">
        <f t="shared" si="0"/>
        <v>14.41</v>
      </c>
      <c r="N59" s="124">
        <v>2</v>
      </c>
      <c r="O59" s="124">
        <v>0.03</v>
      </c>
      <c r="P59" s="125">
        <f t="shared" si="1"/>
        <v>0.43229999999999996</v>
      </c>
      <c r="Q59" s="126">
        <v>120000</v>
      </c>
      <c r="R59" s="126">
        <f t="shared" si="2"/>
        <v>51.875999999999998</v>
      </c>
      <c r="S59" s="108">
        <f t="shared" si="3"/>
        <v>0.5041399416909621</v>
      </c>
      <c r="T59" s="124"/>
      <c r="U59" s="124"/>
      <c r="V59" s="124"/>
      <c r="W59" s="124"/>
      <c r="X59" s="124"/>
      <c r="Y59" s="124"/>
      <c r="Z59" s="124"/>
      <c r="AA59" s="124"/>
      <c r="AB59" s="124"/>
      <c r="AC59" s="124"/>
    </row>
    <row r="60" spans="1:29" s="127" customFormat="1" ht="21.95" customHeight="1" x14ac:dyDescent="0.25">
      <c r="A60" s="106">
        <v>58</v>
      </c>
      <c r="B60" s="99"/>
      <c r="C60" s="170" t="s">
        <v>378</v>
      </c>
      <c r="D60" s="170" t="s">
        <v>552</v>
      </c>
      <c r="E60" s="121" t="s">
        <v>497</v>
      </c>
      <c r="F60" s="122" t="s">
        <v>579</v>
      </c>
      <c r="G60" s="123"/>
      <c r="H60" s="98">
        <v>1.0669999999999999</v>
      </c>
      <c r="I60" s="124"/>
      <c r="J60" s="124" t="s">
        <v>229</v>
      </c>
      <c r="K60" s="124" t="s">
        <v>255</v>
      </c>
      <c r="L60" s="124">
        <v>4.2</v>
      </c>
      <c r="M60" s="124">
        <f t="shared" si="0"/>
        <v>9.02</v>
      </c>
      <c r="N60" s="124"/>
      <c r="O60" s="124">
        <v>0.06</v>
      </c>
      <c r="P60" s="125">
        <f t="shared" si="1"/>
        <v>0.5411999999999999</v>
      </c>
      <c r="Q60" s="126">
        <v>120000</v>
      </c>
      <c r="R60" s="126">
        <f t="shared" si="2"/>
        <v>64.943999999999988</v>
      </c>
      <c r="S60" s="108">
        <f t="shared" si="3"/>
        <v>0.28983799705449181</v>
      </c>
      <c r="T60" s="124"/>
      <c r="U60" s="124"/>
      <c r="V60" s="124"/>
      <c r="W60" s="124"/>
      <c r="X60" s="124"/>
      <c r="Y60" s="124"/>
      <c r="Z60" s="124"/>
      <c r="AA60" s="124"/>
      <c r="AB60" s="124"/>
      <c r="AC60" s="124"/>
    </row>
    <row r="61" spans="1:29" s="127" customFormat="1" ht="21.95" customHeight="1" x14ac:dyDescent="0.25">
      <c r="A61" s="106">
        <v>59</v>
      </c>
      <c r="B61" s="99"/>
      <c r="C61" s="170" t="s">
        <v>378</v>
      </c>
      <c r="D61" s="170" t="s">
        <v>552</v>
      </c>
      <c r="E61" s="121" t="s">
        <v>498</v>
      </c>
      <c r="F61" s="122" t="s">
        <v>580</v>
      </c>
      <c r="G61" s="123"/>
      <c r="H61" s="98">
        <v>1.0669999999999999</v>
      </c>
      <c r="I61" s="124"/>
      <c r="J61" s="124" t="s">
        <v>229</v>
      </c>
      <c r="K61" s="124" t="s">
        <v>237</v>
      </c>
      <c r="L61" s="124">
        <v>4.5</v>
      </c>
      <c r="M61" s="124">
        <f t="shared" si="0"/>
        <v>9.3500000000000014</v>
      </c>
      <c r="N61" s="124">
        <v>3</v>
      </c>
      <c r="O61" s="124">
        <v>0.06</v>
      </c>
      <c r="P61" s="125">
        <f t="shared" si="1"/>
        <v>0.56100000000000005</v>
      </c>
      <c r="Q61" s="126">
        <v>120000</v>
      </c>
      <c r="R61" s="126">
        <f t="shared" si="2"/>
        <v>67.320000000000007</v>
      </c>
      <c r="S61" s="108">
        <f t="shared" si="3"/>
        <v>0.30044182621502213</v>
      </c>
      <c r="T61" s="124"/>
      <c r="U61" s="124"/>
      <c r="V61" s="124"/>
      <c r="W61" s="124"/>
      <c r="X61" s="124"/>
      <c r="Y61" s="124"/>
      <c r="Z61" s="124"/>
      <c r="AA61" s="124"/>
      <c r="AB61" s="124"/>
      <c r="AC61" s="124"/>
    </row>
    <row r="62" spans="1:29" s="127" customFormat="1" ht="21.95" customHeight="1" x14ac:dyDescent="0.25">
      <c r="A62" s="106">
        <v>60</v>
      </c>
      <c r="B62" s="99"/>
      <c r="C62" s="170" t="s">
        <v>378</v>
      </c>
      <c r="D62" s="170" t="s">
        <v>552</v>
      </c>
      <c r="E62" s="121" t="s">
        <v>499</v>
      </c>
      <c r="F62" s="122" t="s">
        <v>581</v>
      </c>
      <c r="G62" s="123"/>
      <c r="H62" s="98">
        <v>1.0669999999999999</v>
      </c>
      <c r="I62" s="124"/>
      <c r="J62" s="124" t="s">
        <v>229</v>
      </c>
      <c r="K62" s="124" t="s">
        <v>255</v>
      </c>
      <c r="L62" s="124">
        <v>7.7</v>
      </c>
      <c r="M62" s="124">
        <f t="shared" si="0"/>
        <v>12.870000000000001</v>
      </c>
      <c r="N62" s="124"/>
      <c r="O62" s="124">
        <v>0.06</v>
      </c>
      <c r="P62" s="125">
        <f t="shared" si="1"/>
        <v>0.7722</v>
      </c>
      <c r="Q62" s="126">
        <v>120000</v>
      </c>
      <c r="R62" s="126">
        <f t="shared" si="2"/>
        <v>92.664000000000001</v>
      </c>
      <c r="S62" s="108">
        <f t="shared" si="3"/>
        <v>0.4135493372606775</v>
      </c>
      <c r="T62" s="124"/>
      <c r="U62" s="124"/>
      <c r="V62" s="124"/>
      <c r="W62" s="124"/>
      <c r="X62" s="124"/>
      <c r="Y62" s="124"/>
      <c r="Z62" s="124"/>
      <c r="AA62" s="124"/>
      <c r="AB62" s="124"/>
      <c r="AC62" s="124"/>
    </row>
    <row r="63" spans="1:29" s="127" customFormat="1" ht="21.95" customHeight="1" x14ac:dyDescent="0.25">
      <c r="A63" s="106">
        <v>61</v>
      </c>
      <c r="B63" s="99"/>
      <c r="C63" s="170" t="s">
        <v>378</v>
      </c>
      <c r="D63" s="170" t="s">
        <v>552</v>
      </c>
      <c r="E63" s="121" t="s">
        <v>537</v>
      </c>
      <c r="F63" s="122" t="s">
        <v>619</v>
      </c>
      <c r="G63" s="123"/>
      <c r="H63" s="98">
        <v>1.0669999999999999</v>
      </c>
      <c r="I63" s="124"/>
      <c r="J63" s="124" t="s">
        <v>229</v>
      </c>
      <c r="K63" s="124" t="s">
        <v>237</v>
      </c>
      <c r="L63" s="124">
        <v>15.3</v>
      </c>
      <c r="M63" s="124">
        <f t="shared" si="0"/>
        <v>21.230000000000004</v>
      </c>
      <c r="N63" s="124">
        <v>3</v>
      </c>
      <c r="O63" s="124">
        <v>0.06</v>
      </c>
      <c r="P63" s="125">
        <f t="shared" si="1"/>
        <v>1.2738000000000003</v>
      </c>
      <c r="Q63" s="126">
        <v>120000</v>
      </c>
      <c r="R63" s="126">
        <f t="shared" si="2"/>
        <v>152.85600000000002</v>
      </c>
      <c r="S63" s="108">
        <f t="shared" si="3"/>
        <v>0.68217967599410911</v>
      </c>
      <c r="T63" s="124"/>
      <c r="U63" s="124"/>
      <c r="V63" s="124"/>
      <c r="W63" s="124"/>
      <c r="X63" s="124"/>
      <c r="Y63" s="124"/>
      <c r="Z63" s="124"/>
      <c r="AA63" s="124"/>
      <c r="AB63" s="124"/>
      <c r="AC63" s="124"/>
    </row>
    <row r="64" spans="1:29" s="127" customFormat="1" ht="21.95" customHeight="1" x14ac:dyDescent="0.25">
      <c r="A64" s="106">
        <v>62</v>
      </c>
      <c r="B64" s="99"/>
      <c r="C64" s="170" t="s">
        <v>378</v>
      </c>
      <c r="D64" s="170" t="s">
        <v>552</v>
      </c>
      <c r="E64" s="128" t="s">
        <v>500</v>
      </c>
      <c r="F64" s="129" t="s">
        <v>582</v>
      </c>
      <c r="G64" s="130"/>
      <c r="H64" s="109">
        <v>1.0669999999999999</v>
      </c>
      <c r="I64" s="124"/>
      <c r="J64" s="124" t="s">
        <v>229</v>
      </c>
      <c r="K64" s="124" t="s">
        <v>256</v>
      </c>
      <c r="L64" s="124">
        <v>13.5</v>
      </c>
      <c r="M64" s="124">
        <f t="shared" si="0"/>
        <v>19.25</v>
      </c>
      <c r="N64" s="124"/>
      <c r="O64" s="124">
        <v>8.2000000000000003E-2</v>
      </c>
      <c r="P64" s="125">
        <f t="shared" si="1"/>
        <v>1.5785</v>
      </c>
      <c r="Q64" s="126">
        <v>120000</v>
      </c>
      <c r="R64" s="126">
        <f t="shared" si="2"/>
        <v>189.42000000000002</v>
      </c>
      <c r="S64" s="108">
        <f t="shared" si="3"/>
        <v>0.84536082474226815</v>
      </c>
      <c r="T64" s="124"/>
      <c r="U64" s="124"/>
      <c r="V64" s="124"/>
      <c r="W64" s="124"/>
      <c r="X64" s="124"/>
      <c r="Y64" s="124"/>
      <c r="Z64" s="124"/>
      <c r="AA64" s="124"/>
      <c r="AB64" s="124"/>
      <c r="AC64" s="124"/>
    </row>
    <row r="65" spans="1:29" s="127" customFormat="1" ht="21.95" customHeight="1" x14ac:dyDescent="0.25">
      <c r="A65" s="106">
        <v>63</v>
      </c>
      <c r="B65" s="99"/>
      <c r="C65" s="170" t="s">
        <v>378</v>
      </c>
      <c r="D65" s="170" t="s">
        <v>552</v>
      </c>
      <c r="E65" s="128" t="s">
        <v>501</v>
      </c>
      <c r="F65" s="129" t="s">
        <v>583</v>
      </c>
      <c r="G65" s="130"/>
      <c r="H65" s="109">
        <v>0.33950000000000002</v>
      </c>
      <c r="I65" s="124"/>
      <c r="J65" s="124" t="s">
        <v>229</v>
      </c>
      <c r="K65" s="124" t="s">
        <v>238</v>
      </c>
      <c r="L65" s="124">
        <v>15</v>
      </c>
      <c r="M65" s="124">
        <f t="shared" si="0"/>
        <v>20.900000000000002</v>
      </c>
      <c r="N65" s="124">
        <v>4</v>
      </c>
      <c r="O65" s="124">
        <v>0.1</v>
      </c>
      <c r="P65" s="125">
        <f t="shared" si="1"/>
        <v>2.0900000000000003</v>
      </c>
      <c r="Q65" s="126">
        <v>120000</v>
      </c>
      <c r="R65" s="126">
        <f t="shared" si="2"/>
        <v>250.80000000000004</v>
      </c>
      <c r="S65" s="108">
        <f t="shared" si="3"/>
        <v>3.5177782453187465</v>
      </c>
      <c r="T65" s="124"/>
      <c r="U65" s="124"/>
      <c r="V65" s="124"/>
      <c r="W65" s="124"/>
      <c r="X65" s="124"/>
      <c r="Y65" s="124"/>
      <c r="Z65" s="124"/>
      <c r="AA65" s="124"/>
      <c r="AB65" s="124"/>
      <c r="AC65" s="124"/>
    </row>
    <row r="66" spans="1:29" s="127" customFormat="1" ht="21.95" customHeight="1" x14ac:dyDescent="0.25">
      <c r="A66" s="106">
        <v>64</v>
      </c>
      <c r="B66" s="99"/>
      <c r="C66" s="170" t="s">
        <v>378</v>
      </c>
      <c r="D66" s="170" t="s">
        <v>552</v>
      </c>
      <c r="E66" s="128" t="s">
        <v>502</v>
      </c>
      <c r="F66" s="129" t="s">
        <v>584</v>
      </c>
      <c r="G66" s="130"/>
      <c r="H66" s="109">
        <v>0.53459999999999996</v>
      </c>
      <c r="I66" s="124"/>
      <c r="J66" s="124" t="s">
        <v>229</v>
      </c>
      <c r="K66" s="124" t="s">
        <v>238</v>
      </c>
      <c r="L66" s="124">
        <v>18.3</v>
      </c>
      <c r="M66" s="124">
        <f t="shared" si="0"/>
        <v>24.53</v>
      </c>
      <c r="N66" s="124">
        <v>4</v>
      </c>
      <c r="O66" s="124">
        <v>0.1</v>
      </c>
      <c r="P66" s="125">
        <f t="shared" si="1"/>
        <v>2.4530000000000003</v>
      </c>
      <c r="Q66" s="126">
        <v>120000</v>
      </c>
      <c r="R66" s="126">
        <f t="shared" si="2"/>
        <v>294.36</v>
      </c>
      <c r="S66" s="108">
        <f t="shared" si="3"/>
        <v>2.6219870664315112</v>
      </c>
      <c r="T66" s="124"/>
      <c r="U66" s="124"/>
      <c r="V66" s="124"/>
      <c r="W66" s="124"/>
      <c r="X66" s="124"/>
      <c r="Y66" s="124"/>
      <c r="Z66" s="124"/>
      <c r="AA66" s="124"/>
      <c r="AB66" s="124"/>
      <c r="AC66" s="124"/>
    </row>
    <row r="67" spans="1:29" s="127" customFormat="1" ht="21.95" customHeight="1" x14ac:dyDescent="0.25">
      <c r="A67" s="106">
        <v>65</v>
      </c>
      <c r="B67" s="99"/>
      <c r="C67" s="170" t="s">
        <v>378</v>
      </c>
      <c r="D67" s="170" t="s">
        <v>552</v>
      </c>
      <c r="E67" s="128" t="s">
        <v>503</v>
      </c>
      <c r="F67" s="129" t="s">
        <v>585</v>
      </c>
      <c r="G67" s="130"/>
      <c r="H67" s="109">
        <v>0.53459999999999996</v>
      </c>
      <c r="I67" s="124"/>
      <c r="J67" s="124" t="s">
        <v>227</v>
      </c>
      <c r="K67" s="124" t="s">
        <v>257</v>
      </c>
      <c r="L67" s="124">
        <v>7</v>
      </c>
      <c r="M67" s="124">
        <f t="shared" si="0"/>
        <v>12.100000000000001</v>
      </c>
      <c r="N67" s="124"/>
      <c r="O67" s="124">
        <v>0.1</v>
      </c>
      <c r="P67" s="125">
        <f t="shared" si="1"/>
        <v>1.2100000000000002</v>
      </c>
      <c r="Q67" s="126"/>
      <c r="R67" s="126">
        <f t="shared" si="2"/>
        <v>0</v>
      </c>
      <c r="S67" s="108">
        <f t="shared" si="3"/>
        <v>0</v>
      </c>
      <c r="T67" s="124"/>
      <c r="U67" s="124"/>
      <c r="V67" s="124"/>
      <c r="W67" s="124"/>
      <c r="X67" s="124"/>
      <c r="Y67" s="124"/>
      <c r="Z67" s="124"/>
      <c r="AA67" s="124"/>
      <c r="AB67" s="124"/>
      <c r="AC67" s="124"/>
    </row>
    <row r="68" spans="1:29" s="127" customFormat="1" ht="21.95" customHeight="1" x14ac:dyDescent="0.25">
      <c r="A68" s="106">
        <v>66</v>
      </c>
      <c r="B68" s="99"/>
      <c r="C68" s="170" t="s">
        <v>378</v>
      </c>
      <c r="D68" s="170" t="s">
        <v>552</v>
      </c>
      <c r="E68" s="121" t="s">
        <v>504</v>
      </c>
      <c r="F68" s="122" t="s">
        <v>586</v>
      </c>
      <c r="G68" s="123"/>
      <c r="H68" s="98">
        <v>0.495</v>
      </c>
      <c r="I68" s="124"/>
      <c r="J68" s="124" t="s">
        <v>229</v>
      </c>
      <c r="K68" s="124" t="s">
        <v>240</v>
      </c>
      <c r="L68" s="124">
        <v>24.3</v>
      </c>
      <c r="M68" s="124">
        <f t="shared" si="0"/>
        <v>31.130000000000003</v>
      </c>
      <c r="N68" s="124">
        <v>2.5</v>
      </c>
      <c r="O68" s="124">
        <v>4.7E-2</v>
      </c>
      <c r="P68" s="125">
        <f t="shared" si="1"/>
        <v>1.4631100000000001</v>
      </c>
      <c r="Q68" s="126">
        <v>120000</v>
      </c>
      <c r="R68" s="126">
        <f t="shared" si="2"/>
        <v>175.57320000000001</v>
      </c>
      <c r="S68" s="108">
        <f t="shared" si="3"/>
        <v>1.6890158730158731</v>
      </c>
      <c r="T68" s="124"/>
      <c r="U68" s="124"/>
      <c r="V68" s="124"/>
      <c r="W68" s="124"/>
      <c r="X68" s="124"/>
      <c r="Y68" s="124"/>
      <c r="Z68" s="124"/>
      <c r="AA68" s="124"/>
      <c r="AB68" s="124"/>
      <c r="AC68" s="124"/>
    </row>
    <row r="69" spans="1:29" s="127" customFormat="1" ht="21.95" customHeight="1" x14ac:dyDescent="0.25">
      <c r="A69" s="106">
        <v>67</v>
      </c>
      <c r="B69" s="99"/>
      <c r="C69" s="170" t="s">
        <v>378</v>
      </c>
      <c r="D69" s="170" t="s">
        <v>552</v>
      </c>
      <c r="E69" s="121" t="s">
        <v>505</v>
      </c>
      <c r="F69" s="122" t="s">
        <v>587</v>
      </c>
      <c r="G69" s="123"/>
      <c r="H69" s="98">
        <v>0.495</v>
      </c>
      <c r="I69" s="124"/>
      <c r="J69" s="124" t="s">
        <v>229</v>
      </c>
      <c r="K69" s="124" t="s">
        <v>240</v>
      </c>
      <c r="L69" s="124">
        <v>26.3</v>
      </c>
      <c r="M69" s="124">
        <f t="shared" si="0"/>
        <v>33.330000000000005</v>
      </c>
      <c r="N69" s="124">
        <v>2.5</v>
      </c>
      <c r="O69" s="124">
        <v>4.7E-2</v>
      </c>
      <c r="P69" s="125">
        <f t="shared" si="1"/>
        <v>1.5665100000000003</v>
      </c>
      <c r="Q69" s="126">
        <v>120000</v>
      </c>
      <c r="R69" s="126">
        <f t="shared" si="2"/>
        <v>187.98120000000003</v>
      </c>
      <c r="S69" s="108">
        <f t="shared" si="3"/>
        <v>1.8083809523809526</v>
      </c>
      <c r="T69" s="124"/>
      <c r="U69" s="124"/>
      <c r="V69" s="124"/>
      <c r="W69" s="124"/>
      <c r="X69" s="124"/>
      <c r="Y69" s="124"/>
      <c r="Z69" s="124"/>
      <c r="AA69" s="124"/>
      <c r="AB69" s="124"/>
      <c r="AC69" s="124"/>
    </row>
    <row r="70" spans="1:29" s="127" customFormat="1" ht="21.95" customHeight="1" x14ac:dyDescent="0.25">
      <c r="A70" s="106">
        <v>68</v>
      </c>
      <c r="B70" s="99"/>
      <c r="C70" s="170" t="s">
        <v>378</v>
      </c>
      <c r="D70" s="170" t="s">
        <v>552</v>
      </c>
      <c r="E70" s="121" t="s">
        <v>506</v>
      </c>
      <c r="F70" s="122" t="s">
        <v>588</v>
      </c>
      <c r="G70" s="123"/>
      <c r="H70" s="98">
        <v>0.53459999999999996</v>
      </c>
      <c r="I70" s="124"/>
      <c r="J70" s="124" t="s">
        <v>229</v>
      </c>
      <c r="K70" s="124" t="s">
        <v>240</v>
      </c>
      <c r="L70" s="124">
        <v>26.6</v>
      </c>
      <c r="M70" s="124">
        <f>(L70+(IF(K70&lt;=4,1.5,IF(K70&lt;=7,2,IF(K70&lt;=11,2.5,IF(K70&lt;=19,3,IF(K70&lt;=25,3.5,4)))))))*1.1</f>
        <v>33.660000000000004</v>
      </c>
      <c r="N70" s="124">
        <v>2.5</v>
      </c>
      <c r="O70" s="124">
        <v>4.7E-2</v>
      </c>
      <c r="P70" s="125">
        <f>M70*O70</f>
        <v>1.5820200000000002</v>
      </c>
      <c r="Q70" s="126">
        <v>120000</v>
      </c>
      <c r="R70" s="126">
        <f>Q70/1000*P70</f>
        <v>189.84240000000003</v>
      </c>
      <c r="S70" s="108">
        <f t="shared" ref="S70:S113" si="4">IF(G70&lt;&gt;0,R70/G70*100,R70/(H70*21000)*100)</f>
        <v>1.6910052910052913</v>
      </c>
      <c r="T70" s="124"/>
      <c r="U70" s="124"/>
      <c r="V70" s="124"/>
      <c r="W70" s="124"/>
      <c r="X70" s="124"/>
      <c r="Y70" s="124"/>
      <c r="Z70" s="124"/>
      <c r="AA70" s="124"/>
      <c r="AB70" s="124"/>
      <c r="AC70" s="124"/>
    </row>
    <row r="71" spans="1:29" s="127" customFormat="1" ht="21.95" customHeight="1" x14ac:dyDescent="0.25">
      <c r="A71" s="106">
        <v>69</v>
      </c>
      <c r="B71" s="99"/>
      <c r="C71" s="170" t="s">
        <v>378</v>
      </c>
      <c r="D71" s="170" t="s">
        <v>552</v>
      </c>
      <c r="E71" s="128" t="s">
        <v>732</v>
      </c>
      <c r="F71" s="129" t="s">
        <v>733</v>
      </c>
      <c r="G71" s="130"/>
      <c r="H71" s="109">
        <v>0.49</v>
      </c>
      <c r="I71" s="124"/>
      <c r="J71" s="124" t="s">
        <v>228</v>
      </c>
      <c r="K71" s="124" t="s">
        <v>237</v>
      </c>
      <c r="L71" s="124">
        <v>53.8</v>
      </c>
      <c r="M71" s="124">
        <f>(L71+(IF(K71&lt;=4,1.5,IF(K71&lt;=7,2,IF(K71&lt;=11,2.5,IF(K71&lt;=19,3,IF(K71&lt;=25,3.5,4)))))))*1.1</f>
        <v>63.580000000000005</v>
      </c>
      <c r="N71" s="124">
        <v>3</v>
      </c>
      <c r="O71" s="124">
        <v>0.06</v>
      </c>
      <c r="P71" s="125">
        <f>M71*O71</f>
        <v>3.8148</v>
      </c>
      <c r="Q71" s="126">
        <v>120000</v>
      </c>
      <c r="R71" s="126">
        <f>Q71/1000*P71</f>
        <v>457.77600000000001</v>
      </c>
      <c r="S71" s="108">
        <f t="shared" si="4"/>
        <v>4.448746355685131</v>
      </c>
      <c r="T71" s="124"/>
      <c r="U71" s="124"/>
      <c r="V71" s="124"/>
      <c r="W71" s="124"/>
      <c r="X71" s="124"/>
      <c r="Y71" s="124"/>
      <c r="Z71" s="124"/>
      <c r="AA71" s="124"/>
      <c r="AB71" s="124"/>
      <c r="AC71" s="124"/>
    </row>
    <row r="72" spans="1:29" s="127" customFormat="1" ht="21.95" customHeight="1" x14ac:dyDescent="0.25">
      <c r="A72" s="106">
        <v>70</v>
      </c>
      <c r="B72" s="99"/>
      <c r="C72" s="170" t="s">
        <v>378</v>
      </c>
      <c r="D72" s="170" t="s">
        <v>552</v>
      </c>
      <c r="E72" s="128" t="s">
        <v>546</v>
      </c>
      <c r="F72" s="129" t="s">
        <v>629</v>
      </c>
      <c r="G72" s="130"/>
      <c r="H72" s="109">
        <v>0.49</v>
      </c>
      <c r="I72" s="124"/>
      <c r="J72" s="124" t="s">
        <v>229</v>
      </c>
      <c r="K72" s="124" t="s">
        <v>237</v>
      </c>
      <c r="L72" s="124">
        <v>53.8</v>
      </c>
      <c r="M72" s="124">
        <f>(L72+(IF(K72&lt;=4,1.5,IF(K72&lt;=7,2,IF(K72&lt;=11,2.5,IF(K72&lt;=19,3,IF(K72&lt;=25,3.5,4)))))))*1.1</f>
        <v>63.580000000000005</v>
      </c>
      <c r="N72" s="124">
        <v>3</v>
      </c>
      <c r="O72" s="124">
        <v>0.06</v>
      </c>
      <c r="P72" s="125">
        <f>M72*O72</f>
        <v>3.8148</v>
      </c>
      <c r="Q72" s="126">
        <v>120000</v>
      </c>
      <c r="R72" s="126">
        <f>Q72/1000*P72</f>
        <v>457.77600000000001</v>
      </c>
      <c r="S72" s="108">
        <f t="shared" si="4"/>
        <v>4.448746355685131</v>
      </c>
      <c r="T72" s="124"/>
      <c r="U72" s="124"/>
      <c r="V72" s="124"/>
      <c r="W72" s="124"/>
      <c r="X72" s="124"/>
      <c r="Y72" s="124"/>
      <c r="Z72" s="124"/>
      <c r="AA72" s="124"/>
      <c r="AB72" s="124"/>
      <c r="AC72" s="124"/>
    </row>
    <row r="73" spans="1:29" s="127" customFormat="1" ht="21.95" customHeight="1" x14ac:dyDescent="0.25">
      <c r="A73" s="106">
        <v>71</v>
      </c>
      <c r="B73" s="99"/>
      <c r="C73" s="170" t="s">
        <v>378</v>
      </c>
      <c r="D73" s="170" t="s">
        <v>552</v>
      </c>
      <c r="E73" s="128" t="s">
        <v>507</v>
      </c>
      <c r="F73" s="129" t="s">
        <v>589</v>
      </c>
      <c r="G73" s="130"/>
      <c r="H73" s="109">
        <v>0.42</v>
      </c>
      <c r="I73" s="124"/>
      <c r="J73" s="124" t="s">
        <v>229</v>
      </c>
      <c r="K73" s="124" t="s">
        <v>254</v>
      </c>
      <c r="L73" s="124">
        <v>25.9</v>
      </c>
      <c r="M73" s="124">
        <f>(L73+(IF(K73&lt;=4,1.5,IF(K73&lt;=7,2,IF(K73&lt;=11,2.5,IF(K73&lt;=19,3,IF(K73&lt;=25,3.5,4)))))))*1.1</f>
        <v>32.89</v>
      </c>
      <c r="N73" s="124"/>
      <c r="O73" s="124"/>
      <c r="P73" s="125">
        <f>M73*O73</f>
        <v>0</v>
      </c>
      <c r="Q73" s="126"/>
      <c r="R73" s="126">
        <f>Q73/1000*P73</f>
        <v>0</v>
      </c>
      <c r="S73" s="108">
        <f t="shared" si="4"/>
        <v>0</v>
      </c>
      <c r="T73" s="124"/>
      <c r="U73" s="124"/>
      <c r="V73" s="124"/>
      <c r="W73" s="124"/>
      <c r="X73" s="124"/>
      <c r="Y73" s="124"/>
      <c r="Z73" s="124"/>
      <c r="AA73" s="124"/>
      <c r="AB73" s="124"/>
      <c r="AC73" s="124"/>
    </row>
    <row r="74" spans="1:29" s="127" customFormat="1" ht="21.95" customHeight="1" x14ac:dyDescent="0.25">
      <c r="A74" s="106">
        <v>72</v>
      </c>
      <c r="B74" s="99"/>
      <c r="C74" s="170" t="s">
        <v>378</v>
      </c>
      <c r="D74" s="170" t="s">
        <v>552</v>
      </c>
      <c r="E74" s="121" t="s">
        <v>508</v>
      </c>
      <c r="F74" s="122" t="s">
        <v>590</v>
      </c>
      <c r="G74" s="123"/>
      <c r="H74" s="98">
        <v>0.252</v>
      </c>
      <c r="I74" s="124"/>
      <c r="J74" s="124"/>
      <c r="K74" s="124"/>
      <c r="L74" s="124"/>
      <c r="M74" s="124"/>
      <c r="N74" s="124"/>
      <c r="O74" s="124"/>
      <c r="P74" s="125"/>
      <c r="Q74" s="126"/>
      <c r="R74" s="126"/>
      <c r="S74" s="108"/>
      <c r="T74" s="124"/>
      <c r="U74" s="124"/>
      <c r="V74" s="124"/>
      <c r="W74" s="124"/>
      <c r="X74" s="124"/>
      <c r="Y74" s="124"/>
      <c r="Z74" s="124"/>
      <c r="AA74" s="124"/>
      <c r="AB74" s="124"/>
      <c r="AC74" s="124"/>
    </row>
    <row r="75" spans="1:29" s="127" customFormat="1" ht="21.95" customHeight="1" x14ac:dyDescent="0.25">
      <c r="A75" s="106">
        <v>73</v>
      </c>
      <c r="B75" s="99"/>
      <c r="C75" s="170" t="s">
        <v>378</v>
      </c>
      <c r="D75" s="170" t="s">
        <v>552</v>
      </c>
      <c r="E75" s="121" t="s">
        <v>509</v>
      </c>
      <c r="F75" s="122" t="s">
        <v>591</v>
      </c>
      <c r="G75" s="123"/>
      <c r="H75" s="98">
        <v>0.252</v>
      </c>
      <c r="I75" s="124"/>
      <c r="J75" s="124"/>
      <c r="K75" s="124"/>
      <c r="L75" s="124"/>
      <c r="M75" s="124"/>
      <c r="N75" s="124"/>
      <c r="O75" s="124"/>
      <c r="P75" s="125"/>
      <c r="Q75" s="126"/>
      <c r="R75" s="126"/>
      <c r="S75" s="108"/>
      <c r="T75" s="124"/>
      <c r="U75" s="124"/>
      <c r="V75" s="124"/>
      <c r="W75" s="124"/>
      <c r="X75" s="124"/>
      <c r="Y75" s="124"/>
      <c r="Z75" s="124"/>
      <c r="AA75" s="124"/>
      <c r="AB75" s="124"/>
      <c r="AC75" s="124"/>
    </row>
    <row r="76" spans="1:29" s="127" customFormat="1" ht="21.95" customHeight="1" x14ac:dyDescent="0.25">
      <c r="A76" s="106">
        <v>74</v>
      </c>
      <c r="B76" s="99"/>
      <c r="C76" s="170" t="s">
        <v>378</v>
      </c>
      <c r="D76" s="170" t="s">
        <v>552</v>
      </c>
      <c r="E76" s="121" t="s">
        <v>510</v>
      </c>
      <c r="F76" s="122" t="s">
        <v>592</v>
      </c>
      <c r="G76" s="123"/>
      <c r="H76" s="98">
        <v>0.252</v>
      </c>
      <c r="I76" s="124"/>
      <c r="J76" s="124" t="s">
        <v>229</v>
      </c>
      <c r="K76" s="124" t="s">
        <v>240</v>
      </c>
      <c r="L76" s="124">
        <v>38.9</v>
      </c>
      <c r="M76" s="124">
        <f>(L76+(IF(K76&lt;=4,1.5,IF(K76&lt;=7,2,IF(K76&lt;=11,2.5,IF(K76&lt;=19,3,IF(K76&lt;=25,3.5,4)))))))*1.1</f>
        <v>47.190000000000005</v>
      </c>
      <c r="N76" s="124"/>
      <c r="O76" s="124"/>
      <c r="P76" s="125">
        <f>M76*O76</f>
        <v>0</v>
      </c>
      <c r="Q76" s="126"/>
      <c r="R76" s="126">
        <f>Q76/1000*P76</f>
        <v>0</v>
      </c>
      <c r="S76" s="108">
        <f t="shared" si="4"/>
        <v>0</v>
      </c>
      <c r="T76" s="124"/>
      <c r="U76" s="124"/>
      <c r="V76" s="124"/>
      <c r="W76" s="124"/>
      <c r="X76" s="124"/>
      <c r="Y76" s="124"/>
      <c r="Z76" s="124"/>
      <c r="AA76" s="124"/>
      <c r="AB76" s="124"/>
      <c r="AC76" s="124"/>
    </row>
    <row r="77" spans="1:29" s="127" customFormat="1" ht="21.95" customHeight="1" x14ac:dyDescent="0.25">
      <c r="A77" s="106">
        <v>75</v>
      </c>
      <c r="B77" s="99"/>
      <c r="C77" s="170" t="s">
        <v>378</v>
      </c>
      <c r="D77" s="170" t="s">
        <v>552</v>
      </c>
      <c r="E77" s="121" t="s">
        <v>511</v>
      </c>
      <c r="F77" s="122" t="s">
        <v>593</v>
      </c>
      <c r="G77" s="123"/>
      <c r="H77" s="98">
        <v>0.252</v>
      </c>
      <c r="I77" s="124"/>
      <c r="J77" s="124"/>
      <c r="K77" s="124"/>
      <c r="L77" s="124"/>
      <c r="M77" s="124"/>
      <c r="N77" s="124"/>
      <c r="O77" s="124"/>
      <c r="P77" s="125"/>
      <c r="Q77" s="126"/>
      <c r="R77" s="126"/>
      <c r="S77" s="108"/>
      <c r="T77" s="124"/>
      <c r="U77" s="124"/>
      <c r="V77" s="124"/>
      <c r="W77" s="124"/>
      <c r="X77" s="124"/>
      <c r="Y77" s="124"/>
      <c r="Z77" s="124"/>
      <c r="AA77" s="124"/>
      <c r="AB77" s="124"/>
      <c r="AC77" s="124"/>
    </row>
    <row r="78" spans="1:29" s="127" customFormat="1" ht="21.95" customHeight="1" x14ac:dyDescent="0.25">
      <c r="A78" s="106">
        <v>76</v>
      </c>
      <c r="B78" s="99"/>
      <c r="C78" s="170" t="s">
        <v>378</v>
      </c>
      <c r="D78" s="170" t="s">
        <v>552</v>
      </c>
      <c r="E78" s="121" t="s">
        <v>512</v>
      </c>
      <c r="F78" s="122" t="s">
        <v>594</v>
      </c>
      <c r="G78" s="123"/>
      <c r="H78" s="98">
        <v>0.252</v>
      </c>
      <c r="I78" s="124"/>
      <c r="J78" s="124"/>
      <c r="K78" s="124"/>
      <c r="L78" s="124"/>
      <c r="M78" s="124"/>
      <c r="N78" s="124"/>
      <c r="O78" s="124"/>
      <c r="P78" s="125"/>
      <c r="Q78" s="126"/>
      <c r="R78" s="126"/>
      <c r="S78" s="108"/>
      <c r="T78" s="124"/>
      <c r="U78" s="124"/>
      <c r="V78" s="124"/>
      <c r="W78" s="124"/>
      <c r="X78" s="124"/>
      <c r="Y78" s="124"/>
      <c r="Z78" s="124"/>
      <c r="AA78" s="124"/>
      <c r="AB78" s="124"/>
      <c r="AC78" s="124"/>
    </row>
    <row r="79" spans="1:29" s="127" customFormat="1" ht="21.95" customHeight="1" x14ac:dyDescent="0.25">
      <c r="A79" s="106">
        <v>77</v>
      </c>
      <c r="B79" s="99"/>
      <c r="C79" s="170" t="s">
        <v>378</v>
      </c>
      <c r="D79" s="170" t="s">
        <v>552</v>
      </c>
      <c r="E79" s="121" t="s">
        <v>513</v>
      </c>
      <c r="F79" s="122" t="s">
        <v>595</v>
      </c>
      <c r="G79" s="123"/>
      <c r="H79" s="98">
        <v>0.252</v>
      </c>
      <c r="I79" s="124"/>
      <c r="J79" s="124" t="s">
        <v>229</v>
      </c>
      <c r="K79" s="124" t="s">
        <v>241</v>
      </c>
      <c r="L79" s="124">
        <v>12.5</v>
      </c>
      <c r="M79" s="124">
        <f t="shared" ref="M79:M89" si="5">(L79+(IF(K79&lt;=4,1.5,IF(K79&lt;=7,2,IF(K79&lt;=11,2.5,IF(K79&lt;=19,3,IF(K79&lt;=25,3.5,4)))))))*1.1</f>
        <v>18.150000000000002</v>
      </c>
      <c r="N79" s="124">
        <v>5</v>
      </c>
      <c r="O79" s="124">
        <v>0.16</v>
      </c>
      <c r="P79" s="125">
        <f t="shared" ref="P79:P89" si="6">M79*O79</f>
        <v>2.9040000000000004</v>
      </c>
      <c r="Q79" s="126">
        <v>120000</v>
      </c>
      <c r="R79" s="126">
        <f t="shared" ref="R79:R89" si="7">Q79/1000*P79</f>
        <v>348.48</v>
      </c>
      <c r="S79" s="108">
        <f t="shared" si="4"/>
        <v>6.5850340136054424</v>
      </c>
      <c r="T79" s="124"/>
      <c r="U79" s="124"/>
      <c r="V79" s="124"/>
      <c r="W79" s="124"/>
      <c r="X79" s="124"/>
      <c r="Y79" s="124"/>
      <c r="Z79" s="124"/>
      <c r="AA79" s="124"/>
      <c r="AB79" s="124"/>
      <c r="AC79" s="124"/>
    </row>
    <row r="80" spans="1:29" s="127" customFormat="1" ht="21.95" customHeight="1" x14ac:dyDescent="0.25">
      <c r="A80" s="106">
        <v>78</v>
      </c>
      <c r="B80" s="99"/>
      <c r="C80" s="170" t="s">
        <v>378</v>
      </c>
      <c r="D80" s="170" t="s">
        <v>552</v>
      </c>
      <c r="E80" s="121" t="s">
        <v>514</v>
      </c>
      <c r="F80" s="122" t="s">
        <v>596</v>
      </c>
      <c r="G80" s="123"/>
      <c r="H80" s="98">
        <v>0.252</v>
      </c>
      <c r="I80" s="124"/>
      <c r="J80" s="124" t="s">
        <v>229</v>
      </c>
      <c r="K80" s="124" t="s">
        <v>241</v>
      </c>
      <c r="L80" s="124">
        <v>12.5</v>
      </c>
      <c r="M80" s="124">
        <f t="shared" si="5"/>
        <v>18.150000000000002</v>
      </c>
      <c r="N80" s="124">
        <v>5</v>
      </c>
      <c r="O80" s="124">
        <v>0.16</v>
      </c>
      <c r="P80" s="125">
        <f t="shared" si="6"/>
        <v>2.9040000000000004</v>
      </c>
      <c r="Q80" s="126">
        <v>120000</v>
      </c>
      <c r="R80" s="126">
        <f t="shared" si="7"/>
        <v>348.48</v>
      </c>
      <c r="S80" s="108">
        <f t="shared" si="4"/>
        <v>6.5850340136054424</v>
      </c>
      <c r="T80" s="124"/>
      <c r="U80" s="124"/>
      <c r="V80" s="124"/>
      <c r="W80" s="124"/>
      <c r="X80" s="124"/>
      <c r="Y80" s="124"/>
      <c r="Z80" s="124"/>
      <c r="AA80" s="124"/>
      <c r="AB80" s="124"/>
      <c r="AC80" s="124"/>
    </row>
    <row r="81" spans="1:29" s="127" customFormat="1" ht="21.95" customHeight="1" x14ac:dyDescent="0.25">
      <c r="A81" s="106">
        <v>79</v>
      </c>
      <c r="B81" s="99"/>
      <c r="C81" s="170" t="s">
        <v>378</v>
      </c>
      <c r="D81" s="170" t="s">
        <v>552</v>
      </c>
      <c r="E81" s="121" t="s">
        <v>515</v>
      </c>
      <c r="F81" s="122" t="s">
        <v>597</v>
      </c>
      <c r="G81" s="123"/>
      <c r="H81" s="98">
        <v>0.252</v>
      </c>
      <c r="I81" s="124"/>
      <c r="J81" s="124" t="s">
        <v>229</v>
      </c>
      <c r="K81" s="124" t="s">
        <v>241</v>
      </c>
      <c r="L81" s="124">
        <v>12.5</v>
      </c>
      <c r="M81" s="124">
        <f t="shared" si="5"/>
        <v>18.150000000000002</v>
      </c>
      <c r="N81" s="124">
        <v>5</v>
      </c>
      <c r="O81" s="124">
        <v>0.16</v>
      </c>
      <c r="P81" s="125">
        <f t="shared" si="6"/>
        <v>2.9040000000000004</v>
      </c>
      <c r="Q81" s="126">
        <v>120000</v>
      </c>
      <c r="R81" s="126">
        <f t="shared" si="7"/>
        <v>348.48</v>
      </c>
      <c r="S81" s="108">
        <f t="shared" si="4"/>
        <v>6.5850340136054424</v>
      </c>
      <c r="T81" s="124"/>
      <c r="U81" s="124"/>
      <c r="V81" s="124"/>
      <c r="W81" s="124"/>
      <c r="X81" s="124"/>
      <c r="Y81" s="124"/>
      <c r="Z81" s="124"/>
      <c r="AA81" s="124"/>
      <c r="AB81" s="124"/>
      <c r="AC81" s="124"/>
    </row>
    <row r="82" spans="1:29" s="127" customFormat="1" ht="21.95" customHeight="1" x14ac:dyDescent="0.25">
      <c r="A82" s="106">
        <v>80</v>
      </c>
      <c r="B82" s="99"/>
      <c r="C82" s="170" t="s">
        <v>378</v>
      </c>
      <c r="D82" s="170" t="s">
        <v>552</v>
      </c>
      <c r="E82" s="121" t="s">
        <v>516</v>
      </c>
      <c r="F82" s="122" t="s">
        <v>598</v>
      </c>
      <c r="G82" s="123"/>
      <c r="H82" s="98">
        <v>0.252</v>
      </c>
      <c r="I82" s="124"/>
      <c r="J82" s="124" t="s">
        <v>229</v>
      </c>
      <c r="K82" s="124" t="s">
        <v>241</v>
      </c>
      <c r="L82" s="124">
        <v>12.5</v>
      </c>
      <c r="M82" s="124">
        <f t="shared" si="5"/>
        <v>18.150000000000002</v>
      </c>
      <c r="N82" s="124">
        <v>5</v>
      </c>
      <c r="O82" s="124">
        <v>0.16</v>
      </c>
      <c r="P82" s="125">
        <f t="shared" si="6"/>
        <v>2.9040000000000004</v>
      </c>
      <c r="Q82" s="126">
        <v>120000</v>
      </c>
      <c r="R82" s="126">
        <f t="shared" si="7"/>
        <v>348.48</v>
      </c>
      <c r="S82" s="108">
        <f t="shared" si="4"/>
        <v>6.5850340136054424</v>
      </c>
      <c r="T82" s="124"/>
      <c r="U82" s="124"/>
      <c r="V82" s="124"/>
      <c r="W82" s="124"/>
      <c r="X82" s="124"/>
      <c r="Y82" s="124"/>
      <c r="Z82" s="124"/>
      <c r="AA82" s="124"/>
      <c r="AB82" s="124"/>
      <c r="AC82" s="124"/>
    </row>
    <row r="83" spans="1:29" s="127" customFormat="1" ht="21.95" customHeight="1" x14ac:dyDescent="0.25">
      <c r="A83" s="106">
        <v>81</v>
      </c>
      <c r="B83" s="99"/>
      <c r="C83" s="170" t="s">
        <v>378</v>
      </c>
      <c r="D83" s="170" t="s">
        <v>552</v>
      </c>
      <c r="E83" s="121" t="s">
        <v>734</v>
      </c>
      <c r="F83" s="122" t="s">
        <v>735</v>
      </c>
      <c r="G83" s="123"/>
      <c r="H83" s="98">
        <v>0.37</v>
      </c>
      <c r="I83" s="124"/>
      <c r="J83" s="124" t="s">
        <v>229</v>
      </c>
      <c r="K83" s="124" t="s">
        <v>241</v>
      </c>
      <c r="L83" s="124">
        <v>13.5</v>
      </c>
      <c r="M83" s="124">
        <f t="shared" si="5"/>
        <v>19.25</v>
      </c>
      <c r="N83" s="124">
        <v>5</v>
      </c>
      <c r="O83" s="124">
        <v>0.16</v>
      </c>
      <c r="P83" s="125">
        <f t="shared" si="6"/>
        <v>3.08</v>
      </c>
      <c r="Q83" s="126">
        <v>120000</v>
      </c>
      <c r="R83" s="126">
        <f t="shared" si="7"/>
        <v>369.6</v>
      </c>
      <c r="S83" s="108">
        <f t="shared" si="4"/>
        <v>4.756756756756757</v>
      </c>
      <c r="T83" s="124"/>
      <c r="U83" s="124"/>
      <c r="V83" s="124"/>
      <c r="W83" s="124"/>
      <c r="X83" s="124"/>
      <c r="Y83" s="124"/>
      <c r="Z83" s="124"/>
      <c r="AA83" s="124"/>
      <c r="AB83" s="124"/>
      <c r="AC83" s="124"/>
    </row>
    <row r="84" spans="1:29" s="127" customFormat="1" ht="21.95" customHeight="1" x14ac:dyDescent="0.25">
      <c r="A84" s="106">
        <v>82</v>
      </c>
      <c r="B84" s="99"/>
      <c r="C84" s="170" t="s">
        <v>378</v>
      </c>
      <c r="D84" s="170" t="s">
        <v>552</v>
      </c>
      <c r="E84" s="128" t="s">
        <v>736</v>
      </c>
      <c r="F84" s="129" t="s">
        <v>737</v>
      </c>
      <c r="G84" s="130"/>
      <c r="H84" s="109">
        <v>0.37</v>
      </c>
      <c r="I84" s="124"/>
      <c r="J84" s="124" t="s">
        <v>225</v>
      </c>
      <c r="K84" s="124" t="s">
        <v>258</v>
      </c>
      <c r="L84" s="124">
        <v>54.2</v>
      </c>
      <c r="M84" s="124">
        <f t="shared" si="5"/>
        <v>64.02000000000001</v>
      </c>
      <c r="N84" s="124">
        <v>4.5</v>
      </c>
      <c r="O84" s="124">
        <f>0.15*1.5</f>
        <v>0.22499999999999998</v>
      </c>
      <c r="P84" s="125">
        <f t="shared" si="6"/>
        <v>14.404500000000001</v>
      </c>
      <c r="Q84" s="126">
        <v>35000</v>
      </c>
      <c r="R84" s="126">
        <f t="shared" si="7"/>
        <v>504.15750000000003</v>
      </c>
      <c r="S84" s="108">
        <f t="shared" si="4"/>
        <v>6.4885135135135137</v>
      </c>
      <c r="T84" s="124"/>
      <c r="U84" s="124"/>
      <c r="V84" s="124"/>
      <c r="W84" s="124"/>
      <c r="X84" s="124"/>
      <c r="Y84" s="124"/>
      <c r="Z84" s="124"/>
      <c r="AA84" s="124"/>
      <c r="AB84" s="124"/>
      <c r="AC84" s="124"/>
    </row>
    <row r="85" spans="1:29" s="127" customFormat="1" ht="21.95" customHeight="1" x14ac:dyDescent="0.25">
      <c r="A85" s="106">
        <v>83</v>
      </c>
      <c r="B85" s="99"/>
      <c r="C85" s="170" t="s">
        <v>378</v>
      </c>
      <c r="D85" s="170" t="s">
        <v>552</v>
      </c>
      <c r="E85" s="171" t="s">
        <v>547</v>
      </c>
      <c r="F85" s="122" t="s">
        <v>630</v>
      </c>
      <c r="G85" s="123"/>
      <c r="H85" s="98">
        <v>0.37</v>
      </c>
      <c r="I85" s="124"/>
      <c r="J85" s="124" t="s">
        <v>225</v>
      </c>
      <c r="K85" s="124" t="s">
        <v>259</v>
      </c>
      <c r="L85" s="124">
        <v>20.100000000000001</v>
      </c>
      <c r="M85" s="124">
        <f t="shared" si="5"/>
        <v>26.510000000000005</v>
      </c>
      <c r="N85" s="124">
        <v>5</v>
      </c>
      <c r="O85" s="124">
        <f>0.16*1.5</f>
        <v>0.24</v>
      </c>
      <c r="P85" s="125">
        <f t="shared" si="6"/>
        <v>6.3624000000000009</v>
      </c>
      <c r="Q85" s="126">
        <v>35000</v>
      </c>
      <c r="R85" s="126">
        <f t="shared" si="7"/>
        <v>222.68400000000003</v>
      </c>
      <c r="S85" s="108">
        <f t="shared" si="4"/>
        <v>2.865945945945946</v>
      </c>
      <c r="T85" s="124"/>
      <c r="U85" s="124"/>
      <c r="V85" s="124"/>
      <c r="W85" s="124"/>
      <c r="X85" s="124"/>
      <c r="Y85" s="124"/>
      <c r="Z85" s="124"/>
      <c r="AA85" s="124"/>
      <c r="AB85" s="124"/>
      <c r="AC85" s="124"/>
    </row>
    <row r="86" spans="1:29" s="127" customFormat="1" ht="21.95" customHeight="1" x14ac:dyDescent="0.25">
      <c r="A86" s="106">
        <v>84</v>
      </c>
      <c r="B86" s="99"/>
      <c r="C86" s="170" t="s">
        <v>378</v>
      </c>
      <c r="D86" s="170" t="s">
        <v>552</v>
      </c>
      <c r="E86" s="171" t="s">
        <v>548</v>
      </c>
      <c r="F86" s="122" t="s">
        <v>631</v>
      </c>
      <c r="G86" s="123"/>
      <c r="H86" s="98">
        <v>0.37</v>
      </c>
      <c r="I86" s="124"/>
      <c r="J86" s="124" t="s">
        <v>225</v>
      </c>
      <c r="K86" s="124" t="s">
        <v>259</v>
      </c>
      <c r="L86" s="124">
        <v>63</v>
      </c>
      <c r="M86" s="124">
        <f t="shared" si="5"/>
        <v>73.7</v>
      </c>
      <c r="N86" s="124">
        <v>5</v>
      </c>
      <c r="O86" s="124">
        <f>1.5*0.16</f>
        <v>0.24</v>
      </c>
      <c r="P86" s="125">
        <f t="shared" si="6"/>
        <v>17.687999999999999</v>
      </c>
      <c r="Q86" s="126">
        <v>35000</v>
      </c>
      <c r="R86" s="126">
        <f t="shared" si="7"/>
        <v>619.07999999999993</v>
      </c>
      <c r="S86" s="108">
        <f t="shared" si="4"/>
        <v>7.967567567567567</v>
      </c>
      <c r="T86" s="124"/>
      <c r="U86" s="124"/>
      <c r="V86" s="124"/>
      <c r="W86" s="124"/>
      <c r="X86" s="124"/>
      <c r="Y86" s="124"/>
      <c r="Z86" s="124"/>
      <c r="AA86" s="124"/>
      <c r="AB86" s="124"/>
      <c r="AC86" s="124"/>
    </row>
    <row r="87" spans="1:29" s="127" customFormat="1" ht="21.95" customHeight="1" x14ac:dyDescent="0.25">
      <c r="A87" s="106">
        <v>85</v>
      </c>
      <c r="B87" s="99"/>
      <c r="C87" s="170" t="s">
        <v>378</v>
      </c>
      <c r="D87" s="170" t="s">
        <v>552</v>
      </c>
      <c r="E87" s="171" t="s">
        <v>544</v>
      </c>
      <c r="F87" s="122" t="s">
        <v>627</v>
      </c>
      <c r="G87" s="123"/>
      <c r="H87" s="98">
        <v>0.37</v>
      </c>
      <c r="I87" s="124"/>
      <c r="J87" s="124" t="s">
        <v>225</v>
      </c>
      <c r="K87" s="124" t="s">
        <v>260</v>
      </c>
      <c r="L87" s="124">
        <v>67.5</v>
      </c>
      <c r="M87" s="124">
        <f t="shared" si="5"/>
        <v>78.650000000000006</v>
      </c>
      <c r="N87" s="124">
        <v>6</v>
      </c>
      <c r="O87" s="124">
        <f>0.24*1.5</f>
        <v>0.36</v>
      </c>
      <c r="P87" s="125">
        <f t="shared" si="6"/>
        <v>28.314</v>
      </c>
      <c r="Q87" s="126">
        <v>35000</v>
      </c>
      <c r="R87" s="126">
        <f t="shared" si="7"/>
        <v>990.99</v>
      </c>
      <c r="S87" s="108">
        <f t="shared" si="4"/>
        <v>12.754054054054054</v>
      </c>
      <c r="T87" s="124"/>
      <c r="U87" s="124"/>
      <c r="V87" s="124"/>
      <c r="W87" s="124"/>
      <c r="X87" s="124"/>
      <c r="Y87" s="124"/>
      <c r="Z87" s="124"/>
      <c r="AA87" s="124"/>
      <c r="AB87" s="124"/>
      <c r="AC87" s="124"/>
    </row>
    <row r="88" spans="1:29" s="127" customFormat="1" ht="21.95" customHeight="1" x14ac:dyDescent="0.25">
      <c r="A88" s="106">
        <v>86</v>
      </c>
      <c r="B88" s="99"/>
      <c r="C88" s="170" t="s">
        <v>378</v>
      </c>
      <c r="D88" s="170" t="s">
        <v>552</v>
      </c>
      <c r="E88" s="171" t="s">
        <v>541</v>
      </c>
      <c r="F88" s="122" t="s">
        <v>624</v>
      </c>
      <c r="G88" s="123"/>
      <c r="H88" s="98">
        <v>0.37</v>
      </c>
      <c r="I88" s="124"/>
      <c r="J88" s="124" t="s">
        <v>225</v>
      </c>
      <c r="K88" s="124" t="s">
        <v>260</v>
      </c>
      <c r="L88" s="124">
        <v>74.2</v>
      </c>
      <c r="M88" s="124">
        <f t="shared" si="5"/>
        <v>86.02000000000001</v>
      </c>
      <c r="N88" s="124">
        <v>6</v>
      </c>
      <c r="O88" s="124">
        <f>0.24*1.5</f>
        <v>0.36</v>
      </c>
      <c r="P88" s="125">
        <f t="shared" si="6"/>
        <v>30.967200000000002</v>
      </c>
      <c r="Q88" s="126">
        <v>35000</v>
      </c>
      <c r="R88" s="126">
        <f t="shared" si="7"/>
        <v>1083.8520000000001</v>
      </c>
      <c r="S88" s="108">
        <f t="shared" si="4"/>
        <v>13.949189189189189</v>
      </c>
      <c r="T88" s="124"/>
      <c r="U88" s="124"/>
      <c r="V88" s="124"/>
      <c r="W88" s="124"/>
      <c r="X88" s="124"/>
      <c r="Y88" s="124"/>
      <c r="Z88" s="124"/>
      <c r="AA88" s="124"/>
      <c r="AB88" s="124"/>
      <c r="AC88" s="124"/>
    </row>
    <row r="89" spans="1:29" s="127" customFormat="1" ht="21.95" customHeight="1" x14ac:dyDescent="0.25">
      <c r="A89" s="106">
        <v>87</v>
      </c>
      <c r="B89" s="99"/>
      <c r="C89" s="170" t="s">
        <v>378</v>
      </c>
      <c r="D89" s="170" t="s">
        <v>552</v>
      </c>
      <c r="E89" s="121" t="s">
        <v>545</v>
      </c>
      <c r="F89" s="122" t="s">
        <v>628</v>
      </c>
      <c r="G89" s="123"/>
      <c r="H89" s="98">
        <v>0.37</v>
      </c>
      <c r="I89" s="124"/>
      <c r="J89" s="124" t="s">
        <v>225</v>
      </c>
      <c r="K89" s="124" t="s">
        <v>260</v>
      </c>
      <c r="L89" s="124">
        <v>76.2</v>
      </c>
      <c r="M89" s="124">
        <f t="shared" si="5"/>
        <v>88.220000000000013</v>
      </c>
      <c r="N89" s="124">
        <v>6</v>
      </c>
      <c r="O89" s="124">
        <f>0.24*1.5</f>
        <v>0.36</v>
      </c>
      <c r="P89" s="125">
        <f t="shared" si="6"/>
        <v>31.759200000000003</v>
      </c>
      <c r="Q89" s="126">
        <v>35000</v>
      </c>
      <c r="R89" s="126">
        <f t="shared" si="7"/>
        <v>1111.5720000000001</v>
      </c>
      <c r="S89" s="108">
        <f t="shared" si="4"/>
        <v>14.305945945945947</v>
      </c>
      <c r="T89" s="124"/>
      <c r="U89" s="124"/>
      <c r="V89" s="124"/>
      <c r="W89" s="124"/>
      <c r="X89" s="124"/>
      <c r="Y89" s="124"/>
      <c r="Z89" s="124"/>
      <c r="AA89" s="124"/>
      <c r="AB89" s="124"/>
      <c r="AC89" s="124"/>
    </row>
    <row r="90" spans="1:29" s="127" customFormat="1" ht="21.95" customHeight="1" x14ac:dyDescent="0.25">
      <c r="A90" s="106">
        <v>88</v>
      </c>
      <c r="B90" s="99"/>
      <c r="C90" s="170" t="s">
        <v>378</v>
      </c>
      <c r="D90" s="170" t="s">
        <v>552</v>
      </c>
      <c r="E90" s="121" t="s">
        <v>517</v>
      </c>
      <c r="F90" s="122" t="s">
        <v>599</v>
      </c>
      <c r="G90" s="123"/>
      <c r="H90" s="98">
        <v>0.84150000000000003</v>
      </c>
      <c r="I90" s="124"/>
      <c r="J90" s="124"/>
      <c r="K90" s="124"/>
      <c r="L90" s="124"/>
      <c r="M90" s="124"/>
      <c r="N90" s="124"/>
      <c r="O90" s="124"/>
      <c r="P90" s="125"/>
      <c r="Q90" s="126"/>
      <c r="R90" s="126"/>
      <c r="S90" s="108"/>
      <c r="T90" s="124"/>
      <c r="U90" s="124"/>
      <c r="V90" s="124"/>
      <c r="W90" s="124"/>
      <c r="X90" s="124"/>
      <c r="Y90" s="124"/>
      <c r="Z90" s="124"/>
      <c r="AA90" s="124"/>
      <c r="AB90" s="124"/>
      <c r="AC90" s="124"/>
    </row>
    <row r="91" spans="1:29" s="127" customFormat="1" ht="21.95" customHeight="1" x14ac:dyDescent="0.25">
      <c r="A91" s="106">
        <v>89</v>
      </c>
      <c r="B91" s="99"/>
      <c r="C91" s="170" t="s">
        <v>378</v>
      </c>
      <c r="D91" s="170" t="s">
        <v>552</v>
      </c>
      <c r="E91" s="121" t="s">
        <v>518</v>
      </c>
      <c r="F91" s="122" t="s">
        <v>600</v>
      </c>
      <c r="G91" s="123"/>
      <c r="H91" s="98">
        <v>0.84150000000000003</v>
      </c>
      <c r="I91" s="124"/>
      <c r="J91" s="124"/>
      <c r="K91" s="124"/>
      <c r="L91" s="124"/>
      <c r="M91" s="124"/>
      <c r="N91" s="124"/>
      <c r="O91" s="124"/>
      <c r="P91" s="125"/>
      <c r="Q91" s="126"/>
      <c r="R91" s="126"/>
      <c r="S91" s="108"/>
      <c r="T91" s="124"/>
      <c r="U91" s="124"/>
      <c r="V91" s="124"/>
      <c r="W91" s="124"/>
      <c r="X91" s="124"/>
      <c r="Y91" s="124"/>
      <c r="Z91" s="124"/>
      <c r="AA91" s="124"/>
      <c r="AB91" s="124"/>
      <c r="AC91" s="124"/>
    </row>
    <row r="92" spans="1:29" s="127" customFormat="1" ht="21.95" customHeight="1" x14ac:dyDescent="0.25">
      <c r="A92" s="106">
        <v>90</v>
      </c>
      <c r="B92" s="99"/>
      <c r="C92" s="170" t="s">
        <v>378</v>
      </c>
      <c r="D92" s="170" t="s">
        <v>552</v>
      </c>
      <c r="E92" s="128" t="s">
        <v>519</v>
      </c>
      <c r="F92" s="129" t="s">
        <v>601</v>
      </c>
      <c r="G92" s="130"/>
      <c r="H92" s="109">
        <v>0.84150000000000003</v>
      </c>
      <c r="I92" s="124"/>
      <c r="J92" s="124" t="s">
        <v>225</v>
      </c>
      <c r="K92" s="124" t="s">
        <v>261</v>
      </c>
      <c r="L92" s="124">
        <v>16.7</v>
      </c>
      <c r="M92" s="124">
        <f t="shared" ref="M92:M113" si="8">(L92+(IF(K92&lt;=4,1.5,IF(K92&lt;=7,2,IF(K92&lt;=11,2.5,IF(K92&lt;=19,3,IF(K92&lt;=25,3.5,4)))))))*1.1</f>
        <v>22.77</v>
      </c>
      <c r="N92" s="124"/>
      <c r="O92" s="124">
        <f>0.25</f>
        <v>0.25</v>
      </c>
      <c r="P92" s="125">
        <f t="shared" ref="P92:P113" si="9">M92*O92</f>
        <v>5.6924999999999999</v>
      </c>
      <c r="Q92" s="126">
        <v>35000</v>
      </c>
      <c r="R92" s="126">
        <f t="shared" ref="R92:R113" si="10">Q92/1000*P92</f>
        <v>199.23749999999998</v>
      </c>
      <c r="S92" s="108">
        <f t="shared" si="4"/>
        <v>1.1274509803921569</v>
      </c>
      <c r="T92" s="124"/>
      <c r="U92" s="124"/>
      <c r="V92" s="124"/>
      <c r="W92" s="124"/>
      <c r="X92" s="124"/>
      <c r="Y92" s="124"/>
      <c r="Z92" s="124"/>
      <c r="AA92" s="124"/>
      <c r="AB92" s="124"/>
      <c r="AC92" s="124"/>
    </row>
    <row r="93" spans="1:29" s="127" customFormat="1" ht="21.95" customHeight="1" x14ac:dyDescent="0.25">
      <c r="A93" s="106">
        <v>91</v>
      </c>
      <c r="B93" s="99"/>
      <c r="C93" s="170" t="s">
        <v>378</v>
      </c>
      <c r="D93" s="170" t="s">
        <v>552</v>
      </c>
      <c r="E93" s="121" t="s">
        <v>549</v>
      </c>
      <c r="F93" s="122" t="s">
        <v>632</v>
      </c>
      <c r="G93" s="123"/>
      <c r="H93" s="98">
        <v>0.84150000000000003</v>
      </c>
      <c r="I93" s="124"/>
      <c r="J93" s="124" t="s">
        <v>225</v>
      </c>
      <c r="K93" s="124" t="s">
        <v>261</v>
      </c>
      <c r="L93" s="124">
        <v>16.7</v>
      </c>
      <c r="M93" s="124">
        <f t="shared" si="8"/>
        <v>22.77</v>
      </c>
      <c r="N93" s="124"/>
      <c r="O93" s="124">
        <v>0.25</v>
      </c>
      <c r="P93" s="125">
        <f t="shared" si="9"/>
        <v>5.6924999999999999</v>
      </c>
      <c r="Q93" s="126">
        <v>35000</v>
      </c>
      <c r="R93" s="126">
        <f t="shared" si="10"/>
        <v>199.23749999999998</v>
      </c>
      <c r="S93" s="108">
        <f t="shared" si="4"/>
        <v>1.1274509803921569</v>
      </c>
      <c r="T93" s="124"/>
      <c r="U93" s="124"/>
      <c r="V93" s="124"/>
      <c r="W93" s="124"/>
      <c r="X93" s="124"/>
      <c r="Y93" s="124"/>
      <c r="Z93" s="124"/>
      <c r="AA93" s="124"/>
      <c r="AB93" s="124"/>
      <c r="AC93" s="124"/>
    </row>
    <row r="94" spans="1:29" s="127" customFormat="1" ht="21.95" customHeight="1" x14ac:dyDescent="0.25">
      <c r="A94" s="106">
        <v>92</v>
      </c>
      <c r="B94" s="99"/>
      <c r="C94" s="170" t="s">
        <v>378</v>
      </c>
      <c r="D94" s="170" t="s">
        <v>552</v>
      </c>
      <c r="E94" s="121" t="s">
        <v>640</v>
      </c>
      <c r="F94" s="122" t="s">
        <v>646</v>
      </c>
      <c r="G94" s="123"/>
      <c r="H94" s="98">
        <v>0.84150000000000003</v>
      </c>
      <c r="I94" s="124"/>
      <c r="J94" s="124" t="s">
        <v>225</v>
      </c>
      <c r="K94" s="124" t="s">
        <v>261</v>
      </c>
      <c r="L94" s="124">
        <v>22.7</v>
      </c>
      <c r="M94" s="124">
        <f t="shared" si="8"/>
        <v>29.37</v>
      </c>
      <c r="N94" s="124"/>
      <c r="O94" s="124">
        <v>0.25</v>
      </c>
      <c r="P94" s="125">
        <f t="shared" si="9"/>
        <v>7.3425000000000002</v>
      </c>
      <c r="Q94" s="126">
        <v>35000</v>
      </c>
      <c r="R94" s="126">
        <f t="shared" si="10"/>
        <v>256.98750000000001</v>
      </c>
      <c r="S94" s="108">
        <f t="shared" si="4"/>
        <v>1.4542483660130718</v>
      </c>
      <c r="T94" s="124"/>
      <c r="U94" s="124"/>
      <c r="V94" s="124"/>
      <c r="W94" s="124"/>
      <c r="X94" s="124"/>
      <c r="Y94" s="124"/>
      <c r="Z94" s="124"/>
      <c r="AA94" s="124"/>
      <c r="AB94" s="124"/>
      <c r="AC94" s="124"/>
    </row>
    <row r="95" spans="1:29" s="127" customFormat="1" ht="21.95" customHeight="1" x14ac:dyDescent="0.25">
      <c r="A95" s="106">
        <v>93</v>
      </c>
      <c r="B95" s="99"/>
      <c r="C95" s="170" t="s">
        <v>378</v>
      </c>
      <c r="D95" s="170" t="s">
        <v>552</v>
      </c>
      <c r="E95" s="121" t="s">
        <v>520</v>
      </c>
      <c r="F95" s="122" t="s">
        <v>602</v>
      </c>
      <c r="G95" s="123"/>
      <c r="H95" s="98">
        <v>0.74250000000000005</v>
      </c>
      <c r="I95" s="124"/>
      <c r="J95" s="124" t="s">
        <v>225</v>
      </c>
      <c r="K95" s="124" t="s">
        <v>261</v>
      </c>
      <c r="L95" s="124">
        <v>49.6</v>
      </c>
      <c r="M95" s="124">
        <f t="shared" si="8"/>
        <v>58.960000000000008</v>
      </c>
      <c r="N95" s="124"/>
      <c r="O95" s="124">
        <v>0.25</v>
      </c>
      <c r="P95" s="125">
        <f t="shared" si="9"/>
        <v>14.740000000000002</v>
      </c>
      <c r="Q95" s="126">
        <v>35000</v>
      </c>
      <c r="R95" s="126">
        <f t="shared" si="10"/>
        <v>515.90000000000009</v>
      </c>
      <c r="S95" s="108">
        <f t="shared" si="4"/>
        <v>3.308641975308642</v>
      </c>
      <c r="T95" s="124"/>
      <c r="U95" s="124"/>
      <c r="V95" s="124"/>
      <c r="W95" s="124"/>
      <c r="X95" s="124"/>
      <c r="Y95" s="124"/>
      <c r="Z95" s="124"/>
      <c r="AA95" s="124"/>
      <c r="AB95" s="124"/>
      <c r="AC95" s="124"/>
    </row>
    <row r="96" spans="1:29" s="127" customFormat="1" ht="21.95" customHeight="1" x14ac:dyDescent="0.25">
      <c r="A96" s="106">
        <v>94</v>
      </c>
      <c r="B96" s="99"/>
      <c r="C96" s="170" t="s">
        <v>378</v>
      </c>
      <c r="D96" s="170" t="s">
        <v>552</v>
      </c>
      <c r="E96" s="121" t="s">
        <v>521</v>
      </c>
      <c r="F96" s="122" t="s">
        <v>603</v>
      </c>
      <c r="G96" s="123"/>
      <c r="H96" s="98">
        <v>0.74250000000000005</v>
      </c>
      <c r="I96" s="124"/>
      <c r="J96" s="124" t="s">
        <v>225</v>
      </c>
      <c r="K96" s="124" t="s">
        <v>261</v>
      </c>
      <c r="L96" s="124">
        <v>56.4</v>
      </c>
      <c r="M96" s="124">
        <f t="shared" si="8"/>
        <v>66.44</v>
      </c>
      <c r="N96" s="124"/>
      <c r="O96" s="124">
        <v>0.25</v>
      </c>
      <c r="P96" s="125">
        <f t="shared" si="9"/>
        <v>16.61</v>
      </c>
      <c r="Q96" s="126">
        <v>35000</v>
      </c>
      <c r="R96" s="126">
        <f t="shared" si="10"/>
        <v>581.35</v>
      </c>
      <c r="S96" s="108">
        <f t="shared" si="4"/>
        <v>3.7283950617283947</v>
      </c>
      <c r="T96" s="124"/>
      <c r="U96" s="124"/>
      <c r="V96" s="124"/>
      <c r="W96" s="124"/>
      <c r="X96" s="124"/>
      <c r="Y96" s="124"/>
      <c r="Z96" s="124"/>
      <c r="AA96" s="124"/>
      <c r="AB96" s="124"/>
      <c r="AC96" s="124"/>
    </row>
    <row r="97" spans="1:29" s="127" customFormat="1" ht="21.95" customHeight="1" x14ac:dyDescent="0.25">
      <c r="A97" s="106">
        <v>95</v>
      </c>
      <c r="B97" s="99"/>
      <c r="C97" s="170" t="s">
        <v>378</v>
      </c>
      <c r="D97" s="170" t="s">
        <v>552</v>
      </c>
      <c r="E97" s="121" t="s">
        <v>522</v>
      </c>
      <c r="F97" s="122" t="s">
        <v>604</v>
      </c>
      <c r="G97" s="123"/>
      <c r="H97" s="98">
        <v>0.74250000000000005</v>
      </c>
      <c r="I97" s="124"/>
      <c r="J97" s="124" t="s">
        <v>225</v>
      </c>
      <c r="K97" s="124" t="s">
        <v>261</v>
      </c>
      <c r="L97" s="124">
        <v>58.8</v>
      </c>
      <c r="M97" s="124">
        <f t="shared" si="8"/>
        <v>69.08</v>
      </c>
      <c r="N97" s="124"/>
      <c r="O97" s="124">
        <v>0.25</v>
      </c>
      <c r="P97" s="125">
        <f t="shared" si="9"/>
        <v>17.27</v>
      </c>
      <c r="Q97" s="126">
        <v>35000</v>
      </c>
      <c r="R97" s="126">
        <f t="shared" si="10"/>
        <v>604.44999999999993</v>
      </c>
      <c r="S97" s="108">
        <f t="shared" si="4"/>
        <v>3.8765432098765422</v>
      </c>
      <c r="T97" s="124"/>
      <c r="U97" s="124"/>
      <c r="V97" s="124"/>
      <c r="W97" s="124"/>
      <c r="X97" s="124"/>
      <c r="Y97" s="124"/>
      <c r="Z97" s="124"/>
      <c r="AA97" s="124"/>
      <c r="AB97" s="124"/>
      <c r="AC97" s="124"/>
    </row>
    <row r="98" spans="1:29" s="127" customFormat="1" ht="21.95" customHeight="1" x14ac:dyDescent="0.25">
      <c r="A98" s="106">
        <v>96</v>
      </c>
      <c r="B98" s="99"/>
      <c r="C98" s="170" t="s">
        <v>378</v>
      </c>
      <c r="D98" s="170" t="s">
        <v>552</v>
      </c>
      <c r="E98" s="121" t="s">
        <v>641</v>
      </c>
      <c r="F98" s="122" t="s">
        <v>647</v>
      </c>
      <c r="G98" s="123"/>
      <c r="H98" s="98">
        <v>0.74250000000000005</v>
      </c>
      <c r="I98" s="124"/>
      <c r="J98" s="124" t="s">
        <v>232</v>
      </c>
      <c r="K98" s="124" t="s">
        <v>262</v>
      </c>
      <c r="L98" s="124">
        <v>67.61</v>
      </c>
      <c r="M98" s="124">
        <f t="shared" si="8"/>
        <v>78.771000000000001</v>
      </c>
      <c r="N98" s="124"/>
      <c r="O98" s="124">
        <f>1.45*1.45*0.66</f>
        <v>1.3876500000000001</v>
      </c>
      <c r="P98" s="125">
        <f t="shared" si="9"/>
        <v>109.30657815000001</v>
      </c>
      <c r="Q98" s="126">
        <v>120000</v>
      </c>
      <c r="R98" s="126">
        <f t="shared" si="10"/>
        <v>13116.789378000001</v>
      </c>
      <c r="S98" s="108">
        <f t="shared" si="4"/>
        <v>84.122426666666655</v>
      </c>
      <c r="T98" s="124"/>
      <c r="U98" s="124"/>
      <c r="V98" s="124"/>
      <c r="W98" s="124"/>
      <c r="X98" s="124"/>
      <c r="Y98" s="124"/>
      <c r="Z98" s="124"/>
      <c r="AA98" s="124"/>
      <c r="AB98" s="124"/>
      <c r="AC98" s="124"/>
    </row>
    <row r="99" spans="1:29" s="127" customFormat="1" ht="21.95" customHeight="1" x14ac:dyDescent="0.25">
      <c r="A99" s="106">
        <v>97</v>
      </c>
      <c r="B99" s="131">
        <v>42562</v>
      </c>
      <c r="C99" s="170" t="s">
        <v>378</v>
      </c>
      <c r="D99" s="170" t="s">
        <v>552</v>
      </c>
      <c r="E99" s="121" t="s">
        <v>523</v>
      </c>
      <c r="F99" s="122" t="s">
        <v>605</v>
      </c>
      <c r="G99" s="123"/>
      <c r="H99" s="98">
        <v>0.45</v>
      </c>
      <c r="I99" s="124"/>
      <c r="J99" s="124" t="s">
        <v>232</v>
      </c>
      <c r="K99" s="124"/>
      <c r="L99" s="124"/>
      <c r="M99" s="124"/>
      <c r="N99" s="124"/>
      <c r="O99" s="124"/>
      <c r="P99" s="125"/>
      <c r="Q99" s="126"/>
      <c r="R99" s="126"/>
      <c r="S99" s="108"/>
      <c r="T99" s="124"/>
      <c r="U99" s="124"/>
      <c r="V99" s="124"/>
      <c r="W99" s="124"/>
      <c r="X99" s="124"/>
      <c r="Y99" s="124"/>
      <c r="Z99" s="124"/>
      <c r="AA99" s="124"/>
      <c r="AB99" s="124"/>
      <c r="AC99" s="124"/>
    </row>
    <row r="100" spans="1:29" s="127" customFormat="1" ht="21.95" customHeight="1" x14ac:dyDescent="0.25">
      <c r="A100" s="106">
        <v>98</v>
      </c>
      <c r="B100" s="131"/>
      <c r="C100" s="170" t="s">
        <v>378</v>
      </c>
      <c r="D100" s="170" t="s">
        <v>552</v>
      </c>
      <c r="E100" s="121" t="s">
        <v>538</v>
      </c>
      <c r="F100" s="122" t="s">
        <v>621</v>
      </c>
      <c r="G100" s="123"/>
      <c r="H100" s="98">
        <v>0.54</v>
      </c>
      <c r="I100" s="124"/>
      <c r="J100" s="124" t="s">
        <v>232</v>
      </c>
      <c r="K100" s="124"/>
      <c r="L100" s="124"/>
      <c r="M100" s="124"/>
      <c r="N100" s="124"/>
      <c r="O100" s="124"/>
      <c r="P100" s="125"/>
      <c r="Q100" s="126"/>
      <c r="R100" s="126"/>
      <c r="S100" s="108"/>
      <c r="T100" s="124"/>
      <c r="U100" s="124"/>
      <c r="V100" s="124"/>
      <c r="W100" s="124"/>
      <c r="X100" s="124"/>
      <c r="Y100" s="124"/>
      <c r="Z100" s="124"/>
      <c r="AA100" s="124"/>
      <c r="AB100" s="124"/>
      <c r="AC100" s="124"/>
    </row>
    <row r="101" spans="1:29" s="127" customFormat="1" ht="21.95" customHeight="1" x14ac:dyDescent="0.25">
      <c r="A101" s="106">
        <v>99</v>
      </c>
      <c r="B101" s="99"/>
      <c r="C101" s="170" t="s">
        <v>378</v>
      </c>
      <c r="D101" s="170" t="s">
        <v>552</v>
      </c>
      <c r="E101" s="121" t="s">
        <v>542</v>
      </c>
      <c r="F101" s="122" t="s">
        <v>625</v>
      </c>
      <c r="G101" s="123"/>
      <c r="H101" s="98">
        <v>0.68969999999999998</v>
      </c>
      <c r="I101" s="124"/>
      <c r="J101" s="124" t="s">
        <v>232</v>
      </c>
      <c r="K101" s="124" t="s">
        <v>262</v>
      </c>
      <c r="L101" s="124">
        <v>73.602999999999994</v>
      </c>
      <c r="M101" s="124">
        <f t="shared" si="8"/>
        <v>85.363299999999995</v>
      </c>
      <c r="N101" s="124"/>
      <c r="O101" s="124">
        <f>1.45*1.45*0.66</f>
        <v>1.3876500000000001</v>
      </c>
      <c r="P101" s="125">
        <f t="shared" si="9"/>
        <v>118.454383245</v>
      </c>
      <c r="Q101" s="126">
        <v>120000</v>
      </c>
      <c r="R101" s="126">
        <f t="shared" si="10"/>
        <v>14214.525989400001</v>
      </c>
      <c r="S101" s="108">
        <f t="shared" si="4"/>
        <v>98.141538345864674</v>
      </c>
      <c r="T101" s="124"/>
      <c r="U101" s="124"/>
      <c r="V101" s="124"/>
      <c r="W101" s="124"/>
      <c r="X101" s="124"/>
      <c r="Y101" s="124"/>
      <c r="Z101" s="124"/>
      <c r="AA101" s="124"/>
      <c r="AB101" s="124"/>
      <c r="AC101" s="124"/>
    </row>
    <row r="102" spans="1:29" s="127" customFormat="1" ht="21.95" customHeight="1" x14ac:dyDescent="0.25">
      <c r="A102" s="106">
        <v>100</v>
      </c>
      <c r="B102" s="99"/>
      <c r="C102" s="170" t="s">
        <v>378</v>
      </c>
      <c r="D102" s="170" t="s">
        <v>552</v>
      </c>
      <c r="E102" s="121" t="s">
        <v>543</v>
      </c>
      <c r="F102" s="122" t="s">
        <v>626</v>
      </c>
      <c r="G102" s="123"/>
      <c r="H102" s="98">
        <v>0.68969999999999998</v>
      </c>
      <c r="I102" s="124"/>
      <c r="J102" s="124" t="s">
        <v>232</v>
      </c>
      <c r="K102" s="124"/>
      <c r="L102" s="124"/>
      <c r="M102" s="124"/>
      <c r="N102" s="124"/>
      <c r="O102" s="124"/>
      <c r="P102" s="125"/>
      <c r="Q102" s="126"/>
      <c r="R102" s="126"/>
      <c r="S102" s="108"/>
      <c r="T102" s="124"/>
      <c r="U102" s="124"/>
      <c r="V102" s="124"/>
      <c r="W102" s="124"/>
      <c r="X102" s="124"/>
      <c r="Y102" s="124"/>
      <c r="Z102" s="124"/>
      <c r="AA102" s="124"/>
      <c r="AB102" s="124"/>
      <c r="AC102" s="124"/>
    </row>
    <row r="103" spans="1:29" s="127" customFormat="1" ht="21.95" customHeight="1" x14ac:dyDescent="0.25">
      <c r="A103" s="106">
        <v>101</v>
      </c>
      <c r="B103" s="99"/>
      <c r="C103" s="170" t="s">
        <v>378</v>
      </c>
      <c r="D103" s="170" t="s">
        <v>552</v>
      </c>
      <c r="E103" s="121" t="s">
        <v>550</v>
      </c>
      <c r="F103" s="122" t="s">
        <v>633</v>
      </c>
      <c r="G103" s="123"/>
      <c r="H103" s="98">
        <v>0.68969999999999998</v>
      </c>
      <c r="I103" s="124"/>
      <c r="J103" s="124" t="s">
        <v>232</v>
      </c>
      <c r="K103" s="124"/>
      <c r="L103" s="124"/>
      <c r="M103" s="124"/>
      <c r="N103" s="124"/>
      <c r="O103" s="124"/>
      <c r="P103" s="125"/>
      <c r="Q103" s="126"/>
      <c r="R103" s="126"/>
      <c r="S103" s="108"/>
      <c r="T103" s="124"/>
      <c r="U103" s="124"/>
      <c r="V103" s="124"/>
      <c r="W103" s="124"/>
      <c r="X103" s="124"/>
      <c r="Y103" s="124"/>
      <c r="Z103" s="124"/>
      <c r="AA103" s="124"/>
      <c r="AB103" s="124"/>
      <c r="AC103" s="124"/>
    </row>
    <row r="104" spans="1:29" s="127" customFormat="1" ht="21.95" customHeight="1" x14ac:dyDescent="0.25">
      <c r="A104" s="106">
        <v>102</v>
      </c>
      <c r="B104" s="99"/>
      <c r="C104" s="170" t="s">
        <v>378</v>
      </c>
      <c r="D104" s="170" t="s">
        <v>552</v>
      </c>
      <c r="E104" s="121" t="s">
        <v>551</v>
      </c>
      <c r="F104" s="122" t="s">
        <v>634</v>
      </c>
      <c r="G104" s="123"/>
      <c r="H104" s="98">
        <v>0.68969999999999998</v>
      </c>
      <c r="I104" s="124"/>
      <c r="J104" s="124" t="s">
        <v>232</v>
      </c>
      <c r="K104" s="124"/>
      <c r="L104" s="124"/>
      <c r="M104" s="124"/>
      <c r="N104" s="124"/>
      <c r="O104" s="124"/>
      <c r="P104" s="125"/>
      <c r="Q104" s="126"/>
      <c r="R104" s="126"/>
      <c r="S104" s="108"/>
      <c r="T104" s="124"/>
      <c r="U104" s="124"/>
      <c r="V104" s="124"/>
      <c r="W104" s="124"/>
      <c r="X104" s="124"/>
      <c r="Y104" s="124"/>
      <c r="Z104" s="124"/>
      <c r="AA104" s="124"/>
      <c r="AB104" s="124"/>
      <c r="AC104" s="124"/>
    </row>
    <row r="105" spans="1:29" s="127" customFormat="1" ht="21.95" customHeight="1" x14ac:dyDescent="0.25">
      <c r="A105" s="106">
        <v>103</v>
      </c>
      <c r="B105" s="99"/>
      <c r="C105" s="170" t="s">
        <v>378</v>
      </c>
      <c r="D105" s="170" t="s">
        <v>552</v>
      </c>
      <c r="E105" s="121" t="s">
        <v>679</v>
      </c>
      <c r="F105" s="122" t="s">
        <v>680</v>
      </c>
      <c r="G105" s="123"/>
      <c r="H105" s="98">
        <v>0.59</v>
      </c>
      <c r="I105" s="124"/>
      <c r="J105" s="124" t="s">
        <v>232</v>
      </c>
      <c r="K105" s="124" t="s">
        <v>263</v>
      </c>
      <c r="L105" s="124">
        <v>80.12</v>
      </c>
      <c r="M105" s="124">
        <f>(L105+(IF(K105&lt;=4,1.5,IF(K105&lt;=7,2,IF(K105&lt;=11,2.5,IF(K105&lt;=19,3,IF(K105&lt;=25,3.5,4)))))))*1.1</f>
        <v>92.532000000000011</v>
      </c>
      <c r="N105" s="124"/>
      <c r="O105" s="124">
        <f>1.56*1.56*0.66</f>
        <v>1.6061760000000003</v>
      </c>
      <c r="P105" s="125">
        <f>M105*O105</f>
        <v>148.62267763200003</v>
      </c>
      <c r="Q105" s="126">
        <v>120000</v>
      </c>
      <c r="R105" s="126">
        <f>Q105/1000*P105</f>
        <v>17834.721315840005</v>
      </c>
      <c r="S105" s="108">
        <f>IF(G105&lt;&gt;0,R105/G105*100,R105/(H105*21000)*100)</f>
        <v>143.94448196803879</v>
      </c>
      <c r="T105" s="124"/>
      <c r="U105" s="124"/>
      <c r="V105" s="124"/>
      <c r="W105" s="124"/>
      <c r="X105" s="124"/>
      <c r="Y105" s="124"/>
      <c r="Z105" s="124"/>
      <c r="AA105" s="124"/>
      <c r="AB105" s="124"/>
      <c r="AC105" s="124"/>
    </row>
    <row r="106" spans="1:29" s="127" customFormat="1" ht="21.95" customHeight="1" x14ac:dyDescent="0.25">
      <c r="A106" s="106">
        <v>104</v>
      </c>
      <c r="B106" s="99"/>
      <c r="C106" s="170" t="s">
        <v>378</v>
      </c>
      <c r="D106" s="170" t="s">
        <v>552</v>
      </c>
      <c r="E106" s="110" t="s">
        <v>681</v>
      </c>
      <c r="F106" s="122" t="s">
        <v>682</v>
      </c>
      <c r="G106" s="123"/>
      <c r="H106" s="98">
        <v>0.59</v>
      </c>
      <c r="I106" s="124"/>
      <c r="J106" s="124" t="s">
        <v>232</v>
      </c>
      <c r="K106" s="124" t="s">
        <v>263</v>
      </c>
      <c r="L106" s="124">
        <v>80.12</v>
      </c>
      <c r="M106" s="124">
        <f>(L106+(IF(K106&lt;=4,1.5,IF(K106&lt;=7,2,IF(K106&lt;=11,2.5,IF(K106&lt;=19,3,IF(K106&lt;=25,3.5,4)))))))*1.1</f>
        <v>92.532000000000011</v>
      </c>
      <c r="N106" s="124"/>
      <c r="O106" s="124">
        <f>1.56*1.56*0.66</f>
        <v>1.6061760000000003</v>
      </c>
      <c r="P106" s="125">
        <f>M106*O106</f>
        <v>148.62267763200003</v>
      </c>
      <c r="Q106" s="126">
        <v>120000</v>
      </c>
      <c r="R106" s="126">
        <f>Q106/1000*P106</f>
        <v>17834.721315840005</v>
      </c>
      <c r="S106" s="108">
        <f>IF(G106&lt;&gt;0,R106/G106*100,R106/(H106*21000)*100)</f>
        <v>143.94448196803879</v>
      </c>
      <c r="T106" s="124"/>
      <c r="U106" s="124"/>
      <c r="V106" s="124"/>
      <c r="W106" s="124"/>
      <c r="X106" s="124"/>
      <c r="Y106" s="124"/>
      <c r="Z106" s="124"/>
      <c r="AA106" s="124"/>
      <c r="AB106" s="124"/>
      <c r="AC106" s="124"/>
    </row>
    <row r="107" spans="1:29" s="127" customFormat="1" ht="21.95" customHeight="1" x14ac:dyDescent="0.25">
      <c r="A107" s="106">
        <v>105</v>
      </c>
      <c r="B107" s="99"/>
      <c r="C107" s="170" t="s">
        <v>378</v>
      </c>
      <c r="D107" s="170" t="s">
        <v>552</v>
      </c>
      <c r="E107" s="121" t="s">
        <v>683</v>
      </c>
      <c r="F107" s="122" t="s">
        <v>684</v>
      </c>
      <c r="G107" s="123"/>
      <c r="H107" s="98">
        <v>0.59</v>
      </c>
      <c r="I107" s="124"/>
      <c r="J107" s="124" t="s">
        <v>232</v>
      </c>
      <c r="K107" s="124" t="s">
        <v>263</v>
      </c>
      <c r="L107" s="124">
        <v>80.12</v>
      </c>
      <c r="M107" s="124">
        <f t="shared" si="8"/>
        <v>92.532000000000011</v>
      </c>
      <c r="N107" s="124"/>
      <c r="O107" s="124">
        <f>1.56*1.56*0.66</f>
        <v>1.6061760000000003</v>
      </c>
      <c r="P107" s="125">
        <f t="shared" si="9"/>
        <v>148.62267763200003</v>
      </c>
      <c r="Q107" s="126">
        <v>120000</v>
      </c>
      <c r="R107" s="126">
        <f t="shared" si="10"/>
        <v>17834.721315840005</v>
      </c>
      <c r="S107" s="108">
        <f t="shared" si="4"/>
        <v>143.94448196803879</v>
      </c>
      <c r="T107" s="124"/>
      <c r="U107" s="124"/>
      <c r="V107" s="124"/>
      <c r="W107" s="124"/>
      <c r="X107" s="124"/>
      <c r="Y107" s="124"/>
      <c r="Z107" s="124"/>
      <c r="AA107" s="124"/>
      <c r="AB107" s="124"/>
      <c r="AC107" s="124"/>
    </row>
    <row r="108" spans="1:29" s="127" customFormat="1" ht="21.95" customHeight="1" x14ac:dyDescent="0.25">
      <c r="A108" s="106">
        <v>106</v>
      </c>
      <c r="B108" s="99"/>
      <c r="C108" s="170" t="s">
        <v>378</v>
      </c>
      <c r="D108" s="170" t="s">
        <v>552</v>
      </c>
      <c r="E108" s="121" t="s">
        <v>685</v>
      </c>
      <c r="F108" s="122" t="s">
        <v>686</v>
      </c>
      <c r="G108" s="123"/>
      <c r="H108" s="98">
        <v>0.59</v>
      </c>
      <c r="I108" s="124"/>
      <c r="J108" s="124" t="s">
        <v>232</v>
      </c>
      <c r="K108" s="124" t="s">
        <v>263</v>
      </c>
      <c r="L108" s="124">
        <v>80.12</v>
      </c>
      <c r="M108" s="124">
        <f>(L108+(IF(K108&lt;=4,1.5,IF(K108&lt;=7,2,IF(K108&lt;=11,2.5,IF(K108&lt;=19,3,IF(K108&lt;=25,3.5,4)))))))*1.1</f>
        <v>92.532000000000011</v>
      </c>
      <c r="N108" s="124"/>
      <c r="O108" s="124">
        <f>1.56*1.56*0.66</f>
        <v>1.6061760000000003</v>
      </c>
      <c r="P108" s="125">
        <f>M108*O108</f>
        <v>148.62267763200003</v>
      </c>
      <c r="Q108" s="126">
        <v>120000</v>
      </c>
      <c r="R108" s="126">
        <f>Q108/1000*P108</f>
        <v>17834.721315840005</v>
      </c>
      <c r="S108" s="108">
        <f>IF(G108&lt;&gt;0,R108/G108*100,R108/(H108*21000)*100)</f>
        <v>143.94448196803879</v>
      </c>
      <c r="T108" s="124"/>
      <c r="U108" s="124"/>
      <c r="V108" s="124"/>
      <c r="W108" s="124"/>
      <c r="X108" s="124"/>
      <c r="Y108" s="124"/>
      <c r="Z108" s="124"/>
      <c r="AA108" s="124"/>
      <c r="AB108" s="124"/>
      <c r="AC108" s="124"/>
    </row>
    <row r="109" spans="1:29" s="127" customFormat="1" ht="21.95" customHeight="1" x14ac:dyDescent="0.25">
      <c r="A109" s="106">
        <v>107</v>
      </c>
      <c r="B109" s="99"/>
      <c r="C109" s="170" t="s">
        <v>378</v>
      </c>
      <c r="D109" s="170" t="s">
        <v>552</v>
      </c>
      <c r="E109" s="121" t="s">
        <v>687</v>
      </c>
      <c r="F109" s="122" t="s">
        <v>688</v>
      </c>
      <c r="G109" s="123"/>
      <c r="H109" s="98">
        <v>0.59</v>
      </c>
      <c r="I109" s="124"/>
      <c r="J109" s="124" t="s">
        <v>232</v>
      </c>
      <c r="K109" s="124" t="s">
        <v>263</v>
      </c>
      <c r="L109" s="124">
        <v>80.12</v>
      </c>
      <c r="M109" s="124">
        <f>(L109+(IF(K109&lt;=4,1.5,IF(K109&lt;=7,2,IF(K109&lt;=11,2.5,IF(K109&lt;=19,3,IF(K109&lt;=25,3.5,4)))))))*1.1</f>
        <v>92.532000000000011</v>
      </c>
      <c r="N109" s="124"/>
      <c r="O109" s="124">
        <f>1.56*1.56*0.66</f>
        <v>1.6061760000000003</v>
      </c>
      <c r="P109" s="125">
        <f>M109*O109</f>
        <v>148.62267763200003</v>
      </c>
      <c r="Q109" s="126">
        <v>120000</v>
      </c>
      <c r="R109" s="126">
        <f>Q109/1000*P109</f>
        <v>17834.721315840005</v>
      </c>
      <c r="S109" s="108">
        <f>IF(G109&lt;&gt;0,R109/G109*100,R109/(H109*21000)*100)</f>
        <v>143.94448196803879</v>
      </c>
      <c r="T109" s="124"/>
      <c r="U109" s="124"/>
      <c r="V109" s="124"/>
      <c r="W109" s="124"/>
      <c r="X109" s="124"/>
      <c r="Y109" s="124"/>
      <c r="Z109" s="124"/>
      <c r="AA109" s="124"/>
      <c r="AB109" s="124"/>
      <c r="AC109" s="124"/>
    </row>
    <row r="110" spans="1:29" s="127" customFormat="1" ht="21.95" customHeight="1" x14ac:dyDescent="0.25">
      <c r="A110" s="106">
        <v>108</v>
      </c>
      <c r="B110" s="99"/>
      <c r="C110" s="170" t="s">
        <v>378</v>
      </c>
      <c r="D110" s="170" t="s">
        <v>552</v>
      </c>
      <c r="E110" s="121" t="s">
        <v>689</v>
      </c>
      <c r="F110" s="122" t="s">
        <v>690</v>
      </c>
      <c r="G110" s="123"/>
      <c r="H110" s="98">
        <v>0.44</v>
      </c>
      <c r="I110" s="124"/>
      <c r="J110" s="124" t="s">
        <v>232</v>
      </c>
      <c r="K110" s="124" t="s">
        <v>264</v>
      </c>
      <c r="L110" s="124">
        <v>65.430000000000007</v>
      </c>
      <c r="M110" s="124">
        <f t="shared" si="8"/>
        <v>76.373000000000019</v>
      </c>
      <c r="N110" s="124"/>
      <c r="O110" s="124">
        <f>1.66*1.66*0.66</f>
        <v>1.8186959999999999</v>
      </c>
      <c r="P110" s="125">
        <f t="shared" si="9"/>
        <v>138.89926960800003</v>
      </c>
      <c r="Q110" s="126">
        <v>120000</v>
      </c>
      <c r="R110" s="126">
        <f t="shared" si="10"/>
        <v>16667.912352960004</v>
      </c>
      <c r="S110" s="108">
        <f t="shared" si="4"/>
        <v>180.38866182857149</v>
      </c>
      <c r="T110" s="124"/>
      <c r="U110" s="124"/>
      <c r="V110" s="124"/>
      <c r="W110" s="124"/>
      <c r="X110" s="124"/>
      <c r="Y110" s="124"/>
      <c r="Z110" s="124"/>
      <c r="AA110" s="124"/>
      <c r="AB110" s="124"/>
      <c r="AC110" s="124"/>
    </row>
    <row r="111" spans="1:29" s="127" customFormat="1" ht="21.95" customHeight="1" x14ac:dyDescent="0.25">
      <c r="A111" s="106">
        <v>109</v>
      </c>
      <c r="B111" s="99"/>
      <c r="C111" s="170" t="s">
        <v>378</v>
      </c>
      <c r="D111" s="170" t="s">
        <v>552</v>
      </c>
      <c r="E111" s="121" t="s">
        <v>691</v>
      </c>
      <c r="F111" s="122" t="s">
        <v>692</v>
      </c>
      <c r="G111" s="123"/>
      <c r="H111" s="98">
        <v>0.44</v>
      </c>
      <c r="I111" s="124"/>
      <c r="J111" s="124" t="s">
        <v>232</v>
      </c>
      <c r="K111" s="124" t="s">
        <v>264</v>
      </c>
      <c r="L111" s="124">
        <v>76.349999999999994</v>
      </c>
      <c r="M111" s="124">
        <f t="shared" si="8"/>
        <v>88.385000000000005</v>
      </c>
      <c r="N111" s="124"/>
      <c r="O111" s="124">
        <f>1.66*1.66*0.66</f>
        <v>1.8186959999999999</v>
      </c>
      <c r="P111" s="125">
        <f t="shared" si="9"/>
        <v>160.74544595999998</v>
      </c>
      <c r="Q111" s="126">
        <v>120000</v>
      </c>
      <c r="R111" s="126">
        <f t="shared" si="10"/>
        <v>19289.453515199999</v>
      </c>
      <c r="S111" s="108">
        <f t="shared" si="4"/>
        <v>208.76031942857142</v>
      </c>
      <c r="T111" s="124"/>
      <c r="U111" s="124"/>
      <c r="V111" s="124"/>
      <c r="W111" s="124"/>
      <c r="X111" s="124"/>
      <c r="Y111" s="124"/>
      <c r="Z111" s="124"/>
      <c r="AA111" s="124"/>
      <c r="AB111" s="124"/>
      <c r="AC111" s="124"/>
    </row>
    <row r="112" spans="1:29" s="127" customFormat="1" ht="21.95" customHeight="1" x14ac:dyDescent="0.25">
      <c r="A112" s="106">
        <v>110</v>
      </c>
      <c r="B112" s="99"/>
      <c r="C112" s="170" t="s">
        <v>378</v>
      </c>
      <c r="D112" s="170" t="s">
        <v>552</v>
      </c>
      <c r="E112" s="121" t="s">
        <v>693</v>
      </c>
      <c r="F112" s="122" t="s">
        <v>694</v>
      </c>
      <c r="G112" s="123"/>
      <c r="H112" s="98">
        <v>0.44</v>
      </c>
      <c r="I112" s="124"/>
      <c r="J112" s="124" t="s">
        <v>232</v>
      </c>
      <c r="K112" s="124" t="s">
        <v>265</v>
      </c>
      <c r="L112" s="124">
        <v>107.7</v>
      </c>
      <c r="M112" s="124">
        <f t="shared" si="8"/>
        <v>122.87000000000002</v>
      </c>
      <c r="N112" s="124">
        <v>18</v>
      </c>
      <c r="O112" s="124">
        <f>1.8*1.8*0.66</f>
        <v>2.1384000000000003</v>
      </c>
      <c r="P112" s="125">
        <f t="shared" si="9"/>
        <v>262.7452080000001</v>
      </c>
      <c r="Q112" s="126">
        <v>120000</v>
      </c>
      <c r="R112" s="126">
        <f t="shared" si="10"/>
        <v>31529.424960000011</v>
      </c>
      <c r="S112" s="108">
        <f t="shared" si="4"/>
        <v>341.22754285714296</v>
      </c>
      <c r="T112" s="124"/>
      <c r="U112" s="124"/>
      <c r="V112" s="124"/>
      <c r="W112" s="124"/>
      <c r="X112" s="124"/>
      <c r="Y112" s="124"/>
      <c r="Z112" s="124"/>
      <c r="AA112" s="124"/>
      <c r="AB112" s="124"/>
      <c r="AC112" s="124"/>
    </row>
    <row r="113" spans="1:29" s="127" customFormat="1" ht="21.95" customHeight="1" x14ac:dyDescent="0.25">
      <c r="A113" s="106">
        <v>111</v>
      </c>
      <c r="B113" s="99"/>
      <c r="C113" s="170" t="s">
        <v>378</v>
      </c>
      <c r="D113" s="170" t="s">
        <v>552</v>
      </c>
      <c r="E113" s="121" t="s">
        <v>695</v>
      </c>
      <c r="F113" s="122" t="s">
        <v>696</v>
      </c>
      <c r="G113" s="123"/>
      <c r="H113" s="98">
        <v>0.44</v>
      </c>
      <c r="I113" s="124"/>
      <c r="J113" s="124" t="s">
        <v>232</v>
      </c>
      <c r="K113" s="124" t="s">
        <v>266</v>
      </c>
      <c r="L113" s="124">
        <v>108</v>
      </c>
      <c r="M113" s="124">
        <f t="shared" si="8"/>
        <v>123.20000000000002</v>
      </c>
      <c r="N113" s="124">
        <v>19</v>
      </c>
      <c r="O113" s="124">
        <f>1.9*1.9*0.66</f>
        <v>2.3826000000000001</v>
      </c>
      <c r="P113" s="125">
        <f t="shared" si="9"/>
        <v>293.53632000000005</v>
      </c>
      <c r="Q113" s="126">
        <v>120000</v>
      </c>
      <c r="R113" s="126">
        <f t="shared" si="10"/>
        <v>35224.358400000005</v>
      </c>
      <c r="S113" s="108">
        <f t="shared" si="4"/>
        <v>381.21600000000007</v>
      </c>
      <c r="T113" s="124"/>
      <c r="U113" s="124"/>
      <c r="V113" s="124"/>
      <c r="W113" s="124"/>
      <c r="X113" s="124"/>
      <c r="Y113" s="124"/>
      <c r="Z113" s="124"/>
      <c r="AA113" s="124"/>
      <c r="AB113" s="124"/>
      <c r="AC113" s="124"/>
    </row>
    <row r="114" spans="1:29" s="127" customFormat="1" ht="21.95" customHeight="1" x14ac:dyDescent="0.25">
      <c r="A114" s="106">
        <v>112</v>
      </c>
      <c r="B114" s="99"/>
      <c r="C114" s="170" t="s">
        <v>378</v>
      </c>
      <c r="D114" s="170" t="s">
        <v>552</v>
      </c>
      <c r="E114" s="156" t="s">
        <v>697</v>
      </c>
      <c r="F114" s="122" t="s">
        <v>698</v>
      </c>
      <c r="G114" s="97"/>
      <c r="H114" s="98">
        <v>0.44</v>
      </c>
      <c r="I114" s="132"/>
      <c r="J114" s="132"/>
      <c r="K114" s="132"/>
      <c r="L114" s="132"/>
      <c r="M114" s="132"/>
      <c r="N114" s="132"/>
      <c r="O114" s="132"/>
      <c r="P114" s="133"/>
      <c r="Q114" s="134"/>
      <c r="R114" s="134"/>
      <c r="S114" s="111"/>
      <c r="T114" s="132"/>
      <c r="U114" s="132"/>
      <c r="V114" s="132"/>
      <c r="W114" s="132"/>
      <c r="X114" s="132"/>
      <c r="Y114" s="132"/>
      <c r="Z114" s="132"/>
      <c r="AA114" s="132"/>
      <c r="AB114" s="132"/>
      <c r="AC114" s="132"/>
    </row>
    <row r="115" spans="1:29" x14ac:dyDescent="0.25">
      <c r="A115" s="106">
        <v>113</v>
      </c>
      <c r="B115" s="157"/>
      <c r="C115" s="170" t="s">
        <v>378</v>
      </c>
      <c r="D115" s="170" t="s">
        <v>552</v>
      </c>
      <c r="E115" s="158" t="s">
        <v>699</v>
      </c>
      <c r="F115" s="136" t="s">
        <v>700</v>
      </c>
      <c r="G115" s="143"/>
      <c r="H115" s="115">
        <v>0.54</v>
      </c>
      <c r="I115" s="138"/>
      <c r="J115" s="138"/>
      <c r="K115" s="138"/>
      <c r="L115" s="138"/>
      <c r="M115" s="138"/>
      <c r="N115" s="138"/>
      <c r="O115" s="138"/>
      <c r="P115" s="139"/>
      <c r="Q115" s="140"/>
      <c r="R115" s="140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20"/>
    </row>
    <row r="116" spans="1:29" x14ac:dyDescent="0.25">
      <c r="A116" s="106">
        <v>114</v>
      </c>
      <c r="B116" s="157"/>
      <c r="C116" s="170" t="s">
        <v>378</v>
      </c>
      <c r="D116" s="170" t="s">
        <v>552</v>
      </c>
      <c r="E116" s="159" t="s">
        <v>701</v>
      </c>
      <c r="F116" s="136" t="s">
        <v>702</v>
      </c>
      <c r="G116" s="143"/>
      <c r="H116" s="98">
        <v>0.54</v>
      </c>
      <c r="I116" s="138"/>
      <c r="J116" s="138"/>
      <c r="K116" s="138"/>
      <c r="L116" s="138"/>
      <c r="M116" s="138"/>
      <c r="N116" s="138"/>
      <c r="O116" s="138"/>
      <c r="P116" s="139"/>
      <c r="Q116" s="140"/>
      <c r="R116" s="140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20"/>
    </row>
    <row r="117" spans="1:29" x14ac:dyDescent="0.25">
      <c r="A117" s="106">
        <v>115</v>
      </c>
      <c r="B117" s="157"/>
      <c r="C117" s="170" t="s">
        <v>378</v>
      </c>
      <c r="D117" s="170" t="s">
        <v>552</v>
      </c>
      <c r="E117" s="159" t="s">
        <v>703</v>
      </c>
      <c r="F117" s="136" t="s">
        <v>704</v>
      </c>
      <c r="G117" s="143"/>
      <c r="H117" s="98">
        <v>0.54</v>
      </c>
      <c r="I117" s="138"/>
      <c r="J117" s="138"/>
      <c r="K117" s="138"/>
      <c r="L117" s="138"/>
      <c r="M117" s="138"/>
      <c r="N117" s="138"/>
      <c r="O117" s="138"/>
      <c r="P117" s="139"/>
      <c r="Q117" s="140"/>
      <c r="R117" s="140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20"/>
    </row>
    <row r="118" spans="1:29" x14ac:dyDescent="0.25">
      <c r="A118" s="106">
        <v>116</v>
      </c>
      <c r="B118" s="157"/>
      <c r="C118" s="170" t="s">
        <v>378</v>
      </c>
      <c r="D118" s="170" t="s">
        <v>552</v>
      </c>
      <c r="E118" s="142" t="s">
        <v>705</v>
      </c>
      <c r="F118" s="136" t="s">
        <v>706</v>
      </c>
      <c r="G118" s="143"/>
      <c r="H118" s="109">
        <v>0.54</v>
      </c>
      <c r="I118" s="138"/>
      <c r="J118" s="138"/>
      <c r="K118" s="138"/>
      <c r="L118" s="138"/>
      <c r="M118" s="138"/>
      <c r="N118" s="138"/>
      <c r="O118" s="138"/>
      <c r="P118" s="139"/>
      <c r="Q118" s="140"/>
      <c r="R118" s="140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20"/>
    </row>
    <row r="119" spans="1:29" x14ac:dyDescent="0.25">
      <c r="A119" s="106">
        <v>117</v>
      </c>
      <c r="B119" s="157"/>
      <c r="C119" s="170" t="s">
        <v>378</v>
      </c>
      <c r="D119" s="170" t="s">
        <v>552</v>
      </c>
      <c r="E119" s="142" t="s">
        <v>707</v>
      </c>
      <c r="F119" s="136" t="s">
        <v>708</v>
      </c>
      <c r="G119" s="143"/>
      <c r="H119" s="109">
        <v>0.54</v>
      </c>
      <c r="I119" s="138"/>
      <c r="J119" s="138"/>
      <c r="K119" s="138"/>
      <c r="L119" s="138"/>
      <c r="M119" s="138"/>
      <c r="N119" s="138"/>
      <c r="O119" s="138"/>
      <c r="P119" s="139"/>
      <c r="Q119" s="140"/>
      <c r="R119" s="140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20"/>
    </row>
    <row r="120" spans="1:29" x14ac:dyDescent="0.25">
      <c r="A120" s="106">
        <v>118</v>
      </c>
      <c r="B120" s="157"/>
      <c r="C120" s="170" t="s">
        <v>378</v>
      </c>
      <c r="D120" s="170" t="s">
        <v>552</v>
      </c>
      <c r="E120" s="142" t="s">
        <v>709</v>
      </c>
      <c r="F120" s="136" t="s">
        <v>710</v>
      </c>
      <c r="G120" s="143"/>
      <c r="H120" s="115">
        <v>0.54</v>
      </c>
      <c r="I120" s="138"/>
      <c r="J120" s="138"/>
      <c r="K120" s="138"/>
      <c r="L120" s="138"/>
      <c r="M120" s="138"/>
      <c r="N120" s="138"/>
      <c r="O120" s="138"/>
      <c r="P120" s="139"/>
      <c r="Q120" s="140"/>
      <c r="R120" s="140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20"/>
    </row>
    <row r="121" spans="1:29" x14ac:dyDescent="0.25">
      <c r="A121" s="106">
        <v>119</v>
      </c>
      <c r="B121" s="157"/>
      <c r="C121" s="170" t="s">
        <v>378</v>
      </c>
      <c r="D121" s="170" t="s">
        <v>552</v>
      </c>
      <c r="E121" s="142" t="s">
        <v>738</v>
      </c>
      <c r="F121" s="136" t="s">
        <v>739</v>
      </c>
      <c r="G121" s="143"/>
      <c r="H121" s="115">
        <v>0.56999999999999995</v>
      </c>
      <c r="I121" s="138"/>
      <c r="J121" s="138"/>
      <c r="K121" s="138"/>
      <c r="L121" s="138"/>
      <c r="M121" s="138"/>
      <c r="N121" s="138"/>
      <c r="O121" s="138"/>
      <c r="P121" s="139"/>
      <c r="Q121" s="140"/>
      <c r="R121" s="140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20"/>
    </row>
    <row r="122" spans="1:29" x14ac:dyDescent="0.25">
      <c r="A122" s="106">
        <v>120</v>
      </c>
      <c r="B122" s="157"/>
      <c r="C122" s="170" t="s">
        <v>378</v>
      </c>
      <c r="D122" s="170" t="s">
        <v>552</v>
      </c>
      <c r="E122" s="142" t="s">
        <v>740</v>
      </c>
      <c r="F122" s="136" t="s">
        <v>741</v>
      </c>
      <c r="G122" s="143"/>
      <c r="H122" s="98">
        <v>2.4249999999999998</v>
      </c>
      <c r="I122" s="138"/>
      <c r="J122" s="138"/>
      <c r="K122" s="138"/>
      <c r="L122" s="138"/>
      <c r="M122" s="138"/>
      <c r="N122" s="138"/>
      <c r="O122" s="138"/>
      <c r="P122" s="139"/>
      <c r="Q122" s="140"/>
      <c r="R122" s="140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20"/>
    </row>
    <row r="123" spans="1:29" x14ac:dyDescent="0.25">
      <c r="A123" s="106">
        <v>121</v>
      </c>
      <c r="B123" s="157"/>
      <c r="C123" s="170" t="s">
        <v>378</v>
      </c>
      <c r="D123" s="170" t="s">
        <v>552</v>
      </c>
      <c r="E123" s="142" t="s">
        <v>742</v>
      </c>
      <c r="F123" s="136" t="s">
        <v>743</v>
      </c>
      <c r="G123" s="143"/>
      <c r="H123" s="98">
        <v>2.4249999999999998</v>
      </c>
      <c r="I123" s="138"/>
      <c r="J123" s="138"/>
      <c r="K123" s="138"/>
      <c r="L123" s="138"/>
      <c r="M123" s="138"/>
      <c r="N123" s="138"/>
      <c r="O123" s="138"/>
      <c r="P123" s="139"/>
      <c r="Q123" s="140"/>
      <c r="R123" s="140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20"/>
    </row>
    <row r="124" spans="1:29" x14ac:dyDescent="0.25">
      <c r="A124" s="106">
        <v>122</v>
      </c>
      <c r="B124" s="157"/>
      <c r="C124" s="170" t="s">
        <v>378</v>
      </c>
      <c r="D124" s="170" t="s">
        <v>552</v>
      </c>
      <c r="E124" s="142" t="s">
        <v>744</v>
      </c>
      <c r="F124" s="136" t="s">
        <v>745</v>
      </c>
      <c r="G124" s="143"/>
      <c r="H124" s="115">
        <v>2.5249999999999999</v>
      </c>
      <c r="I124" s="138"/>
      <c r="J124" s="138"/>
      <c r="K124" s="138"/>
      <c r="L124" s="138"/>
      <c r="M124" s="138"/>
      <c r="N124" s="138"/>
      <c r="O124" s="138"/>
      <c r="P124" s="139"/>
      <c r="Q124" s="140"/>
      <c r="R124" s="140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20"/>
    </row>
    <row r="125" spans="1:29" x14ac:dyDescent="0.25">
      <c r="A125" s="106">
        <v>123</v>
      </c>
      <c r="B125" s="157"/>
      <c r="C125" s="170" t="s">
        <v>378</v>
      </c>
      <c r="D125" s="170" t="s">
        <v>552</v>
      </c>
      <c r="E125" s="142" t="s">
        <v>746</v>
      </c>
      <c r="F125" s="136" t="s">
        <v>747</v>
      </c>
      <c r="G125" s="143"/>
      <c r="H125" s="115">
        <v>0.44</v>
      </c>
      <c r="I125" s="138"/>
      <c r="J125" s="138"/>
      <c r="K125" s="138"/>
      <c r="L125" s="138"/>
      <c r="M125" s="138"/>
      <c r="N125" s="138"/>
      <c r="O125" s="138"/>
      <c r="P125" s="139"/>
      <c r="Q125" s="140"/>
      <c r="R125" s="140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20"/>
    </row>
    <row r="126" spans="1:29" x14ac:dyDescent="0.25">
      <c r="A126" s="106">
        <v>124</v>
      </c>
      <c r="B126" s="157"/>
      <c r="C126" s="170" t="s">
        <v>378</v>
      </c>
      <c r="D126" s="170" t="s">
        <v>552</v>
      </c>
      <c r="E126" s="142" t="s">
        <v>748</v>
      </c>
      <c r="F126" s="136" t="s">
        <v>749</v>
      </c>
      <c r="G126" s="143"/>
      <c r="H126" s="115">
        <v>0.85</v>
      </c>
      <c r="I126" s="138"/>
      <c r="J126" s="138"/>
      <c r="K126" s="138"/>
      <c r="L126" s="138"/>
      <c r="M126" s="138"/>
      <c r="N126" s="138"/>
      <c r="O126" s="138"/>
      <c r="P126" s="139"/>
      <c r="Q126" s="140"/>
      <c r="R126" s="140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20"/>
    </row>
    <row r="127" spans="1:29" x14ac:dyDescent="0.25">
      <c r="A127" s="106">
        <v>125</v>
      </c>
      <c r="B127" s="157"/>
      <c r="C127" s="170" t="s">
        <v>378</v>
      </c>
      <c r="D127" s="170" t="s">
        <v>552</v>
      </c>
      <c r="E127" s="142" t="s">
        <v>524</v>
      </c>
      <c r="F127" s="136" t="s">
        <v>606</v>
      </c>
      <c r="G127" s="143"/>
      <c r="H127" s="115">
        <v>0.74250000000000005</v>
      </c>
      <c r="I127" s="138"/>
      <c r="J127" s="138"/>
      <c r="K127" s="138"/>
      <c r="L127" s="138"/>
      <c r="M127" s="138"/>
      <c r="N127" s="138"/>
      <c r="O127" s="138"/>
      <c r="P127" s="139"/>
      <c r="Q127" s="140"/>
      <c r="R127" s="140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20"/>
    </row>
    <row r="128" spans="1:29" x14ac:dyDescent="0.25">
      <c r="A128" s="106">
        <v>126</v>
      </c>
      <c r="B128" s="157"/>
      <c r="C128" s="170" t="s">
        <v>378</v>
      </c>
      <c r="D128" s="170" t="s">
        <v>552</v>
      </c>
      <c r="E128" s="147" t="s">
        <v>525</v>
      </c>
      <c r="F128" s="144" t="s">
        <v>607</v>
      </c>
      <c r="G128" s="148"/>
      <c r="H128" s="116">
        <v>0.74250000000000005</v>
      </c>
      <c r="I128" s="138"/>
      <c r="J128" s="138"/>
      <c r="K128" s="138"/>
      <c r="L128" s="138"/>
      <c r="M128" s="138"/>
      <c r="N128" s="138"/>
      <c r="O128" s="138"/>
      <c r="P128" s="139"/>
      <c r="Q128" s="140"/>
      <c r="R128" s="140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20"/>
    </row>
    <row r="129" spans="1:29" x14ac:dyDescent="0.25">
      <c r="A129" s="106">
        <v>127</v>
      </c>
      <c r="B129" s="157"/>
      <c r="C129" s="170" t="s">
        <v>378</v>
      </c>
      <c r="D129" s="170" t="s">
        <v>552</v>
      </c>
      <c r="E129" s="142" t="s">
        <v>526</v>
      </c>
      <c r="F129" s="136" t="s">
        <v>608</v>
      </c>
      <c r="G129" s="143"/>
      <c r="H129" s="115">
        <v>0.48980000000000001</v>
      </c>
      <c r="I129" s="138"/>
      <c r="J129" s="138"/>
      <c r="K129" s="138"/>
      <c r="L129" s="138"/>
      <c r="M129" s="138"/>
      <c r="N129" s="138"/>
      <c r="O129" s="138"/>
      <c r="P129" s="139"/>
      <c r="Q129" s="140"/>
      <c r="R129" s="140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20"/>
    </row>
    <row r="130" spans="1:29" x14ac:dyDescent="0.25">
      <c r="A130" s="106">
        <v>128</v>
      </c>
      <c r="B130" s="157"/>
      <c r="C130" s="170" t="s">
        <v>378</v>
      </c>
      <c r="D130" s="170" t="s">
        <v>552</v>
      </c>
      <c r="E130" s="145" t="s">
        <v>527</v>
      </c>
      <c r="F130" s="136" t="s">
        <v>609</v>
      </c>
      <c r="G130" s="143"/>
      <c r="H130" s="115">
        <v>0.49469999999999997</v>
      </c>
      <c r="I130" s="138"/>
      <c r="J130" s="138"/>
      <c r="K130" s="138"/>
      <c r="L130" s="138"/>
      <c r="M130" s="138"/>
      <c r="N130" s="138"/>
      <c r="O130" s="138"/>
      <c r="P130" s="139"/>
      <c r="Q130" s="140"/>
      <c r="R130" s="140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20"/>
    </row>
    <row r="131" spans="1:29" x14ac:dyDescent="0.25">
      <c r="A131" s="106">
        <v>129</v>
      </c>
      <c r="B131" s="157"/>
      <c r="C131" s="170" t="s">
        <v>378</v>
      </c>
      <c r="D131" s="170" t="s">
        <v>552</v>
      </c>
      <c r="E131" s="146" t="s">
        <v>528</v>
      </c>
      <c r="F131" s="136" t="s">
        <v>610</v>
      </c>
      <c r="G131" s="143"/>
      <c r="H131" s="98">
        <v>1.2</v>
      </c>
      <c r="I131" s="138"/>
      <c r="J131" s="138"/>
      <c r="K131" s="138"/>
      <c r="L131" s="138"/>
      <c r="M131" s="138"/>
      <c r="N131" s="138"/>
      <c r="O131" s="138"/>
      <c r="P131" s="139"/>
      <c r="Q131" s="140"/>
      <c r="R131" s="140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20"/>
    </row>
    <row r="132" spans="1:29" x14ac:dyDescent="0.25">
      <c r="A132" s="106">
        <v>130</v>
      </c>
      <c r="B132" s="157"/>
      <c r="C132" s="170" t="s">
        <v>378</v>
      </c>
      <c r="D132" s="170" t="s">
        <v>552</v>
      </c>
      <c r="E132" s="146" t="s">
        <v>529</v>
      </c>
      <c r="F132" s="136" t="s">
        <v>611</v>
      </c>
      <c r="G132" s="143"/>
      <c r="H132" s="98">
        <v>1.2</v>
      </c>
      <c r="I132" s="138"/>
      <c r="J132" s="138"/>
      <c r="K132" s="138"/>
      <c r="L132" s="138"/>
      <c r="M132" s="138"/>
      <c r="N132" s="138"/>
      <c r="O132" s="138"/>
      <c r="P132" s="139"/>
      <c r="Q132" s="140"/>
      <c r="R132" s="140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20"/>
    </row>
    <row r="133" spans="1:29" x14ac:dyDescent="0.25">
      <c r="A133" s="106">
        <v>131</v>
      </c>
      <c r="B133" s="157"/>
      <c r="C133" s="170" t="s">
        <v>378</v>
      </c>
      <c r="D133" s="170" t="s">
        <v>552</v>
      </c>
      <c r="E133" s="146" t="s">
        <v>530</v>
      </c>
      <c r="F133" s="136" t="s">
        <v>612</v>
      </c>
      <c r="G133" s="143"/>
      <c r="H133" s="98">
        <v>0.495</v>
      </c>
      <c r="I133" s="138"/>
      <c r="J133" s="138"/>
      <c r="K133" s="138"/>
      <c r="L133" s="138"/>
      <c r="M133" s="138"/>
      <c r="N133" s="138"/>
      <c r="O133" s="138"/>
      <c r="P133" s="139"/>
      <c r="Q133" s="140"/>
      <c r="R133" s="140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20"/>
    </row>
    <row r="134" spans="1:29" x14ac:dyDescent="0.25">
      <c r="A134" s="106">
        <v>132</v>
      </c>
      <c r="B134" s="157"/>
      <c r="C134" s="170" t="s">
        <v>378</v>
      </c>
      <c r="D134" s="170" t="s">
        <v>552</v>
      </c>
      <c r="E134" s="146" t="s">
        <v>531</v>
      </c>
      <c r="F134" s="136" t="s">
        <v>613</v>
      </c>
      <c r="G134" s="143"/>
      <c r="H134" s="98">
        <v>0.53790000000000004</v>
      </c>
      <c r="I134" s="138"/>
      <c r="J134" s="138"/>
      <c r="K134" s="138"/>
      <c r="L134" s="138"/>
      <c r="M134" s="138"/>
      <c r="N134" s="138"/>
      <c r="O134" s="138"/>
      <c r="P134" s="139"/>
      <c r="Q134" s="140"/>
      <c r="R134" s="140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20"/>
    </row>
    <row r="135" spans="1:29" x14ac:dyDescent="0.25">
      <c r="A135" s="106">
        <v>133</v>
      </c>
      <c r="B135" s="157"/>
      <c r="C135" s="170" t="s">
        <v>378</v>
      </c>
      <c r="D135" s="170" t="s">
        <v>552</v>
      </c>
      <c r="E135" s="146" t="s">
        <v>532</v>
      </c>
      <c r="F135" s="136" t="s">
        <v>614</v>
      </c>
      <c r="G135" s="143"/>
      <c r="H135" s="98">
        <v>0.6865</v>
      </c>
      <c r="I135" s="138"/>
      <c r="J135" s="138"/>
      <c r="K135" s="138"/>
      <c r="L135" s="138"/>
      <c r="M135" s="138"/>
      <c r="N135" s="138"/>
      <c r="O135" s="138"/>
      <c r="P135" s="139"/>
      <c r="Q135" s="140"/>
      <c r="R135" s="140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20"/>
    </row>
    <row r="136" spans="1:29" x14ac:dyDescent="0.25">
      <c r="A136" s="106">
        <v>134</v>
      </c>
      <c r="B136" s="157"/>
      <c r="C136" s="170" t="s">
        <v>378</v>
      </c>
      <c r="D136" s="170" t="s">
        <v>552</v>
      </c>
      <c r="E136" s="147" t="s">
        <v>533</v>
      </c>
      <c r="F136" s="147" t="s">
        <v>615</v>
      </c>
      <c r="G136" s="148"/>
      <c r="H136" s="116">
        <v>0.65500000000000003</v>
      </c>
      <c r="I136" s="138"/>
      <c r="J136" s="138"/>
      <c r="K136" s="138"/>
      <c r="L136" s="138"/>
      <c r="M136" s="138"/>
      <c r="N136" s="138"/>
      <c r="O136" s="138"/>
      <c r="P136" s="139"/>
      <c r="Q136" s="140"/>
      <c r="R136" s="140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20"/>
    </row>
    <row r="137" spans="1:29" x14ac:dyDescent="0.25">
      <c r="A137" s="106">
        <v>135</v>
      </c>
      <c r="B137" s="157"/>
      <c r="C137" s="170" t="s">
        <v>378</v>
      </c>
      <c r="D137" s="170" t="s">
        <v>552</v>
      </c>
      <c r="E137" s="147" t="s">
        <v>534</v>
      </c>
      <c r="F137" s="147" t="s">
        <v>616</v>
      </c>
      <c r="G137" s="148"/>
      <c r="H137" s="116">
        <v>0.47299999999999998</v>
      </c>
      <c r="I137" s="138"/>
      <c r="J137" s="138"/>
      <c r="K137" s="138"/>
      <c r="L137" s="138"/>
      <c r="M137" s="138"/>
      <c r="N137" s="138"/>
      <c r="O137" s="138"/>
      <c r="P137" s="139"/>
      <c r="Q137" s="140"/>
      <c r="R137" s="140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20"/>
    </row>
    <row r="138" spans="1:29" x14ac:dyDescent="0.25">
      <c r="A138" s="106">
        <v>136</v>
      </c>
      <c r="B138" s="157"/>
      <c r="C138" s="170" t="s">
        <v>378</v>
      </c>
      <c r="D138" s="170" t="s">
        <v>552</v>
      </c>
      <c r="E138" s="147" t="s">
        <v>535</v>
      </c>
      <c r="F138" s="147" t="s">
        <v>617</v>
      </c>
      <c r="G138" s="148"/>
      <c r="H138" s="116">
        <v>0.57340000000000002</v>
      </c>
      <c r="I138" s="138"/>
      <c r="J138" s="138"/>
      <c r="K138" s="138"/>
      <c r="L138" s="138"/>
      <c r="M138" s="138"/>
      <c r="N138" s="138"/>
      <c r="O138" s="138"/>
      <c r="P138" s="139"/>
      <c r="Q138" s="140"/>
      <c r="R138" s="140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20"/>
    </row>
    <row r="139" spans="1:29" x14ac:dyDescent="0.25">
      <c r="A139" s="106">
        <v>137</v>
      </c>
      <c r="B139" s="157"/>
      <c r="C139" s="170" t="s">
        <v>378</v>
      </c>
      <c r="D139" s="170" t="s">
        <v>552</v>
      </c>
      <c r="E139" s="147" t="s">
        <v>536</v>
      </c>
      <c r="F139" s="147" t="s">
        <v>618</v>
      </c>
      <c r="G139" s="148"/>
      <c r="H139" s="116">
        <v>0.91600000000000004</v>
      </c>
      <c r="I139" s="138"/>
      <c r="J139" s="138"/>
      <c r="K139" s="138"/>
      <c r="L139" s="138"/>
      <c r="M139" s="138"/>
      <c r="N139" s="138"/>
      <c r="O139" s="138"/>
      <c r="P139" s="139"/>
      <c r="Q139" s="140"/>
      <c r="R139" s="140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20"/>
    </row>
    <row r="140" spans="1:29" x14ac:dyDescent="0.25">
      <c r="A140" s="106">
        <v>138</v>
      </c>
      <c r="B140" s="157"/>
      <c r="C140" s="170" t="s">
        <v>378</v>
      </c>
      <c r="D140" s="170" t="s">
        <v>552</v>
      </c>
      <c r="E140" s="147" t="s">
        <v>653</v>
      </c>
      <c r="F140" s="147" t="s">
        <v>653</v>
      </c>
      <c r="G140" s="148"/>
      <c r="H140" s="116">
        <v>1</v>
      </c>
      <c r="I140" s="138"/>
      <c r="J140" s="138"/>
      <c r="K140" s="138"/>
      <c r="L140" s="138"/>
      <c r="M140" s="138"/>
      <c r="N140" s="138"/>
      <c r="O140" s="138"/>
      <c r="P140" s="139"/>
      <c r="Q140" s="140"/>
      <c r="R140" s="140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20"/>
    </row>
    <row r="141" spans="1:29" x14ac:dyDescent="0.25">
      <c r="A141" s="106">
        <v>139</v>
      </c>
      <c r="B141" s="157"/>
      <c r="C141" s="170" t="s">
        <v>378</v>
      </c>
      <c r="D141" s="170" t="s">
        <v>552</v>
      </c>
      <c r="E141" s="147" t="s">
        <v>654</v>
      </c>
      <c r="F141" s="147" t="s">
        <v>654</v>
      </c>
      <c r="G141" s="148"/>
      <c r="H141" s="116">
        <v>1</v>
      </c>
      <c r="I141" s="138"/>
      <c r="J141" s="138"/>
      <c r="K141" s="138"/>
      <c r="L141" s="138"/>
      <c r="M141" s="138"/>
      <c r="N141" s="138"/>
      <c r="O141" s="138"/>
      <c r="P141" s="139"/>
      <c r="Q141" s="140"/>
      <c r="R141" s="140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20"/>
    </row>
    <row r="142" spans="1:29" x14ac:dyDescent="0.25">
      <c r="A142" s="106">
        <v>140</v>
      </c>
      <c r="B142" s="157"/>
      <c r="C142" s="170" t="s">
        <v>378</v>
      </c>
      <c r="D142" s="170" t="s">
        <v>552</v>
      </c>
      <c r="E142" s="147" t="s">
        <v>655</v>
      </c>
      <c r="F142" s="147" t="s">
        <v>655</v>
      </c>
      <c r="G142" s="148"/>
      <c r="H142" s="116">
        <v>1</v>
      </c>
      <c r="I142" s="138"/>
      <c r="J142" s="138"/>
      <c r="K142" s="138"/>
      <c r="L142" s="138"/>
      <c r="M142" s="138"/>
      <c r="N142" s="138"/>
      <c r="O142" s="138"/>
      <c r="P142" s="139"/>
      <c r="Q142" s="140"/>
      <c r="R142" s="140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20"/>
    </row>
    <row r="143" spans="1:29" x14ac:dyDescent="0.25">
      <c r="A143" s="106">
        <v>141</v>
      </c>
      <c r="B143" s="157"/>
      <c r="C143" s="170" t="s">
        <v>378</v>
      </c>
      <c r="D143" s="170" t="s">
        <v>552</v>
      </c>
      <c r="E143" s="147" t="s">
        <v>656</v>
      </c>
      <c r="F143" s="147" t="s">
        <v>656</v>
      </c>
      <c r="G143" s="148"/>
      <c r="H143" s="116">
        <v>1</v>
      </c>
      <c r="I143" s="138"/>
      <c r="J143" s="138"/>
      <c r="K143" s="138"/>
      <c r="L143" s="138"/>
      <c r="M143" s="138"/>
      <c r="N143" s="138"/>
      <c r="O143" s="138"/>
      <c r="P143" s="139"/>
      <c r="Q143" s="140"/>
      <c r="R143" s="140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20"/>
    </row>
    <row r="144" spans="1:29" x14ac:dyDescent="0.25">
      <c r="A144" s="106">
        <v>142</v>
      </c>
      <c r="B144" s="157"/>
      <c r="C144" s="170" t="s">
        <v>378</v>
      </c>
      <c r="D144" s="170" t="s">
        <v>552</v>
      </c>
      <c r="E144" s="147" t="s">
        <v>657</v>
      </c>
      <c r="F144" s="147" t="s">
        <v>657</v>
      </c>
      <c r="G144" s="148"/>
      <c r="H144" s="116">
        <v>1</v>
      </c>
      <c r="I144" s="138"/>
      <c r="J144" s="138"/>
      <c r="K144" s="138"/>
      <c r="L144" s="138"/>
      <c r="M144" s="138"/>
      <c r="N144" s="138"/>
      <c r="O144" s="138"/>
      <c r="P144" s="139"/>
      <c r="Q144" s="140"/>
      <c r="R144" s="140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20"/>
    </row>
    <row r="145" spans="1:29" x14ac:dyDescent="0.25">
      <c r="A145" s="106">
        <v>143</v>
      </c>
      <c r="B145" s="157"/>
      <c r="C145" s="170" t="s">
        <v>378</v>
      </c>
      <c r="D145" s="170" t="s">
        <v>552</v>
      </c>
      <c r="E145" s="147" t="s">
        <v>658</v>
      </c>
      <c r="F145" s="147" t="s">
        <v>658</v>
      </c>
      <c r="G145" s="148"/>
      <c r="H145" s="116">
        <v>1</v>
      </c>
      <c r="I145" s="138"/>
      <c r="J145" s="138"/>
      <c r="K145" s="138"/>
      <c r="L145" s="138"/>
      <c r="M145" s="138"/>
      <c r="N145" s="138"/>
      <c r="O145" s="138"/>
      <c r="P145" s="139"/>
      <c r="Q145" s="140"/>
      <c r="R145" s="140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20"/>
    </row>
    <row r="146" spans="1:29" x14ac:dyDescent="0.25">
      <c r="A146" s="106">
        <v>144</v>
      </c>
      <c r="B146" s="157"/>
      <c r="C146" s="170" t="s">
        <v>378</v>
      </c>
      <c r="D146" s="170" t="s">
        <v>552</v>
      </c>
      <c r="E146" s="147" t="s">
        <v>659</v>
      </c>
      <c r="F146" s="147" t="s">
        <v>659</v>
      </c>
      <c r="G146" s="148"/>
      <c r="H146" s="116">
        <v>1</v>
      </c>
      <c r="I146" s="138"/>
      <c r="J146" s="138"/>
      <c r="K146" s="138"/>
      <c r="L146" s="138"/>
      <c r="M146" s="138"/>
      <c r="N146" s="138"/>
      <c r="O146" s="138"/>
      <c r="P146" s="139"/>
      <c r="Q146" s="140"/>
      <c r="R146" s="140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20"/>
    </row>
    <row r="147" spans="1:29" x14ac:dyDescent="0.25">
      <c r="A147" s="106">
        <v>145</v>
      </c>
      <c r="B147" s="157"/>
      <c r="C147" s="170" t="s">
        <v>378</v>
      </c>
      <c r="D147" s="170" t="s">
        <v>552</v>
      </c>
      <c r="E147" s="142" t="s">
        <v>660</v>
      </c>
      <c r="F147" s="142" t="s">
        <v>660</v>
      </c>
      <c r="G147" s="143"/>
      <c r="H147" s="115">
        <v>1</v>
      </c>
      <c r="I147" s="138"/>
      <c r="J147" s="138"/>
      <c r="K147" s="138"/>
      <c r="L147" s="138"/>
      <c r="M147" s="138"/>
      <c r="N147" s="138"/>
      <c r="O147" s="138"/>
      <c r="P147" s="139"/>
      <c r="Q147" s="140"/>
      <c r="R147" s="140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20"/>
    </row>
    <row r="148" spans="1:29" x14ac:dyDescent="0.25">
      <c r="A148" s="106">
        <v>146</v>
      </c>
      <c r="B148" s="157"/>
      <c r="C148" s="170" t="s">
        <v>378</v>
      </c>
      <c r="D148" s="170" t="s">
        <v>552</v>
      </c>
      <c r="E148" s="142" t="s">
        <v>661</v>
      </c>
      <c r="F148" s="142" t="s">
        <v>661</v>
      </c>
      <c r="G148" s="143"/>
      <c r="H148" s="115">
        <v>1</v>
      </c>
      <c r="I148" s="138"/>
      <c r="J148" s="138"/>
      <c r="K148" s="138"/>
      <c r="L148" s="138"/>
      <c r="M148" s="138"/>
      <c r="N148" s="138"/>
      <c r="O148" s="138"/>
      <c r="P148" s="139"/>
      <c r="Q148" s="140"/>
      <c r="R148" s="140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20"/>
    </row>
    <row r="149" spans="1:29" x14ac:dyDescent="0.25">
      <c r="A149" s="106">
        <v>147</v>
      </c>
      <c r="B149" s="157"/>
      <c r="C149" s="170" t="s">
        <v>378</v>
      </c>
      <c r="D149" s="170" t="s">
        <v>552</v>
      </c>
      <c r="E149" s="142" t="s">
        <v>662</v>
      </c>
      <c r="F149" s="142" t="s">
        <v>662</v>
      </c>
      <c r="G149" s="143"/>
      <c r="H149" s="115">
        <v>1</v>
      </c>
      <c r="I149" s="138"/>
      <c r="J149" s="138"/>
      <c r="K149" s="138"/>
      <c r="L149" s="138"/>
      <c r="M149" s="138"/>
      <c r="N149" s="138"/>
      <c r="O149" s="138"/>
      <c r="P149" s="139"/>
      <c r="Q149" s="140"/>
      <c r="R149" s="140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20"/>
    </row>
    <row r="150" spans="1:29" x14ac:dyDescent="0.25">
      <c r="A150" s="106">
        <v>148</v>
      </c>
      <c r="B150" s="157"/>
      <c r="C150" s="170" t="s">
        <v>378</v>
      </c>
      <c r="D150" s="170" t="s">
        <v>552</v>
      </c>
      <c r="E150" s="142" t="s">
        <v>663</v>
      </c>
      <c r="F150" s="142" t="s">
        <v>663</v>
      </c>
      <c r="G150" s="143"/>
      <c r="H150" s="115">
        <v>1</v>
      </c>
      <c r="I150" s="138"/>
      <c r="J150" s="138"/>
      <c r="K150" s="138"/>
      <c r="L150" s="138"/>
      <c r="M150" s="138"/>
      <c r="N150" s="138"/>
      <c r="O150" s="138"/>
      <c r="P150" s="139"/>
      <c r="Q150" s="140"/>
      <c r="R150" s="140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20"/>
    </row>
    <row r="151" spans="1:29" x14ac:dyDescent="0.25">
      <c r="A151" s="106">
        <v>149</v>
      </c>
      <c r="B151" s="157"/>
      <c r="C151" s="170" t="s">
        <v>378</v>
      </c>
      <c r="D151" s="170" t="s">
        <v>552</v>
      </c>
      <c r="E151" s="142" t="s">
        <v>664</v>
      </c>
      <c r="F151" s="136" t="s">
        <v>664</v>
      </c>
      <c r="G151" s="143"/>
      <c r="H151" s="115">
        <v>1</v>
      </c>
      <c r="I151" s="138"/>
      <c r="J151" s="138"/>
      <c r="K151" s="138"/>
      <c r="L151" s="138"/>
      <c r="M151" s="138"/>
      <c r="N151" s="138"/>
      <c r="O151" s="138"/>
      <c r="P151" s="139"/>
      <c r="Q151" s="140"/>
      <c r="R151" s="140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20"/>
    </row>
    <row r="152" spans="1:29" x14ac:dyDescent="0.25">
      <c r="A152" s="106">
        <v>150</v>
      </c>
      <c r="B152" s="157"/>
      <c r="C152" s="170" t="s">
        <v>378</v>
      </c>
      <c r="D152" s="170" t="s">
        <v>552</v>
      </c>
      <c r="E152" s="158" t="s">
        <v>665</v>
      </c>
      <c r="F152" s="122" t="s">
        <v>665</v>
      </c>
      <c r="G152" s="97"/>
      <c r="H152" s="98">
        <v>1</v>
      </c>
      <c r="I152" s="138"/>
      <c r="J152" s="138"/>
      <c r="K152" s="138"/>
      <c r="L152" s="138"/>
      <c r="M152" s="138"/>
      <c r="N152" s="138"/>
      <c r="O152" s="138"/>
      <c r="P152" s="149"/>
      <c r="Q152" s="140"/>
      <c r="R152" s="140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20"/>
    </row>
    <row r="153" spans="1:29" x14ac:dyDescent="0.25">
      <c r="A153" s="106">
        <v>151</v>
      </c>
      <c r="B153" s="157"/>
      <c r="C153" s="170" t="s">
        <v>378</v>
      </c>
      <c r="D153" s="170" t="s">
        <v>552</v>
      </c>
      <c r="E153" s="158" t="s">
        <v>666</v>
      </c>
      <c r="F153" s="122" t="s">
        <v>666</v>
      </c>
      <c r="G153" s="97"/>
      <c r="H153" s="98">
        <v>1</v>
      </c>
      <c r="I153" s="138"/>
      <c r="J153" s="138"/>
      <c r="K153" s="138"/>
      <c r="L153" s="138"/>
      <c r="M153" s="138"/>
      <c r="N153" s="138"/>
      <c r="O153" s="138"/>
      <c r="P153" s="149"/>
      <c r="Q153" s="140"/>
      <c r="R153" s="140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20"/>
    </row>
    <row r="154" spans="1:29" x14ac:dyDescent="0.25">
      <c r="A154" s="106">
        <v>152</v>
      </c>
      <c r="B154" s="157"/>
      <c r="C154" s="170" t="s">
        <v>378</v>
      </c>
      <c r="D154" s="170" t="s">
        <v>552</v>
      </c>
      <c r="E154" s="158" t="s">
        <v>667</v>
      </c>
      <c r="F154" s="136" t="s">
        <v>667</v>
      </c>
      <c r="G154" s="143"/>
      <c r="H154" s="115">
        <v>1</v>
      </c>
      <c r="I154" s="138"/>
      <c r="J154" s="138"/>
      <c r="K154" s="138"/>
      <c r="L154" s="138"/>
      <c r="M154" s="138"/>
      <c r="N154" s="138"/>
      <c r="O154" s="138"/>
      <c r="P154" s="149"/>
      <c r="Q154" s="140"/>
      <c r="R154" s="140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20"/>
    </row>
    <row r="155" spans="1:29" x14ac:dyDescent="0.25">
      <c r="A155" s="106">
        <v>153</v>
      </c>
      <c r="B155" s="157"/>
      <c r="C155" s="170" t="s">
        <v>378</v>
      </c>
      <c r="D155" s="170" t="s">
        <v>552</v>
      </c>
      <c r="E155" s="158" t="s">
        <v>668</v>
      </c>
      <c r="F155" s="122" t="s">
        <v>668</v>
      </c>
      <c r="G155" s="97"/>
      <c r="H155" s="98">
        <v>1</v>
      </c>
      <c r="I155" s="138"/>
      <c r="J155" s="138"/>
      <c r="K155" s="138"/>
      <c r="L155" s="138"/>
      <c r="M155" s="138"/>
      <c r="N155" s="138"/>
      <c r="O155" s="138"/>
      <c r="P155" s="149"/>
      <c r="Q155" s="140"/>
      <c r="R155" s="140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20"/>
    </row>
    <row r="156" spans="1:29" x14ac:dyDescent="0.25">
      <c r="A156" s="106">
        <v>154</v>
      </c>
      <c r="B156" s="157"/>
      <c r="C156" s="170" t="s">
        <v>378</v>
      </c>
      <c r="D156" s="170" t="s">
        <v>552</v>
      </c>
      <c r="E156" s="158" t="s">
        <v>669</v>
      </c>
      <c r="F156" s="136" t="s">
        <v>669</v>
      </c>
      <c r="G156" s="143"/>
      <c r="H156" s="115">
        <v>1</v>
      </c>
      <c r="I156" s="138"/>
      <c r="J156" s="138"/>
      <c r="K156" s="138"/>
      <c r="L156" s="138"/>
      <c r="M156" s="138"/>
      <c r="N156" s="138"/>
      <c r="O156" s="138"/>
      <c r="P156" s="149"/>
      <c r="Q156" s="140"/>
      <c r="R156" s="140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20"/>
    </row>
    <row r="157" spans="1:29" x14ac:dyDescent="0.25">
      <c r="A157" s="106">
        <v>155</v>
      </c>
      <c r="B157" s="135"/>
      <c r="C157" s="170" t="s">
        <v>378</v>
      </c>
      <c r="D157" s="170" t="s">
        <v>552</v>
      </c>
      <c r="E157" s="158" t="s">
        <v>670</v>
      </c>
      <c r="F157" s="122" t="s">
        <v>670</v>
      </c>
      <c r="G157" s="97"/>
      <c r="H157" s="98">
        <v>1</v>
      </c>
      <c r="I157" s="138"/>
      <c r="J157" s="138"/>
      <c r="K157" s="138"/>
      <c r="L157" s="138"/>
      <c r="M157" s="138"/>
      <c r="N157" s="138"/>
      <c r="O157" s="138"/>
      <c r="P157" s="149"/>
      <c r="Q157" s="140"/>
      <c r="R157" s="140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20"/>
    </row>
    <row r="158" spans="1:29" x14ac:dyDescent="0.25">
      <c r="A158" s="106">
        <v>156</v>
      </c>
      <c r="B158" s="135"/>
      <c r="C158" s="170" t="s">
        <v>378</v>
      </c>
      <c r="D158" s="170" t="s">
        <v>552</v>
      </c>
      <c r="E158" s="158" t="s">
        <v>671</v>
      </c>
      <c r="F158" s="122" t="s">
        <v>671</v>
      </c>
      <c r="G158" s="97"/>
      <c r="H158" s="98">
        <v>1</v>
      </c>
      <c r="I158" s="138"/>
      <c r="J158" s="138"/>
      <c r="K158" s="138"/>
      <c r="L158" s="138"/>
      <c r="M158" s="138"/>
      <c r="N158" s="138"/>
      <c r="O158" s="138"/>
      <c r="P158" s="149"/>
      <c r="Q158" s="140"/>
      <c r="R158" s="140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20"/>
    </row>
    <row r="159" spans="1:29" x14ac:dyDescent="0.25">
      <c r="A159" s="106">
        <v>157</v>
      </c>
      <c r="B159" s="135"/>
      <c r="C159" s="170" t="s">
        <v>378</v>
      </c>
      <c r="D159" s="170" t="s">
        <v>552</v>
      </c>
      <c r="E159" s="159" t="s">
        <v>750</v>
      </c>
      <c r="F159" s="161" t="s">
        <v>750</v>
      </c>
      <c r="G159" s="162"/>
      <c r="H159" s="163">
        <v>1</v>
      </c>
      <c r="I159" s="138"/>
      <c r="J159" s="138"/>
      <c r="K159" s="138"/>
      <c r="L159" s="138"/>
      <c r="M159" s="138"/>
      <c r="N159" s="138"/>
      <c r="O159" s="138"/>
      <c r="P159" s="149"/>
      <c r="Q159" s="140"/>
      <c r="R159" s="140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20"/>
    </row>
    <row r="160" spans="1:29" x14ac:dyDescent="0.25">
      <c r="A160" s="106">
        <v>158</v>
      </c>
      <c r="B160" s="135"/>
      <c r="C160" s="170" t="s">
        <v>378</v>
      </c>
      <c r="D160" s="170" t="s">
        <v>552</v>
      </c>
      <c r="E160" s="158" t="s">
        <v>751</v>
      </c>
      <c r="F160" s="122" t="s">
        <v>751</v>
      </c>
      <c r="G160" s="97"/>
      <c r="H160" s="98">
        <v>1</v>
      </c>
      <c r="I160" s="138"/>
      <c r="J160" s="138"/>
      <c r="K160" s="138"/>
      <c r="L160" s="138"/>
      <c r="M160" s="138"/>
      <c r="N160" s="138"/>
      <c r="O160" s="138"/>
      <c r="P160" s="149"/>
      <c r="Q160" s="140"/>
      <c r="R160" s="140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20"/>
    </row>
    <row r="161" spans="1:29" x14ac:dyDescent="0.25">
      <c r="A161" s="106">
        <v>159</v>
      </c>
      <c r="B161" s="135"/>
      <c r="C161" s="170" t="s">
        <v>378</v>
      </c>
      <c r="D161" s="170" t="s">
        <v>552</v>
      </c>
      <c r="E161" s="158" t="s">
        <v>752</v>
      </c>
      <c r="F161" s="122" t="s">
        <v>752</v>
      </c>
      <c r="G161" s="97"/>
      <c r="H161" s="98">
        <v>1</v>
      </c>
      <c r="I161" s="138"/>
      <c r="J161" s="138"/>
      <c r="K161" s="138"/>
      <c r="L161" s="138"/>
      <c r="M161" s="138"/>
      <c r="N161" s="138"/>
      <c r="O161" s="138"/>
      <c r="P161" s="149"/>
      <c r="Q161" s="140"/>
      <c r="R161" s="140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20"/>
    </row>
    <row r="162" spans="1:29" x14ac:dyDescent="0.25">
      <c r="A162" s="106">
        <v>160</v>
      </c>
      <c r="B162" s="135"/>
      <c r="C162" s="170" t="s">
        <v>378</v>
      </c>
      <c r="D162" s="170" t="s">
        <v>552</v>
      </c>
      <c r="E162" s="158" t="s">
        <v>753</v>
      </c>
      <c r="F162" s="136" t="s">
        <v>753</v>
      </c>
      <c r="G162" s="143"/>
      <c r="H162" s="115">
        <v>1</v>
      </c>
      <c r="I162" s="138"/>
      <c r="J162" s="138"/>
      <c r="K162" s="138"/>
      <c r="L162" s="138"/>
      <c r="M162" s="138"/>
      <c r="N162" s="138"/>
      <c r="O162" s="138"/>
      <c r="P162" s="149"/>
      <c r="Q162" s="140"/>
      <c r="R162" s="140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20"/>
    </row>
    <row r="163" spans="1:29" x14ac:dyDescent="0.25">
      <c r="A163" s="106">
        <v>161</v>
      </c>
      <c r="B163" s="135"/>
      <c r="C163" s="170" t="s">
        <v>378</v>
      </c>
      <c r="D163" s="170" t="s">
        <v>552</v>
      </c>
      <c r="E163" s="158" t="s">
        <v>754</v>
      </c>
      <c r="F163" s="136" t="s">
        <v>754</v>
      </c>
      <c r="G163" s="143"/>
      <c r="H163" s="98">
        <v>1</v>
      </c>
      <c r="I163" s="138"/>
      <c r="J163" s="138"/>
      <c r="K163" s="138"/>
      <c r="L163" s="138"/>
      <c r="M163" s="138"/>
      <c r="N163" s="138"/>
      <c r="O163" s="138"/>
      <c r="P163" s="149"/>
      <c r="Q163" s="140"/>
      <c r="R163" s="140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20"/>
    </row>
    <row r="164" spans="1:29" x14ac:dyDescent="0.25">
      <c r="A164" s="106">
        <v>160</v>
      </c>
      <c r="B164" s="135"/>
      <c r="C164" s="170" t="s">
        <v>378</v>
      </c>
      <c r="D164" s="170" t="s">
        <v>552</v>
      </c>
      <c r="E164" s="158" t="s">
        <v>755</v>
      </c>
      <c r="F164" s="136" t="s">
        <v>755</v>
      </c>
      <c r="G164" s="143"/>
      <c r="H164" s="115">
        <v>1</v>
      </c>
      <c r="I164" s="138"/>
      <c r="J164" s="138"/>
      <c r="K164" s="138"/>
      <c r="L164" s="138"/>
      <c r="M164" s="138"/>
      <c r="N164" s="138"/>
      <c r="O164" s="138"/>
      <c r="P164" s="149"/>
      <c r="Q164" s="140"/>
      <c r="R164" s="140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20"/>
    </row>
    <row r="165" spans="1:29" x14ac:dyDescent="0.25">
      <c r="A165" s="106">
        <v>161</v>
      </c>
      <c r="B165" s="135"/>
      <c r="C165" s="170" t="s">
        <v>378</v>
      </c>
      <c r="D165" s="170" t="s">
        <v>552</v>
      </c>
      <c r="E165" s="164" t="s">
        <v>756</v>
      </c>
      <c r="F165" s="165" t="s">
        <v>756</v>
      </c>
      <c r="G165" s="166"/>
      <c r="H165" s="163">
        <v>1</v>
      </c>
      <c r="I165" s="138"/>
      <c r="J165" s="138"/>
      <c r="K165" s="138"/>
      <c r="L165" s="138"/>
      <c r="M165" s="138"/>
      <c r="N165" s="138"/>
      <c r="O165" s="138"/>
      <c r="P165" s="149"/>
      <c r="Q165" s="140"/>
      <c r="R165" s="140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20"/>
    </row>
    <row r="166" spans="1:29" x14ac:dyDescent="0.25">
      <c r="A166" s="106">
        <v>162</v>
      </c>
      <c r="B166" s="157"/>
      <c r="C166" s="170" t="s">
        <v>378</v>
      </c>
      <c r="D166" s="170" t="s">
        <v>552</v>
      </c>
      <c r="E166" s="146" t="s">
        <v>757</v>
      </c>
      <c r="F166" s="136" t="s">
        <v>757</v>
      </c>
      <c r="G166" s="143"/>
      <c r="H166" s="115">
        <v>1</v>
      </c>
      <c r="I166" s="138"/>
      <c r="J166" s="138"/>
      <c r="K166" s="138"/>
      <c r="L166" s="138"/>
      <c r="M166" s="138"/>
      <c r="N166" s="138"/>
      <c r="O166" s="138"/>
      <c r="P166" s="149"/>
      <c r="Q166" s="140"/>
      <c r="R166" s="140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20"/>
    </row>
    <row r="167" spans="1:29" x14ac:dyDescent="0.25">
      <c r="A167" s="106">
        <v>163</v>
      </c>
      <c r="B167" s="157"/>
      <c r="C167" s="170" t="s">
        <v>378</v>
      </c>
      <c r="D167" s="170" t="s">
        <v>552</v>
      </c>
      <c r="E167" s="146" t="s">
        <v>758</v>
      </c>
      <c r="F167" s="136" t="s">
        <v>758</v>
      </c>
      <c r="G167" s="143"/>
      <c r="H167" s="115">
        <v>1</v>
      </c>
      <c r="I167" s="138"/>
      <c r="J167" s="138"/>
      <c r="K167" s="138"/>
      <c r="L167" s="138"/>
      <c r="M167" s="138"/>
      <c r="N167" s="138"/>
      <c r="O167" s="138"/>
      <c r="P167" s="149"/>
      <c r="Q167" s="140"/>
      <c r="R167" s="140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20"/>
    </row>
    <row r="168" spans="1:29" x14ac:dyDescent="0.25">
      <c r="A168" s="106">
        <v>163</v>
      </c>
      <c r="B168" s="157"/>
      <c r="C168" s="170" t="s">
        <v>378</v>
      </c>
      <c r="D168" s="170" t="s">
        <v>552</v>
      </c>
      <c r="E168" s="158" t="s">
        <v>759</v>
      </c>
      <c r="F168" s="136" t="s">
        <v>759</v>
      </c>
      <c r="G168" s="143"/>
      <c r="H168" s="115">
        <v>1</v>
      </c>
      <c r="I168" s="138"/>
      <c r="J168" s="138"/>
      <c r="K168" s="138"/>
      <c r="L168" s="138"/>
      <c r="M168" s="138"/>
      <c r="N168" s="138"/>
      <c r="O168" s="138"/>
      <c r="P168" s="149"/>
      <c r="Q168" s="140"/>
      <c r="R168" s="140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20"/>
    </row>
    <row r="169" spans="1:29" x14ac:dyDescent="0.25">
      <c r="A169" s="106">
        <v>161</v>
      </c>
      <c r="B169" s="135"/>
      <c r="C169" s="170" t="s">
        <v>378</v>
      </c>
      <c r="D169" s="170" t="s">
        <v>552</v>
      </c>
      <c r="E169" s="158" t="s">
        <v>760</v>
      </c>
      <c r="F169" s="122" t="s">
        <v>760</v>
      </c>
      <c r="G169" s="97"/>
      <c r="H169" s="98">
        <v>1</v>
      </c>
      <c r="I169" s="138"/>
      <c r="J169" s="138"/>
      <c r="K169" s="138"/>
      <c r="L169" s="138"/>
      <c r="M169" s="138"/>
      <c r="N169" s="138"/>
      <c r="O169" s="138"/>
      <c r="P169" s="149"/>
      <c r="Q169" s="140"/>
      <c r="R169" s="140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20"/>
    </row>
    <row r="170" spans="1:29" x14ac:dyDescent="0.25">
      <c r="A170" s="106">
        <v>161</v>
      </c>
      <c r="B170" s="135"/>
      <c r="C170" s="170" t="s">
        <v>378</v>
      </c>
      <c r="D170" s="170" t="s">
        <v>552</v>
      </c>
      <c r="E170" s="158" t="s">
        <v>761</v>
      </c>
      <c r="F170" s="122" t="s">
        <v>761</v>
      </c>
      <c r="G170" s="97"/>
      <c r="H170" s="98">
        <v>1</v>
      </c>
      <c r="I170" s="138"/>
      <c r="J170" s="138"/>
      <c r="K170" s="138"/>
      <c r="L170" s="138"/>
      <c r="M170" s="138"/>
      <c r="N170" s="138"/>
      <c r="O170" s="138"/>
      <c r="P170" s="149"/>
      <c r="Q170" s="140"/>
      <c r="R170" s="140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20"/>
    </row>
    <row r="171" spans="1:29" x14ac:dyDescent="0.25">
      <c r="A171" s="112"/>
      <c r="B171" s="135"/>
      <c r="C171" s="113"/>
      <c r="D171" s="113"/>
      <c r="E171" s="141" t="s">
        <v>762</v>
      </c>
      <c r="F171" s="138" t="s">
        <v>762</v>
      </c>
      <c r="G171" s="137"/>
      <c r="H171" s="114">
        <v>1</v>
      </c>
      <c r="I171" s="138"/>
      <c r="J171" s="138"/>
      <c r="K171" s="138"/>
      <c r="L171" s="138"/>
      <c r="M171" s="138"/>
      <c r="N171" s="138"/>
      <c r="O171" s="138"/>
      <c r="P171" s="149"/>
      <c r="Q171" s="140"/>
      <c r="R171" s="140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20"/>
    </row>
    <row r="172" spans="1:29" x14ac:dyDescent="0.25">
      <c r="A172" s="112"/>
      <c r="B172" s="135"/>
      <c r="C172" s="113"/>
      <c r="D172" s="113"/>
      <c r="E172" s="141" t="s">
        <v>763</v>
      </c>
      <c r="F172" s="138" t="s">
        <v>763</v>
      </c>
      <c r="G172" s="137"/>
      <c r="H172" s="114">
        <v>1</v>
      </c>
      <c r="I172" s="138"/>
      <c r="J172" s="138"/>
      <c r="K172" s="138"/>
      <c r="L172" s="138"/>
      <c r="M172" s="138"/>
      <c r="N172" s="138"/>
      <c r="O172" s="138"/>
      <c r="P172" s="149"/>
      <c r="Q172" s="140"/>
      <c r="R172" s="140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20"/>
    </row>
    <row r="173" spans="1:29" x14ac:dyDescent="0.25">
      <c r="A173" s="112"/>
      <c r="B173" s="135"/>
      <c r="C173" s="113"/>
      <c r="D173" s="113"/>
      <c r="E173" s="141" t="s">
        <v>764</v>
      </c>
      <c r="F173" s="138" t="s">
        <v>764</v>
      </c>
      <c r="G173" s="137"/>
      <c r="H173" s="114">
        <v>1</v>
      </c>
      <c r="I173" s="138"/>
      <c r="J173" s="138"/>
      <c r="K173" s="138"/>
      <c r="L173" s="138"/>
      <c r="M173" s="138"/>
      <c r="N173" s="138"/>
      <c r="O173" s="138"/>
      <c r="P173" s="149"/>
      <c r="Q173" s="140"/>
      <c r="R173" s="140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20"/>
    </row>
    <row r="174" spans="1:29" x14ac:dyDescent="0.25">
      <c r="A174" s="112"/>
      <c r="B174" s="135"/>
      <c r="C174" s="113"/>
      <c r="D174" s="113"/>
      <c r="E174" s="141" t="s">
        <v>765</v>
      </c>
      <c r="F174" s="138" t="s">
        <v>765</v>
      </c>
      <c r="G174" s="137"/>
      <c r="H174" s="114">
        <v>1</v>
      </c>
      <c r="I174" s="138"/>
      <c r="J174" s="138"/>
      <c r="K174" s="138"/>
      <c r="L174" s="138"/>
      <c r="M174" s="138"/>
      <c r="N174" s="138"/>
      <c r="O174" s="138"/>
      <c r="P174" s="149"/>
      <c r="Q174" s="140"/>
      <c r="R174" s="140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20"/>
    </row>
    <row r="175" spans="1:29" x14ac:dyDescent="0.25">
      <c r="A175" s="112"/>
      <c r="B175" s="135"/>
      <c r="C175" s="113"/>
      <c r="D175" s="113"/>
      <c r="E175" s="141" t="s">
        <v>766</v>
      </c>
      <c r="F175" s="138" t="s">
        <v>766</v>
      </c>
      <c r="G175" s="137"/>
      <c r="H175" s="114">
        <v>1</v>
      </c>
      <c r="I175" s="138"/>
      <c r="J175" s="138"/>
      <c r="K175" s="138"/>
      <c r="L175" s="138"/>
      <c r="M175" s="138"/>
      <c r="N175" s="138"/>
      <c r="O175" s="138"/>
      <c r="P175" s="149"/>
      <c r="Q175" s="140"/>
      <c r="R175" s="140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20"/>
    </row>
    <row r="176" spans="1:29" x14ac:dyDescent="0.25">
      <c r="A176" s="112"/>
      <c r="B176" s="135"/>
      <c r="C176" s="113"/>
      <c r="D176" s="113"/>
      <c r="E176" s="141" t="s">
        <v>767</v>
      </c>
      <c r="F176" s="138" t="s">
        <v>767</v>
      </c>
      <c r="G176" s="137"/>
      <c r="H176" s="114">
        <v>1</v>
      </c>
      <c r="I176" s="138"/>
      <c r="J176" s="138"/>
      <c r="K176" s="138"/>
      <c r="L176" s="138"/>
      <c r="M176" s="138"/>
      <c r="N176" s="138"/>
      <c r="O176" s="138"/>
      <c r="P176" s="149"/>
      <c r="Q176" s="140"/>
      <c r="R176" s="140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20"/>
    </row>
    <row r="177" spans="1:29" x14ac:dyDescent="0.25">
      <c r="A177" s="112"/>
      <c r="B177" s="135"/>
      <c r="C177" s="113"/>
      <c r="D177" s="113"/>
      <c r="E177" s="141" t="s">
        <v>768</v>
      </c>
      <c r="F177" s="138" t="s">
        <v>768</v>
      </c>
      <c r="G177" s="137"/>
      <c r="H177" s="114">
        <v>1</v>
      </c>
      <c r="I177" s="138"/>
      <c r="J177" s="138"/>
      <c r="K177" s="138"/>
      <c r="L177" s="138"/>
      <c r="M177" s="138"/>
      <c r="N177" s="138"/>
      <c r="O177" s="138"/>
      <c r="P177" s="149"/>
      <c r="Q177" s="140"/>
      <c r="R177" s="140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20"/>
    </row>
    <row r="178" spans="1:29" x14ac:dyDescent="0.25">
      <c r="A178" s="112"/>
      <c r="B178" s="135"/>
      <c r="C178" s="113"/>
      <c r="D178" s="113"/>
      <c r="E178" s="141" t="s">
        <v>769</v>
      </c>
      <c r="F178" s="138" t="s">
        <v>769</v>
      </c>
      <c r="G178" s="137"/>
      <c r="H178" s="114">
        <v>1</v>
      </c>
      <c r="I178" s="138"/>
      <c r="J178" s="138"/>
      <c r="K178" s="138"/>
      <c r="L178" s="138"/>
      <c r="M178" s="138"/>
      <c r="N178" s="138"/>
      <c r="O178" s="138"/>
      <c r="P178" s="149"/>
      <c r="Q178" s="140"/>
      <c r="R178" s="140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20"/>
    </row>
    <row r="179" spans="1:29" x14ac:dyDescent="0.25">
      <c r="A179" s="112"/>
      <c r="B179" s="135"/>
      <c r="C179" s="113"/>
      <c r="D179" s="113"/>
      <c r="E179" s="141" t="s">
        <v>770</v>
      </c>
      <c r="F179" s="138" t="s">
        <v>770</v>
      </c>
      <c r="G179" s="137"/>
      <c r="H179" s="114">
        <v>1</v>
      </c>
      <c r="I179" s="138"/>
      <c r="J179" s="138"/>
      <c r="K179" s="138"/>
      <c r="L179" s="138"/>
      <c r="M179" s="138"/>
      <c r="N179" s="138"/>
      <c r="O179" s="138"/>
      <c r="P179" s="149"/>
      <c r="Q179" s="140"/>
      <c r="R179" s="140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20"/>
    </row>
    <row r="180" spans="1:29" x14ac:dyDescent="0.25">
      <c r="A180" s="112"/>
      <c r="B180" s="135"/>
      <c r="C180" s="113"/>
      <c r="D180" s="113"/>
      <c r="E180" s="141" t="s">
        <v>771</v>
      </c>
      <c r="F180" s="138" t="s">
        <v>771</v>
      </c>
      <c r="G180" s="137"/>
      <c r="H180" s="114">
        <v>1</v>
      </c>
      <c r="I180" s="138"/>
      <c r="J180" s="138"/>
      <c r="K180" s="138"/>
      <c r="L180" s="138"/>
      <c r="M180" s="138"/>
      <c r="N180" s="138"/>
      <c r="O180" s="138"/>
      <c r="P180" s="149"/>
      <c r="Q180" s="140"/>
      <c r="R180" s="140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20"/>
    </row>
    <row r="181" spans="1:29" x14ac:dyDescent="0.25">
      <c r="A181" s="112"/>
      <c r="B181" s="135"/>
      <c r="C181" s="113"/>
      <c r="D181" s="113"/>
      <c r="E181" s="141" t="s">
        <v>711</v>
      </c>
      <c r="F181" s="138" t="s">
        <v>712</v>
      </c>
      <c r="G181" s="137"/>
      <c r="H181" s="114">
        <v>0.28999999999999998</v>
      </c>
      <c r="I181" s="138"/>
      <c r="J181" s="138"/>
      <c r="K181" s="138"/>
      <c r="L181" s="138"/>
      <c r="M181" s="138"/>
      <c r="N181" s="138"/>
      <c r="O181" s="138"/>
      <c r="P181" s="149"/>
      <c r="Q181" s="140"/>
      <c r="R181" s="140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20"/>
    </row>
    <row r="182" spans="1:29" x14ac:dyDescent="0.25">
      <c r="A182" s="112"/>
      <c r="B182" s="135"/>
      <c r="C182" s="113"/>
      <c r="D182" s="113"/>
      <c r="E182" s="141" t="s">
        <v>772</v>
      </c>
      <c r="F182" s="138" t="s">
        <v>773</v>
      </c>
      <c r="G182" s="137"/>
      <c r="H182" s="114">
        <v>2.5249999999999999</v>
      </c>
      <c r="I182" s="138"/>
      <c r="J182" s="138"/>
      <c r="K182" s="138"/>
      <c r="L182" s="138"/>
      <c r="M182" s="138"/>
      <c r="N182" s="138"/>
      <c r="O182" s="138"/>
      <c r="P182" s="149"/>
      <c r="Q182" s="140"/>
      <c r="R182" s="140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20"/>
    </row>
    <row r="183" spans="1:29" x14ac:dyDescent="0.25">
      <c r="A183" s="112"/>
      <c r="B183" s="135"/>
      <c r="C183" s="113"/>
      <c r="D183" s="113"/>
      <c r="E183" s="141" t="s">
        <v>713</v>
      </c>
      <c r="F183" s="138" t="s">
        <v>714</v>
      </c>
      <c r="G183" s="137"/>
      <c r="H183" s="114">
        <v>0.2475</v>
      </c>
      <c r="I183" s="138"/>
      <c r="J183" s="138"/>
      <c r="K183" s="138"/>
      <c r="L183" s="138"/>
      <c r="M183" s="138"/>
      <c r="N183" s="138"/>
      <c r="O183" s="138"/>
      <c r="P183" s="149"/>
      <c r="Q183" s="140"/>
      <c r="R183" s="140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20"/>
    </row>
    <row r="184" spans="1:29" x14ac:dyDescent="0.25">
      <c r="A184" s="112"/>
      <c r="B184" s="135"/>
      <c r="C184" s="113"/>
      <c r="D184" s="113"/>
      <c r="E184" s="141"/>
      <c r="F184" s="138"/>
      <c r="G184" s="137"/>
      <c r="H184" s="114"/>
      <c r="I184" s="138"/>
      <c r="J184" s="138"/>
      <c r="K184" s="138"/>
      <c r="L184" s="138"/>
      <c r="M184" s="138"/>
      <c r="N184" s="138"/>
      <c r="O184" s="138"/>
      <c r="P184" s="149"/>
      <c r="Q184" s="140"/>
      <c r="R184" s="140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20"/>
    </row>
    <row r="185" spans="1:29" x14ac:dyDescent="0.25">
      <c r="A185" s="112"/>
      <c r="B185" s="135"/>
      <c r="C185" s="113"/>
      <c r="D185" s="113"/>
      <c r="E185" s="141"/>
      <c r="F185" s="138"/>
      <c r="G185" s="137"/>
      <c r="H185" s="114"/>
      <c r="I185" s="138"/>
      <c r="J185" s="138"/>
      <c r="K185" s="138"/>
      <c r="L185" s="138"/>
      <c r="M185" s="138"/>
      <c r="N185" s="138"/>
      <c r="O185" s="138"/>
      <c r="P185" s="149"/>
      <c r="Q185" s="140"/>
      <c r="R185" s="140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20"/>
    </row>
    <row r="186" spans="1:29" x14ac:dyDescent="0.25">
      <c r="A186" s="112"/>
      <c r="B186" s="135"/>
      <c r="C186" s="113"/>
      <c r="D186" s="113"/>
      <c r="E186" s="141"/>
      <c r="F186" s="138"/>
      <c r="G186" s="137"/>
      <c r="H186" s="114"/>
      <c r="I186" s="138"/>
      <c r="J186" s="138"/>
      <c r="K186" s="138"/>
      <c r="L186" s="138"/>
      <c r="M186" s="138"/>
      <c r="N186" s="138"/>
      <c r="O186" s="138"/>
      <c r="P186" s="149"/>
      <c r="Q186" s="140"/>
      <c r="R186" s="140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20"/>
    </row>
    <row r="187" spans="1:29" x14ac:dyDescent="0.25">
      <c r="A187" s="112"/>
      <c r="B187" s="135"/>
      <c r="C187" s="113"/>
      <c r="D187" s="113"/>
      <c r="E187" s="141"/>
      <c r="F187" s="138"/>
      <c r="G187" s="137"/>
      <c r="H187" s="114"/>
      <c r="I187" s="138"/>
      <c r="J187" s="138"/>
      <c r="K187" s="138"/>
      <c r="L187" s="138"/>
      <c r="M187" s="138"/>
      <c r="N187" s="138"/>
      <c r="O187" s="138"/>
      <c r="P187" s="149"/>
      <c r="Q187" s="140"/>
      <c r="R187" s="140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20"/>
    </row>
    <row r="188" spans="1:29" x14ac:dyDescent="0.25">
      <c r="A188" s="112"/>
      <c r="B188" s="135"/>
      <c r="C188" s="113"/>
      <c r="D188" s="113"/>
      <c r="E188" s="141"/>
      <c r="F188" s="138"/>
      <c r="G188" s="137"/>
      <c r="H188" s="114"/>
      <c r="I188" s="138"/>
      <c r="J188" s="138"/>
      <c r="K188" s="138"/>
      <c r="L188" s="138"/>
      <c r="M188" s="138"/>
      <c r="N188" s="138"/>
      <c r="O188" s="138"/>
      <c r="P188" s="149"/>
      <c r="Q188" s="140"/>
      <c r="R188" s="140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20"/>
    </row>
    <row r="189" spans="1:29" x14ac:dyDescent="0.25">
      <c r="A189" s="112"/>
      <c r="B189" s="135"/>
      <c r="C189" s="113"/>
      <c r="D189" s="113"/>
      <c r="E189" s="141"/>
      <c r="F189" s="138"/>
      <c r="G189" s="137"/>
      <c r="H189" s="114"/>
      <c r="I189" s="138"/>
      <c r="J189" s="138"/>
      <c r="K189" s="138"/>
      <c r="L189" s="138"/>
      <c r="M189" s="138"/>
      <c r="N189" s="138"/>
      <c r="O189" s="138"/>
      <c r="P189" s="149"/>
      <c r="Q189" s="140"/>
      <c r="R189" s="140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20"/>
    </row>
    <row r="190" spans="1:29" x14ac:dyDescent="0.25">
      <c r="A190" s="112"/>
      <c r="B190" s="135"/>
      <c r="C190" s="113"/>
      <c r="D190" s="113"/>
      <c r="E190" s="141"/>
      <c r="F190" s="138"/>
      <c r="G190" s="137"/>
      <c r="H190" s="114"/>
      <c r="I190" s="138"/>
      <c r="J190" s="138"/>
      <c r="K190" s="138"/>
      <c r="L190" s="138"/>
      <c r="M190" s="138"/>
      <c r="N190" s="138"/>
      <c r="O190" s="138"/>
      <c r="P190" s="149"/>
      <c r="Q190" s="140"/>
      <c r="R190" s="140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20"/>
    </row>
    <row r="191" spans="1:29" x14ac:dyDescent="0.25">
      <c r="A191" s="112"/>
      <c r="B191" s="135"/>
      <c r="C191" s="113"/>
      <c r="D191" s="113"/>
      <c r="E191" s="141"/>
      <c r="F191" s="138"/>
      <c r="G191" s="137"/>
      <c r="H191" s="114"/>
      <c r="I191" s="138"/>
      <c r="J191" s="138"/>
      <c r="K191" s="138"/>
      <c r="L191" s="138"/>
      <c r="M191" s="138"/>
      <c r="N191" s="138"/>
      <c r="O191" s="138"/>
      <c r="P191" s="149"/>
      <c r="Q191" s="140"/>
      <c r="R191" s="140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20"/>
    </row>
    <row r="192" spans="1:29" x14ac:dyDescent="0.25">
      <c r="A192" s="112"/>
      <c r="B192" s="135"/>
      <c r="C192" s="113"/>
      <c r="D192" s="113"/>
      <c r="E192" s="141"/>
      <c r="F192" s="138"/>
      <c r="G192" s="137"/>
      <c r="H192" s="114"/>
      <c r="I192" s="138"/>
      <c r="J192" s="138"/>
      <c r="K192" s="138"/>
      <c r="L192" s="138"/>
      <c r="M192" s="138"/>
      <c r="N192" s="138"/>
      <c r="O192" s="138"/>
      <c r="P192" s="149"/>
      <c r="Q192" s="140"/>
      <c r="R192" s="140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20"/>
    </row>
    <row r="193" spans="1:29" x14ac:dyDescent="0.25">
      <c r="A193" s="112"/>
      <c r="B193" s="135"/>
      <c r="C193" s="113"/>
      <c r="D193" s="113"/>
      <c r="E193" s="141"/>
      <c r="F193" s="138"/>
      <c r="G193" s="137"/>
      <c r="H193" s="114"/>
      <c r="I193" s="138"/>
      <c r="J193" s="138"/>
      <c r="K193" s="138"/>
      <c r="L193" s="138"/>
      <c r="M193" s="138"/>
      <c r="N193" s="138"/>
      <c r="O193" s="138"/>
      <c r="P193" s="149"/>
      <c r="Q193" s="140"/>
      <c r="R193" s="140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20"/>
    </row>
    <row r="194" spans="1:29" x14ac:dyDescent="0.25">
      <c r="A194" s="112"/>
      <c r="B194" s="135"/>
      <c r="C194" s="113"/>
      <c r="D194" s="113"/>
      <c r="E194" s="141"/>
      <c r="F194" s="138"/>
      <c r="G194" s="137"/>
      <c r="H194" s="114"/>
      <c r="I194" s="138"/>
      <c r="J194" s="138"/>
      <c r="K194" s="138"/>
      <c r="L194" s="138"/>
      <c r="M194" s="138"/>
      <c r="N194" s="138"/>
      <c r="O194" s="138"/>
      <c r="P194" s="149"/>
      <c r="Q194" s="140"/>
      <c r="R194" s="140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20"/>
    </row>
    <row r="195" spans="1:29" x14ac:dyDescent="0.25">
      <c r="A195" s="112"/>
      <c r="B195" s="135"/>
      <c r="C195" s="113"/>
      <c r="D195" s="113"/>
      <c r="E195" s="141"/>
      <c r="F195" s="138"/>
      <c r="G195" s="137"/>
      <c r="H195" s="114"/>
      <c r="I195" s="138"/>
      <c r="J195" s="138"/>
      <c r="K195" s="138"/>
      <c r="L195" s="138"/>
      <c r="M195" s="138"/>
      <c r="N195" s="138"/>
      <c r="O195" s="138"/>
      <c r="P195" s="149"/>
      <c r="Q195" s="140"/>
      <c r="R195" s="140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20"/>
    </row>
    <row r="196" spans="1:29" x14ac:dyDescent="0.25">
      <c r="A196" s="112"/>
      <c r="B196" s="135"/>
      <c r="C196" s="113"/>
      <c r="D196" s="113"/>
      <c r="E196" s="141"/>
      <c r="F196" s="138"/>
      <c r="G196" s="137"/>
      <c r="H196" s="114"/>
      <c r="I196" s="138"/>
      <c r="J196" s="138"/>
      <c r="K196" s="138"/>
      <c r="L196" s="138"/>
      <c r="M196" s="138"/>
      <c r="N196" s="138"/>
      <c r="O196" s="138"/>
      <c r="P196" s="149"/>
      <c r="Q196" s="140"/>
      <c r="R196" s="140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20"/>
    </row>
    <row r="197" spans="1:29" x14ac:dyDescent="0.25">
      <c r="A197" s="112"/>
      <c r="B197" s="135"/>
      <c r="C197" s="113"/>
      <c r="D197" s="113"/>
      <c r="E197" s="141"/>
      <c r="F197" s="138"/>
      <c r="G197" s="137"/>
      <c r="H197" s="114"/>
      <c r="I197" s="138"/>
      <c r="J197" s="138"/>
      <c r="K197" s="138"/>
      <c r="L197" s="138"/>
      <c r="M197" s="138"/>
      <c r="N197" s="138"/>
      <c r="O197" s="138"/>
      <c r="P197" s="149"/>
      <c r="Q197" s="140"/>
      <c r="R197" s="140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20"/>
    </row>
    <row r="198" spans="1:29" x14ac:dyDescent="0.25">
      <c r="A198" s="112"/>
      <c r="B198" s="135"/>
      <c r="C198" s="113"/>
      <c r="D198" s="113"/>
      <c r="E198" s="141"/>
      <c r="F198" s="138"/>
      <c r="G198" s="137"/>
      <c r="H198" s="114"/>
      <c r="I198" s="138"/>
      <c r="J198" s="138"/>
      <c r="K198" s="138"/>
      <c r="L198" s="138"/>
      <c r="M198" s="138"/>
      <c r="N198" s="138"/>
      <c r="O198" s="138"/>
      <c r="P198" s="149"/>
      <c r="Q198" s="140"/>
      <c r="R198" s="140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20"/>
    </row>
    <row r="199" spans="1:29" x14ac:dyDescent="0.25">
      <c r="A199" s="112"/>
      <c r="B199" s="135"/>
      <c r="C199" s="113"/>
      <c r="D199" s="113"/>
      <c r="E199" s="141"/>
      <c r="F199" s="138"/>
      <c r="G199" s="137"/>
      <c r="H199" s="114"/>
      <c r="I199" s="138"/>
      <c r="J199" s="138"/>
      <c r="K199" s="138"/>
      <c r="L199" s="138"/>
      <c r="M199" s="138"/>
      <c r="N199" s="138"/>
      <c r="O199" s="138"/>
      <c r="P199" s="149"/>
      <c r="Q199" s="140"/>
      <c r="R199" s="140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20"/>
    </row>
    <row r="200" spans="1:29" x14ac:dyDescent="0.25">
      <c r="A200" s="112"/>
      <c r="B200" s="135"/>
      <c r="C200" s="113"/>
      <c r="D200" s="113"/>
      <c r="E200" s="141"/>
      <c r="F200" s="138"/>
      <c r="G200" s="137"/>
      <c r="H200" s="114"/>
      <c r="I200" s="138"/>
      <c r="J200" s="138"/>
      <c r="K200" s="138"/>
      <c r="L200" s="138"/>
      <c r="M200" s="138"/>
      <c r="N200" s="138"/>
      <c r="O200" s="138"/>
      <c r="P200" s="149"/>
      <c r="Q200" s="140"/>
      <c r="R200" s="140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20"/>
    </row>
    <row r="201" spans="1:29" x14ac:dyDescent="0.25">
      <c r="A201" s="112"/>
      <c r="B201" s="135"/>
      <c r="C201" s="113"/>
      <c r="D201" s="113"/>
      <c r="E201" s="141"/>
      <c r="F201" s="138"/>
      <c r="G201" s="137"/>
      <c r="H201" s="114"/>
      <c r="I201" s="138"/>
      <c r="J201" s="138"/>
      <c r="K201" s="138"/>
      <c r="L201" s="138"/>
      <c r="M201" s="138"/>
      <c r="N201" s="138"/>
      <c r="O201" s="138"/>
      <c r="P201" s="149"/>
      <c r="Q201" s="140"/>
      <c r="R201" s="140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20"/>
    </row>
    <row r="202" spans="1:29" x14ac:dyDescent="0.25">
      <c r="A202" s="112"/>
      <c r="B202" s="135"/>
      <c r="C202" s="113"/>
      <c r="D202" s="113"/>
      <c r="E202" s="141"/>
      <c r="F202" s="138"/>
      <c r="G202" s="137"/>
      <c r="H202" s="114"/>
      <c r="I202" s="138"/>
      <c r="J202" s="138"/>
      <c r="K202" s="138"/>
      <c r="L202" s="138"/>
      <c r="M202" s="138"/>
      <c r="N202" s="138"/>
      <c r="O202" s="138"/>
      <c r="P202" s="149"/>
      <c r="Q202" s="140"/>
      <c r="R202" s="140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20"/>
    </row>
    <row r="203" spans="1:29" x14ac:dyDescent="0.25">
      <c r="A203" s="112"/>
      <c r="B203" s="135"/>
      <c r="C203" s="113"/>
      <c r="D203" s="113"/>
      <c r="E203" s="141"/>
      <c r="F203" s="138"/>
      <c r="G203" s="137"/>
      <c r="H203" s="114"/>
      <c r="I203" s="138"/>
      <c r="J203" s="138"/>
      <c r="K203" s="138"/>
      <c r="L203" s="138"/>
      <c r="M203" s="138"/>
      <c r="N203" s="138"/>
      <c r="O203" s="138"/>
      <c r="P203" s="149"/>
      <c r="Q203" s="140"/>
      <c r="R203" s="140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20"/>
    </row>
    <row r="204" spans="1:29" x14ac:dyDescent="0.25">
      <c r="A204" s="112"/>
      <c r="B204" s="135"/>
      <c r="C204" s="113"/>
      <c r="D204" s="113"/>
      <c r="E204" s="141"/>
      <c r="F204" s="138"/>
      <c r="G204" s="137"/>
      <c r="H204" s="114"/>
      <c r="I204" s="138"/>
      <c r="J204" s="138"/>
      <c r="K204" s="138"/>
      <c r="L204" s="138"/>
      <c r="M204" s="138"/>
      <c r="N204" s="138"/>
      <c r="O204" s="138"/>
      <c r="P204" s="149"/>
      <c r="Q204" s="140"/>
      <c r="R204" s="140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20"/>
    </row>
    <row r="205" spans="1:29" x14ac:dyDescent="0.25">
      <c r="A205" s="112"/>
      <c r="B205" s="135"/>
      <c r="C205" s="113"/>
      <c r="D205" s="113"/>
      <c r="E205" s="141"/>
      <c r="F205" s="138"/>
      <c r="G205" s="137"/>
      <c r="H205" s="114"/>
      <c r="I205" s="138"/>
      <c r="J205" s="138"/>
      <c r="K205" s="138"/>
      <c r="L205" s="138"/>
      <c r="M205" s="138"/>
      <c r="N205" s="138"/>
      <c r="O205" s="138"/>
      <c r="P205" s="149"/>
      <c r="Q205" s="140"/>
      <c r="R205" s="140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20"/>
    </row>
    <row r="206" spans="1:29" x14ac:dyDescent="0.25">
      <c r="A206" s="112"/>
      <c r="B206" s="135"/>
      <c r="C206" s="113"/>
      <c r="D206" s="113"/>
      <c r="E206" s="141"/>
      <c r="F206" s="138"/>
      <c r="G206" s="137"/>
      <c r="H206" s="114"/>
      <c r="I206" s="138"/>
      <c r="J206" s="138"/>
      <c r="K206" s="138"/>
      <c r="L206" s="138"/>
      <c r="M206" s="138"/>
      <c r="N206" s="138"/>
      <c r="O206" s="138"/>
      <c r="P206" s="149"/>
      <c r="Q206" s="140"/>
      <c r="R206" s="140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20"/>
    </row>
    <row r="207" spans="1:29" x14ac:dyDescent="0.25">
      <c r="A207" s="112"/>
      <c r="B207" s="135"/>
      <c r="C207" s="113"/>
      <c r="D207" s="113"/>
      <c r="E207" s="141"/>
      <c r="F207" s="138"/>
      <c r="G207" s="137"/>
      <c r="H207" s="114"/>
      <c r="I207" s="138"/>
      <c r="J207" s="138"/>
      <c r="K207" s="138"/>
      <c r="L207" s="138"/>
      <c r="M207" s="138"/>
      <c r="N207" s="138"/>
      <c r="O207" s="138"/>
      <c r="P207" s="149"/>
      <c r="Q207" s="140"/>
      <c r="R207" s="140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20"/>
    </row>
    <row r="208" spans="1:29" x14ac:dyDescent="0.25">
      <c r="A208" s="112"/>
      <c r="B208" s="135"/>
      <c r="C208" s="113"/>
      <c r="D208" s="113"/>
      <c r="E208" s="141"/>
      <c r="F208" s="138"/>
      <c r="G208" s="137"/>
      <c r="H208" s="114"/>
      <c r="I208" s="138"/>
      <c r="J208" s="138"/>
      <c r="K208" s="138"/>
      <c r="L208" s="138"/>
      <c r="M208" s="138"/>
      <c r="N208" s="138"/>
      <c r="O208" s="138"/>
      <c r="P208" s="149"/>
      <c r="Q208" s="140"/>
      <c r="R208" s="140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20"/>
    </row>
    <row r="209" spans="1:29" x14ac:dyDescent="0.25">
      <c r="A209" s="112"/>
      <c r="B209" s="135"/>
      <c r="C209" s="113"/>
      <c r="D209" s="113"/>
      <c r="E209" s="141"/>
      <c r="F209" s="138"/>
      <c r="G209" s="137"/>
      <c r="H209" s="114"/>
      <c r="I209" s="138"/>
      <c r="J209" s="138"/>
      <c r="K209" s="138"/>
      <c r="L209" s="138"/>
      <c r="M209" s="138"/>
      <c r="N209" s="138"/>
      <c r="O209" s="138"/>
      <c r="P209" s="149"/>
      <c r="Q209" s="140"/>
      <c r="R209" s="140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20"/>
    </row>
    <row r="210" spans="1:29" x14ac:dyDescent="0.25">
      <c r="A210" s="112"/>
      <c r="B210" s="135"/>
      <c r="C210" s="113"/>
      <c r="D210" s="113"/>
      <c r="E210" s="141"/>
      <c r="F210" s="138"/>
      <c r="G210" s="137"/>
      <c r="H210" s="114"/>
      <c r="I210" s="138"/>
      <c r="J210" s="138"/>
      <c r="K210" s="138"/>
      <c r="L210" s="138"/>
      <c r="M210" s="138"/>
      <c r="N210" s="138"/>
      <c r="O210" s="138"/>
      <c r="P210" s="149"/>
      <c r="Q210" s="140"/>
      <c r="R210" s="140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20"/>
    </row>
    <row r="211" spans="1:29" x14ac:dyDescent="0.25">
      <c r="A211" s="112"/>
      <c r="B211" s="135"/>
      <c r="C211" s="113"/>
      <c r="D211" s="113"/>
      <c r="E211" s="141"/>
      <c r="F211" s="138"/>
      <c r="G211" s="137"/>
      <c r="H211" s="114"/>
      <c r="I211" s="138"/>
      <c r="J211" s="138"/>
      <c r="K211" s="138"/>
      <c r="L211" s="138"/>
      <c r="M211" s="138"/>
      <c r="N211" s="138"/>
      <c r="O211" s="138"/>
      <c r="P211" s="149"/>
      <c r="Q211" s="140"/>
      <c r="R211" s="140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20"/>
    </row>
    <row r="212" spans="1:29" x14ac:dyDescent="0.25">
      <c r="A212" s="112"/>
      <c r="B212" s="135"/>
      <c r="C212" s="113"/>
      <c r="D212" s="113"/>
      <c r="E212" s="141"/>
      <c r="F212" s="138"/>
      <c r="G212" s="137"/>
      <c r="H212" s="114"/>
      <c r="I212" s="138"/>
      <c r="J212" s="138"/>
      <c r="K212" s="138"/>
      <c r="L212" s="138"/>
      <c r="M212" s="138"/>
      <c r="N212" s="138"/>
      <c r="O212" s="138"/>
      <c r="P212" s="149"/>
      <c r="Q212" s="140"/>
      <c r="R212" s="140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20"/>
    </row>
    <row r="213" spans="1:29" x14ac:dyDescent="0.25">
      <c r="A213" s="112"/>
      <c r="B213" s="135"/>
      <c r="C213" s="113"/>
      <c r="D213" s="113"/>
      <c r="E213" s="141"/>
      <c r="F213" s="138"/>
      <c r="G213" s="137"/>
      <c r="H213" s="114"/>
      <c r="I213" s="138"/>
      <c r="J213" s="138"/>
      <c r="K213" s="138"/>
      <c r="L213" s="138"/>
      <c r="M213" s="138"/>
      <c r="N213" s="138"/>
      <c r="O213" s="138"/>
      <c r="P213" s="149"/>
      <c r="Q213" s="140"/>
      <c r="R213" s="140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20"/>
    </row>
    <row r="214" spans="1:29" x14ac:dyDescent="0.25">
      <c r="A214" s="112"/>
      <c r="B214" s="135"/>
      <c r="C214" s="113"/>
      <c r="D214" s="113"/>
      <c r="E214" s="141"/>
      <c r="F214" s="138"/>
      <c r="G214" s="137"/>
      <c r="H214" s="114"/>
      <c r="I214" s="138"/>
      <c r="J214" s="138"/>
      <c r="K214" s="138"/>
      <c r="L214" s="138"/>
      <c r="M214" s="138"/>
      <c r="N214" s="138"/>
      <c r="O214" s="138"/>
      <c r="P214" s="149"/>
      <c r="Q214" s="140"/>
      <c r="R214" s="140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20"/>
    </row>
    <row r="215" spans="1:29" x14ac:dyDescent="0.25">
      <c r="A215" s="112"/>
      <c r="B215" s="135"/>
      <c r="C215" s="113"/>
      <c r="D215" s="113"/>
      <c r="E215" s="141"/>
      <c r="F215" s="138"/>
      <c r="G215" s="137"/>
      <c r="H215" s="114"/>
      <c r="I215" s="138"/>
      <c r="J215" s="138"/>
      <c r="K215" s="138"/>
      <c r="L215" s="138"/>
      <c r="M215" s="138"/>
      <c r="N215" s="138"/>
      <c r="O215" s="138"/>
      <c r="P215" s="149"/>
      <c r="Q215" s="140"/>
      <c r="R215" s="140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20"/>
    </row>
    <row r="216" spans="1:29" x14ac:dyDescent="0.25">
      <c r="A216" s="112"/>
      <c r="B216" s="135"/>
      <c r="C216" s="113"/>
      <c r="D216" s="113"/>
      <c r="E216" s="141"/>
      <c r="F216" s="138"/>
      <c r="G216" s="137"/>
      <c r="H216" s="114"/>
      <c r="I216" s="138"/>
      <c r="J216" s="138"/>
      <c r="K216" s="138"/>
      <c r="L216" s="138"/>
      <c r="M216" s="138"/>
      <c r="N216" s="138"/>
      <c r="O216" s="138"/>
      <c r="P216" s="149"/>
      <c r="Q216" s="140"/>
      <c r="R216" s="140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20"/>
    </row>
    <row r="217" spans="1:29" x14ac:dyDescent="0.25">
      <c r="A217" s="112"/>
      <c r="B217" s="135"/>
      <c r="C217" s="113"/>
      <c r="D217" s="113"/>
      <c r="E217" s="141"/>
      <c r="F217" s="138"/>
      <c r="G217" s="137"/>
      <c r="H217" s="114"/>
      <c r="I217" s="138"/>
      <c r="J217" s="138"/>
      <c r="K217" s="138"/>
      <c r="L217" s="138"/>
      <c r="M217" s="138"/>
      <c r="N217" s="138"/>
      <c r="O217" s="138"/>
      <c r="P217" s="149"/>
      <c r="Q217" s="140"/>
      <c r="R217" s="140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20"/>
    </row>
    <row r="218" spans="1:29" x14ac:dyDescent="0.25">
      <c r="A218" s="112"/>
      <c r="B218" s="135"/>
      <c r="C218" s="113"/>
      <c r="D218" s="113"/>
      <c r="E218" s="141"/>
      <c r="F218" s="138"/>
      <c r="G218" s="137"/>
      <c r="H218" s="114"/>
      <c r="I218" s="138"/>
      <c r="J218" s="138"/>
      <c r="K218" s="138"/>
      <c r="L218" s="138"/>
      <c r="M218" s="138"/>
      <c r="N218" s="138"/>
      <c r="O218" s="138"/>
      <c r="P218" s="149"/>
      <c r="Q218" s="140"/>
      <c r="R218" s="140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20"/>
    </row>
    <row r="219" spans="1:29" x14ac:dyDescent="0.25">
      <c r="A219" s="112"/>
      <c r="B219" s="135"/>
      <c r="C219" s="113"/>
      <c r="D219" s="113"/>
      <c r="E219" s="141"/>
      <c r="F219" s="138"/>
      <c r="G219" s="137"/>
      <c r="H219" s="114"/>
      <c r="I219" s="138"/>
      <c r="J219" s="138"/>
      <c r="K219" s="138"/>
      <c r="L219" s="138"/>
      <c r="M219" s="138"/>
      <c r="N219" s="138"/>
      <c r="O219" s="138"/>
      <c r="P219" s="149"/>
      <c r="Q219" s="140"/>
      <c r="R219" s="140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20"/>
    </row>
    <row r="220" spans="1:29" x14ac:dyDescent="0.25">
      <c r="A220" s="112"/>
      <c r="B220" s="135"/>
      <c r="C220" s="113"/>
      <c r="D220" s="113"/>
      <c r="E220" s="141"/>
      <c r="F220" s="138"/>
      <c r="G220" s="137"/>
      <c r="H220" s="114"/>
      <c r="I220" s="138"/>
      <c r="J220" s="138"/>
      <c r="K220" s="138"/>
      <c r="L220" s="138"/>
      <c r="M220" s="138"/>
      <c r="N220" s="138"/>
      <c r="O220" s="138"/>
      <c r="P220" s="149"/>
      <c r="Q220" s="140"/>
      <c r="R220" s="140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20"/>
    </row>
    <row r="221" spans="1:29" x14ac:dyDescent="0.25">
      <c r="A221" s="112"/>
      <c r="B221" s="135"/>
      <c r="C221" s="113"/>
      <c r="D221" s="113"/>
      <c r="E221" s="141"/>
      <c r="F221" s="138"/>
      <c r="G221" s="137"/>
      <c r="H221" s="114"/>
      <c r="I221" s="138"/>
      <c r="J221" s="138"/>
      <c r="K221" s="138"/>
      <c r="L221" s="138"/>
      <c r="M221" s="138"/>
      <c r="N221" s="138"/>
      <c r="O221" s="138"/>
      <c r="P221" s="149"/>
      <c r="Q221" s="140"/>
      <c r="R221" s="140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20"/>
    </row>
    <row r="222" spans="1:29" x14ac:dyDescent="0.25">
      <c r="A222" s="112"/>
      <c r="B222" s="135"/>
      <c r="C222" s="113"/>
      <c r="D222" s="113"/>
      <c r="E222" s="141"/>
      <c r="F222" s="138"/>
      <c r="G222" s="137"/>
      <c r="H222" s="114"/>
      <c r="I222" s="138"/>
      <c r="J222" s="138"/>
      <c r="K222" s="138"/>
      <c r="L222" s="138"/>
      <c r="M222" s="138"/>
      <c r="N222" s="138"/>
      <c r="O222" s="138"/>
      <c r="P222" s="149"/>
      <c r="Q222" s="140"/>
      <c r="R222" s="140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20"/>
    </row>
    <row r="223" spans="1:29" x14ac:dyDescent="0.25">
      <c r="A223" s="112"/>
      <c r="B223" s="135"/>
      <c r="C223" s="113"/>
      <c r="D223" s="113"/>
      <c r="E223" s="141"/>
      <c r="F223" s="138"/>
      <c r="G223" s="137"/>
      <c r="H223" s="114"/>
      <c r="I223" s="138"/>
      <c r="J223" s="138"/>
      <c r="K223" s="138"/>
      <c r="L223" s="138"/>
      <c r="M223" s="138"/>
      <c r="N223" s="138"/>
      <c r="O223" s="138"/>
      <c r="P223" s="149"/>
      <c r="Q223" s="140"/>
      <c r="R223" s="140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20"/>
    </row>
    <row r="224" spans="1:29" x14ac:dyDescent="0.25">
      <c r="A224" s="112"/>
      <c r="B224" s="135"/>
      <c r="C224" s="113"/>
      <c r="D224" s="113"/>
      <c r="E224" s="141"/>
      <c r="F224" s="138"/>
      <c r="G224" s="137"/>
      <c r="H224" s="114"/>
      <c r="I224" s="138"/>
      <c r="J224" s="138"/>
      <c r="K224" s="138"/>
      <c r="L224" s="138"/>
      <c r="M224" s="138"/>
      <c r="N224" s="138"/>
      <c r="O224" s="138"/>
      <c r="P224" s="149"/>
      <c r="Q224" s="140"/>
      <c r="R224" s="140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20"/>
    </row>
    <row r="225" spans="1:29" x14ac:dyDescent="0.25">
      <c r="A225" s="112"/>
      <c r="B225" s="135"/>
      <c r="C225" s="113"/>
      <c r="D225" s="113"/>
      <c r="E225" s="141"/>
      <c r="F225" s="138"/>
      <c r="G225" s="137"/>
      <c r="H225" s="114"/>
      <c r="I225" s="138"/>
      <c r="J225" s="138"/>
      <c r="K225" s="138"/>
      <c r="L225" s="138"/>
      <c r="M225" s="138"/>
      <c r="N225" s="138"/>
      <c r="O225" s="138"/>
      <c r="P225" s="149"/>
      <c r="Q225" s="140"/>
      <c r="R225" s="140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20"/>
    </row>
    <row r="226" spans="1:29" x14ac:dyDescent="0.25">
      <c r="A226" s="112"/>
      <c r="B226" s="135"/>
      <c r="C226" s="113"/>
      <c r="D226" s="113"/>
      <c r="E226" s="141"/>
      <c r="F226" s="138"/>
      <c r="G226" s="137"/>
      <c r="H226" s="114"/>
      <c r="I226" s="138"/>
      <c r="J226" s="138"/>
      <c r="K226" s="138"/>
      <c r="L226" s="138"/>
      <c r="M226" s="138"/>
      <c r="N226" s="138"/>
      <c r="O226" s="138"/>
      <c r="P226" s="149"/>
      <c r="Q226" s="140"/>
      <c r="R226" s="140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20"/>
    </row>
    <row r="227" spans="1:29" x14ac:dyDescent="0.25">
      <c r="A227" s="112"/>
      <c r="B227" s="135"/>
      <c r="C227" s="113"/>
      <c r="D227" s="113"/>
      <c r="E227" s="141"/>
      <c r="F227" s="138"/>
      <c r="G227" s="137"/>
      <c r="H227" s="114"/>
      <c r="I227" s="138"/>
      <c r="J227" s="138"/>
      <c r="K227" s="138"/>
      <c r="L227" s="138"/>
      <c r="M227" s="138"/>
      <c r="N227" s="138"/>
      <c r="O227" s="138"/>
      <c r="P227" s="149"/>
      <c r="Q227" s="140"/>
      <c r="R227" s="140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20"/>
    </row>
    <row r="228" spans="1:29" x14ac:dyDescent="0.25">
      <c r="A228" s="112"/>
      <c r="B228" s="135"/>
      <c r="C228" s="113"/>
      <c r="D228" s="113"/>
      <c r="E228" s="141"/>
      <c r="F228" s="138"/>
      <c r="G228" s="137"/>
      <c r="H228" s="114"/>
      <c r="I228" s="138"/>
      <c r="J228" s="138"/>
      <c r="K228" s="138"/>
      <c r="L228" s="138"/>
      <c r="M228" s="138"/>
      <c r="N228" s="138"/>
      <c r="O228" s="138"/>
      <c r="P228" s="149"/>
      <c r="Q228" s="140"/>
      <c r="R228" s="140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20"/>
    </row>
    <row r="229" spans="1:29" x14ac:dyDescent="0.25">
      <c r="A229" s="112"/>
      <c r="B229" s="135"/>
      <c r="C229" s="113"/>
      <c r="D229" s="113"/>
      <c r="E229" s="141"/>
      <c r="F229" s="138"/>
      <c r="G229" s="137"/>
      <c r="H229" s="114"/>
      <c r="I229" s="138"/>
      <c r="J229" s="138"/>
      <c r="K229" s="138"/>
      <c r="L229" s="138"/>
      <c r="M229" s="138"/>
      <c r="N229" s="138"/>
      <c r="O229" s="138"/>
      <c r="P229" s="149"/>
      <c r="Q229" s="140"/>
      <c r="R229" s="140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20"/>
    </row>
    <row r="230" spans="1:29" x14ac:dyDescent="0.25">
      <c r="A230" s="112"/>
      <c r="B230" s="135"/>
      <c r="C230" s="113"/>
      <c r="D230" s="113"/>
      <c r="E230" s="141"/>
      <c r="F230" s="138"/>
      <c r="G230" s="137"/>
      <c r="H230" s="114"/>
      <c r="I230" s="138"/>
      <c r="J230" s="138"/>
      <c r="K230" s="138"/>
      <c r="L230" s="138"/>
      <c r="M230" s="138"/>
      <c r="N230" s="138"/>
      <c r="O230" s="138"/>
      <c r="P230" s="149"/>
      <c r="Q230" s="140"/>
      <c r="R230" s="140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20"/>
    </row>
    <row r="231" spans="1:29" x14ac:dyDescent="0.25">
      <c r="A231" s="112"/>
      <c r="B231" s="135"/>
      <c r="C231" s="113"/>
      <c r="D231" s="113"/>
      <c r="E231" s="141"/>
      <c r="F231" s="138"/>
      <c r="G231" s="137"/>
      <c r="H231" s="114"/>
      <c r="I231" s="138"/>
      <c r="J231" s="138"/>
      <c r="K231" s="138"/>
      <c r="L231" s="138"/>
      <c r="M231" s="138"/>
      <c r="N231" s="138"/>
      <c r="O231" s="138"/>
      <c r="P231" s="149"/>
      <c r="Q231" s="140"/>
      <c r="R231" s="140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20"/>
    </row>
    <row r="232" spans="1:29" x14ac:dyDescent="0.25">
      <c r="A232" s="112"/>
      <c r="B232" s="135"/>
      <c r="C232" s="113"/>
      <c r="D232" s="113"/>
      <c r="E232" s="141"/>
      <c r="F232" s="138"/>
      <c r="G232" s="137"/>
      <c r="H232" s="114"/>
      <c r="I232" s="138"/>
      <c r="J232" s="138"/>
      <c r="K232" s="138"/>
      <c r="L232" s="138"/>
      <c r="M232" s="138"/>
      <c r="N232" s="138"/>
      <c r="O232" s="138"/>
      <c r="P232" s="149"/>
      <c r="Q232" s="140"/>
      <c r="R232" s="140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20"/>
    </row>
    <row r="233" spans="1:29" x14ac:dyDescent="0.25">
      <c r="A233" s="112"/>
      <c r="B233" s="135"/>
      <c r="C233" s="113"/>
      <c r="D233" s="113"/>
      <c r="E233" s="141"/>
      <c r="F233" s="138"/>
      <c r="G233" s="137"/>
      <c r="H233" s="114"/>
      <c r="I233" s="138"/>
      <c r="J233" s="138"/>
      <c r="K233" s="138"/>
      <c r="L233" s="138"/>
      <c r="M233" s="138"/>
      <c r="N233" s="138"/>
      <c r="O233" s="138"/>
      <c r="P233" s="149"/>
      <c r="Q233" s="140"/>
      <c r="R233" s="140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20"/>
    </row>
    <row r="234" spans="1:29" x14ac:dyDescent="0.25">
      <c r="A234" s="112"/>
      <c r="B234" s="135"/>
      <c r="C234" s="113"/>
      <c r="D234" s="113"/>
      <c r="E234" s="141"/>
      <c r="F234" s="138"/>
      <c r="G234" s="137"/>
      <c r="H234" s="114"/>
      <c r="I234" s="138"/>
      <c r="J234" s="138"/>
      <c r="K234" s="138"/>
      <c r="L234" s="138"/>
      <c r="M234" s="138"/>
      <c r="N234" s="138"/>
      <c r="O234" s="138"/>
      <c r="P234" s="149"/>
      <c r="Q234" s="140"/>
      <c r="R234" s="140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20"/>
    </row>
    <row r="235" spans="1:29" x14ac:dyDescent="0.25">
      <c r="A235" s="112"/>
      <c r="B235" s="135"/>
      <c r="C235" s="113"/>
      <c r="D235" s="113"/>
      <c r="E235" s="141"/>
      <c r="F235" s="138"/>
      <c r="G235" s="137"/>
      <c r="H235" s="114"/>
      <c r="I235" s="138"/>
      <c r="J235" s="138"/>
      <c r="K235" s="138"/>
      <c r="L235" s="138"/>
      <c r="M235" s="138"/>
      <c r="N235" s="138"/>
      <c r="O235" s="138"/>
      <c r="P235" s="149"/>
      <c r="Q235" s="140"/>
      <c r="R235" s="140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20"/>
    </row>
    <row r="236" spans="1:29" x14ac:dyDescent="0.25">
      <c r="A236" s="112"/>
      <c r="B236" s="135"/>
      <c r="C236" s="113"/>
      <c r="D236" s="113"/>
      <c r="E236" s="141"/>
      <c r="F236" s="138"/>
      <c r="G236" s="137"/>
      <c r="H236" s="114"/>
      <c r="I236" s="138"/>
      <c r="J236" s="138"/>
      <c r="K236" s="138"/>
      <c r="L236" s="138"/>
      <c r="M236" s="138"/>
      <c r="N236" s="138"/>
      <c r="O236" s="138"/>
      <c r="P236" s="149"/>
      <c r="Q236" s="140"/>
      <c r="R236" s="140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20"/>
    </row>
    <row r="237" spans="1:29" x14ac:dyDescent="0.25">
      <c r="A237" s="112"/>
      <c r="B237" s="135"/>
      <c r="C237" s="113"/>
      <c r="D237" s="113"/>
      <c r="E237" s="141"/>
      <c r="F237" s="138"/>
      <c r="G237" s="137"/>
      <c r="H237" s="114"/>
      <c r="I237" s="138"/>
      <c r="J237" s="138"/>
      <c r="K237" s="138"/>
      <c r="L237" s="138"/>
      <c r="M237" s="138"/>
      <c r="N237" s="138"/>
      <c r="O237" s="138"/>
      <c r="P237" s="149"/>
      <c r="Q237" s="140"/>
      <c r="R237" s="140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20"/>
    </row>
    <row r="238" spans="1:29" x14ac:dyDescent="0.25">
      <c r="A238" s="112"/>
      <c r="B238" s="135"/>
      <c r="C238" s="113"/>
      <c r="D238" s="113"/>
      <c r="E238" s="141"/>
      <c r="F238" s="138"/>
      <c r="G238" s="137"/>
      <c r="H238" s="114"/>
      <c r="I238" s="138"/>
      <c r="J238" s="138"/>
      <c r="K238" s="138"/>
      <c r="L238" s="138"/>
      <c r="M238" s="138"/>
      <c r="N238" s="138"/>
      <c r="O238" s="138"/>
      <c r="P238" s="149"/>
      <c r="Q238" s="140"/>
      <c r="R238" s="140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20"/>
    </row>
    <row r="239" spans="1:29" x14ac:dyDescent="0.25">
      <c r="A239" s="112"/>
      <c r="B239" s="135"/>
      <c r="C239" s="113"/>
      <c r="D239" s="113"/>
      <c r="E239" s="141"/>
      <c r="F239" s="138"/>
      <c r="G239" s="137"/>
      <c r="H239" s="114"/>
      <c r="I239" s="138"/>
      <c r="J239" s="138"/>
      <c r="K239" s="138"/>
      <c r="L239" s="138"/>
      <c r="M239" s="138"/>
      <c r="N239" s="138"/>
      <c r="O239" s="138"/>
      <c r="P239" s="149"/>
      <c r="Q239" s="140"/>
      <c r="R239" s="140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20"/>
    </row>
    <row r="240" spans="1:29" x14ac:dyDescent="0.25">
      <c r="A240" s="112"/>
      <c r="B240" s="135"/>
      <c r="C240" s="113"/>
      <c r="D240" s="113"/>
      <c r="E240" s="141"/>
      <c r="F240" s="138"/>
      <c r="G240" s="137"/>
      <c r="H240" s="114"/>
      <c r="I240" s="138"/>
      <c r="J240" s="138"/>
      <c r="K240" s="138"/>
      <c r="L240" s="138"/>
      <c r="M240" s="138"/>
      <c r="N240" s="138"/>
      <c r="O240" s="138"/>
      <c r="P240" s="149"/>
      <c r="Q240" s="140"/>
      <c r="R240" s="140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20"/>
    </row>
    <row r="241" spans="1:29" x14ac:dyDescent="0.25">
      <c r="A241" s="112"/>
      <c r="B241" s="135"/>
      <c r="C241" s="113"/>
      <c r="D241" s="113"/>
      <c r="E241" s="141"/>
      <c r="F241" s="138"/>
      <c r="G241" s="137"/>
      <c r="H241" s="114"/>
      <c r="I241" s="138"/>
      <c r="J241" s="138"/>
      <c r="K241" s="138"/>
      <c r="L241" s="138"/>
      <c r="M241" s="138"/>
      <c r="N241" s="138"/>
      <c r="O241" s="138"/>
      <c r="P241" s="149"/>
      <c r="Q241" s="140"/>
      <c r="R241" s="140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20"/>
    </row>
    <row r="242" spans="1:29" x14ac:dyDescent="0.25">
      <c r="A242" s="112"/>
      <c r="B242" s="135"/>
      <c r="C242" s="113"/>
      <c r="D242" s="113"/>
      <c r="E242" s="141"/>
      <c r="F242" s="138"/>
      <c r="G242" s="137"/>
      <c r="H242" s="114"/>
      <c r="I242" s="138"/>
      <c r="J242" s="138"/>
      <c r="K242" s="138"/>
      <c r="L242" s="138"/>
      <c r="M242" s="138"/>
      <c r="N242" s="138"/>
      <c r="O242" s="138"/>
      <c r="P242" s="149"/>
      <c r="Q242" s="140"/>
      <c r="R242" s="140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20"/>
    </row>
    <row r="243" spans="1:29" x14ac:dyDescent="0.25">
      <c r="A243" s="112"/>
      <c r="B243" s="135"/>
      <c r="C243" s="113"/>
      <c r="D243" s="113"/>
      <c r="E243" s="141"/>
      <c r="F243" s="138"/>
      <c r="G243" s="137"/>
      <c r="H243" s="114"/>
      <c r="I243" s="138"/>
      <c r="J243" s="138"/>
      <c r="K243" s="138"/>
      <c r="L243" s="138"/>
      <c r="M243" s="138"/>
      <c r="N243" s="138"/>
      <c r="O243" s="138"/>
      <c r="P243" s="149"/>
      <c r="Q243" s="140"/>
      <c r="R243" s="140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20"/>
    </row>
    <row r="244" spans="1:29" x14ac:dyDescent="0.25">
      <c r="A244" s="112"/>
      <c r="B244" s="135"/>
      <c r="C244" s="113"/>
      <c r="D244" s="113"/>
      <c r="E244" s="141"/>
      <c r="F244" s="138"/>
      <c r="G244" s="137"/>
      <c r="H244" s="114"/>
      <c r="I244" s="138"/>
      <c r="J244" s="138"/>
      <c r="K244" s="138"/>
      <c r="L244" s="138"/>
      <c r="M244" s="138"/>
      <c r="N244" s="138"/>
      <c r="O244" s="138"/>
      <c r="P244" s="149"/>
      <c r="Q244" s="140"/>
      <c r="R244" s="140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20"/>
    </row>
    <row r="245" spans="1:29" x14ac:dyDescent="0.25">
      <c r="A245" s="112"/>
      <c r="B245" s="135"/>
      <c r="C245" s="113"/>
      <c r="D245" s="113"/>
      <c r="E245" s="141"/>
      <c r="F245" s="138"/>
      <c r="G245" s="137"/>
      <c r="H245" s="114"/>
      <c r="I245" s="138"/>
      <c r="J245" s="138"/>
      <c r="K245" s="138"/>
      <c r="L245" s="138"/>
      <c r="M245" s="138"/>
      <c r="N245" s="138"/>
      <c r="O245" s="138"/>
      <c r="P245" s="149"/>
      <c r="Q245" s="140"/>
      <c r="R245" s="140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20"/>
    </row>
    <row r="246" spans="1:29" x14ac:dyDescent="0.25">
      <c r="A246" s="112"/>
      <c r="B246" s="135"/>
      <c r="C246" s="113"/>
      <c r="D246" s="113"/>
      <c r="E246" s="141"/>
      <c r="F246" s="138"/>
      <c r="G246" s="137"/>
      <c r="H246" s="114"/>
      <c r="I246" s="138"/>
      <c r="J246" s="138"/>
      <c r="K246" s="138"/>
      <c r="L246" s="138"/>
      <c r="M246" s="138"/>
      <c r="N246" s="138"/>
      <c r="O246" s="138"/>
      <c r="P246" s="149"/>
      <c r="Q246" s="140"/>
      <c r="R246" s="140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20"/>
    </row>
    <row r="247" spans="1:29" x14ac:dyDescent="0.25">
      <c r="A247" s="112"/>
      <c r="B247" s="135"/>
      <c r="C247" s="113"/>
      <c r="D247" s="113"/>
      <c r="E247" s="141"/>
      <c r="F247" s="138"/>
      <c r="G247" s="137"/>
      <c r="H247" s="114"/>
      <c r="I247" s="138"/>
      <c r="J247" s="138"/>
      <c r="K247" s="138"/>
      <c r="L247" s="138"/>
      <c r="M247" s="138"/>
      <c r="N247" s="138"/>
      <c r="O247" s="138"/>
      <c r="P247" s="149"/>
      <c r="Q247" s="140"/>
      <c r="R247" s="140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20"/>
    </row>
    <row r="248" spans="1:29" x14ac:dyDescent="0.25">
      <c r="A248" s="112"/>
      <c r="B248" s="135"/>
      <c r="C248" s="113"/>
      <c r="D248" s="113"/>
      <c r="E248" s="141"/>
      <c r="F248" s="138"/>
      <c r="G248" s="137"/>
      <c r="H248" s="114"/>
      <c r="I248" s="138"/>
      <c r="J248" s="138"/>
      <c r="K248" s="138"/>
      <c r="L248" s="138"/>
      <c r="M248" s="138"/>
      <c r="N248" s="138"/>
      <c r="O248" s="138"/>
      <c r="P248" s="149"/>
      <c r="Q248" s="140"/>
      <c r="R248" s="140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20"/>
    </row>
    <row r="249" spans="1:29" x14ac:dyDescent="0.25">
      <c r="A249" s="112"/>
      <c r="B249" s="135"/>
      <c r="C249" s="113"/>
      <c r="D249" s="113"/>
      <c r="E249" s="141"/>
      <c r="F249" s="138"/>
      <c r="G249" s="137"/>
      <c r="H249" s="114"/>
      <c r="I249" s="138"/>
      <c r="J249" s="138"/>
      <c r="K249" s="138"/>
      <c r="L249" s="138"/>
      <c r="M249" s="138"/>
      <c r="N249" s="138"/>
      <c r="O249" s="138"/>
      <c r="P249" s="149"/>
      <c r="Q249" s="140"/>
      <c r="R249" s="140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20"/>
    </row>
    <row r="250" spans="1:29" x14ac:dyDescent="0.25">
      <c r="A250" s="112"/>
      <c r="B250" s="135"/>
      <c r="C250" s="113"/>
      <c r="D250" s="113"/>
      <c r="E250" s="141"/>
      <c r="F250" s="138"/>
      <c r="G250" s="137"/>
      <c r="H250" s="114"/>
      <c r="I250" s="138"/>
      <c r="J250" s="138"/>
      <c r="K250" s="138"/>
      <c r="L250" s="138"/>
      <c r="M250" s="138"/>
      <c r="N250" s="138"/>
      <c r="O250" s="138"/>
      <c r="P250" s="149"/>
      <c r="Q250" s="140"/>
      <c r="R250" s="140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20"/>
    </row>
    <row r="251" spans="1:29" x14ac:dyDescent="0.25">
      <c r="A251" s="112"/>
      <c r="B251" s="135"/>
      <c r="C251" s="113"/>
      <c r="D251" s="113"/>
      <c r="E251" s="141"/>
      <c r="F251" s="138"/>
      <c r="G251" s="137"/>
      <c r="H251" s="114"/>
      <c r="I251" s="138"/>
      <c r="J251" s="138"/>
      <c r="K251" s="138"/>
      <c r="L251" s="138"/>
      <c r="M251" s="138"/>
      <c r="N251" s="138"/>
      <c r="O251" s="138"/>
      <c r="P251" s="149"/>
      <c r="Q251" s="140"/>
      <c r="R251" s="140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20"/>
    </row>
    <row r="252" spans="1:29" x14ac:dyDescent="0.25">
      <c r="A252" s="112"/>
      <c r="B252" s="135"/>
      <c r="C252" s="113"/>
      <c r="D252" s="113"/>
      <c r="E252" s="141"/>
      <c r="F252" s="138"/>
      <c r="G252" s="137"/>
      <c r="H252" s="114"/>
      <c r="I252" s="138"/>
      <c r="J252" s="138"/>
      <c r="K252" s="138"/>
      <c r="L252" s="138"/>
      <c r="M252" s="138"/>
      <c r="N252" s="138"/>
      <c r="O252" s="138"/>
      <c r="P252" s="149"/>
      <c r="Q252" s="140"/>
      <c r="R252" s="140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20"/>
    </row>
    <row r="253" spans="1:29" x14ac:dyDescent="0.25">
      <c r="A253" s="112"/>
      <c r="B253" s="135"/>
      <c r="C253" s="113"/>
      <c r="D253" s="113"/>
      <c r="E253" s="141"/>
      <c r="F253" s="138"/>
      <c r="G253" s="137"/>
      <c r="H253" s="114"/>
      <c r="I253" s="138"/>
      <c r="J253" s="138"/>
      <c r="K253" s="138"/>
      <c r="L253" s="138"/>
      <c r="M253" s="138"/>
      <c r="N253" s="138"/>
      <c r="O253" s="138"/>
      <c r="P253" s="149"/>
      <c r="Q253" s="140"/>
      <c r="R253" s="140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20"/>
    </row>
    <row r="254" spans="1:29" x14ac:dyDescent="0.25">
      <c r="A254" s="112"/>
      <c r="B254" s="135"/>
      <c r="C254" s="113"/>
      <c r="D254" s="113"/>
      <c r="E254" s="141"/>
      <c r="F254" s="138"/>
      <c r="G254" s="137"/>
      <c r="H254" s="114"/>
      <c r="I254" s="138"/>
      <c r="J254" s="138"/>
      <c r="K254" s="138"/>
      <c r="L254" s="138"/>
      <c r="M254" s="138"/>
      <c r="N254" s="138"/>
      <c r="O254" s="138"/>
      <c r="P254" s="149"/>
      <c r="Q254" s="140"/>
      <c r="R254" s="140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20"/>
    </row>
    <row r="255" spans="1:29" x14ac:dyDescent="0.25">
      <c r="A255" s="112"/>
      <c r="B255" s="135"/>
      <c r="C255" s="113"/>
      <c r="D255" s="113"/>
      <c r="E255" s="141"/>
      <c r="F255" s="138"/>
      <c r="G255" s="137"/>
      <c r="H255" s="114"/>
      <c r="I255" s="138"/>
      <c r="J255" s="138"/>
      <c r="K255" s="138"/>
      <c r="L255" s="138"/>
      <c r="M255" s="138"/>
      <c r="N255" s="138"/>
      <c r="O255" s="138"/>
      <c r="P255" s="149"/>
      <c r="Q255" s="140"/>
      <c r="R255" s="140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20"/>
    </row>
    <row r="256" spans="1:29" x14ac:dyDescent="0.25">
      <c r="A256" s="112"/>
      <c r="B256" s="135"/>
      <c r="C256" s="113"/>
      <c r="D256" s="113"/>
      <c r="E256" s="141"/>
      <c r="F256" s="138"/>
      <c r="G256" s="137"/>
      <c r="H256" s="114"/>
      <c r="I256" s="138"/>
      <c r="J256" s="138"/>
      <c r="K256" s="138"/>
      <c r="L256" s="138"/>
      <c r="M256" s="138"/>
      <c r="N256" s="138"/>
      <c r="O256" s="138"/>
      <c r="P256" s="149"/>
      <c r="Q256" s="140"/>
      <c r="R256" s="140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20"/>
    </row>
    <row r="257" spans="1:29" x14ac:dyDescent="0.25">
      <c r="A257" s="112"/>
      <c r="B257" s="135"/>
      <c r="C257" s="113"/>
      <c r="D257" s="113"/>
      <c r="E257" s="141"/>
      <c r="F257" s="138"/>
      <c r="G257" s="137"/>
      <c r="H257" s="114"/>
      <c r="I257" s="138"/>
      <c r="J257" s="138"/>
      <c r="K257" s="138"/>
      <c r="L257" s="138"/>
      <c r="M257" s="138"/>
      <c r="N257" s="138"/>
      <c r="O257" s="138"/>
      <c r="P257" s="149"/>
      <c r="Q257" s="140"/>
      <c r="R257" s="140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20"/>
    </row>
    <row r="258" spans="1:29" x14ac:dyDescent="0.25">
      <c r="A258" s="112"/>
      <c r="B258" s="135"/>
      <c r="C258" s="113"/>
      <c r="D258" s="113"/>
      <c r="E258" s="141"/>
      <c r="F258" s="138"/>
      <c r="G258" s="137"/>
      <c r="H258" s="114"/>
      <c r="I258" s="138"/>
      <c r="J258" s="138"/>
      <c r="K258" s="138"/>
      <c r="L258" s="138"/>
      <c r="M258" s="138"/>
      <c r="N258" s="138"/>
      <c r="O258" s="138"/>
      <c r="P258" s="149"/>
      <c r="Q258" s="140"/>
      <c r="R258" s="140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20"/>
    </row>
    <row r="259" spans="1:29" x14ac:dyDescent="0.25">
      <c r="A259" s="112"/>
      <c r="B259" s="135"/>
      <c r="C259" s="113"/>
      <c r="D259" s="113"/>
      <c r="E259" s="141"/>
      <c r="F259" s="138"/>
      <c r="G259" s="137"/>
      <c r="H259" s="114"/>
      <c r="I259" s="138"/>
      <c r="J259" s="138"/>
      <c r="K259" s="138"/>
      <c r="L259" s="138"/>
      <c r="M259" s="138"/>
      <c r="N259" s="138"/>
      <c r="O259" s="138"/>
      <c r="P259" s="149"/>
      <c r="Q259" s="140"/>
      <c r="R259" s="140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20"/>
    </row>
    <row r="260" spans="1:29" x14ac:dyDescent="0.25">
      <c r="A260" s="112"/>
      <c r="B260" s="135"/>
      <c r="C260" s="113"/>
      <c r="D260" s="113"/>
      <c r="E260" s="141"/>
      <c r="F260" s="138"/>
      <c r="G260" s="137"/>
      <c r="H260" s="114"/>
      <c r="I260" s="138"/>
      <c r="J260" s="138"/>
      <c r="K260" s="138"/>
      <c r="L260" s="138"/>
      <c r="M260" s="138"/>
      <c r="N260" s="138"/>
      <c r="O260" s="138"/>
      <c r="P260" s="149"/>
      <c r="Q260" s="140"/>
      <c r="R260" s="140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20"/>
    </row>
    <row r="261" spans="1:29" x14ac:dyDescent="0.25">
      <c r="A261" s="112"/>
      <c r="B261" s="135"/>
      <c r="C261" s="113"/>
      <c r="D261" s="113"/>
      <c r="E261" s="141"/>
      <c r="F261" s="138"/>
      <c r="G261" s="137"/>
      <c r="H261" s="114"/>
      <c r="I261" s="138"/>
      <c r="J261" s="138"/>
      <c r="K261" s="138"/>
      <c r="L261" s="138"/>
      <c r="M261" s="138"/>
      <c r="N261" s="138"/>
      <c r="O261" s="138"/>
      <c r="P261" s="149"/>
      <c r="Q261" s="140"/>
      <c r="R261" s="140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20"/>
    </row>
    <row r="262" spans="1:29" x14ac:dyDescent="0.25">
      <c r="A262" s="112"/>
      <c r="B262" s="135"/>
      <c r="C262" s="113"/>
      <c r="D262" s="113"/>
      <c r="E262" s="141"/>
      <c r="F262" s="138"/>
      <c r="G262" s="137"/>
      <c r="H262" s="114"/>
      <c r="I262" s="138"/>
      <c r="J262" s="138"/>
      <c r="K262" s="138"/>
      <c r="L262" s="138"/>
      <c r="M262" s="138"/>
      <c r="N262" s="138"/>
      <c r="O262" s="138"/>
      <c r="P262" s="149"/>
      <c r="Q262" s="140"/>
      <c r="R262" s="140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20"/>
    </row>
    <row r="263" spans="1:29" x14ac:dyDescent="0.25">
      <c r="A263" s="112"/>
      <c r="B263" s="135"/>
      <c r="C263" s="113"/>
      <c r="D263" s="113"/>
      <c r="E263" s="141"/>
      <c r="F263" s="138"/>
      <c r="G263" s="137"/>
      <c r="H263" s="114"/>
      <c r="I263" s="138"/>
      <c r="J263" s="138"/>
      <c r="K263" s="138"/>
      <c r="L263" s="138"/>
      <c r="M263" s="138"/>
      <c r="N263" s="138"/>
      <c r="O263" s="138"/>
      <c r="P263" s="149"/>
      <c r="Q263" s="140"/>
      <c r="R263" s="140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20"/>
    </row>
    <row r="264" spans="1:29" x14ac:dyDescent="0.25">
      <c r="A264" s="112"/>
      <c r="B264" s="135"/>
      <c r="C264" s="113"/>
      <c r="D264" s="113"/>
      <c r="E264" s="141"/>
      <c r="F264" s="138"/>
      <c r="G264" s="137"/>
      <c r="H264" s="114"/>
      <c r="I264" s="138"/>
      <c r="J264" s="138"/>
      <c r="K264" s="138"/>
      <c r="L264" s="138"/>
      <c r="M264" s="138"/>
      <c r="N264" s="138"/>
      <c r="O264" s="138"/>
      <c r="P264" s="149"/>
      <c r="Q264" s="140"/>
      <c r="R264" s="140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20"/>
    </row>
    <row r="265" spans="1:29" x14ac:dyDescent="0.25">
      <c r="A265" s="112"/>
      <c r="B265" s="135"/>
      <c r="C265" s="113"/>
      <c r="D265" s="113"/>
      <c r="E265" s="141"/>
      <c r="F265" s="138"/>
      <c r="G265" s="137"/>
      <c r="H265" s="114"/>
      <c r="I265" s="138"/>
      <c r="J265" s="138"/>
      <c r="K265" s="138"/>
      <c r="L265" s="138"/>
      <c r="M265" s="138"/>
      <c r="N265" s="138"/>
      <c r="O265" s="138"/>
      <c r="P265" s="149"/>
      <c r="Q265" s="140"/>
      <c r="R265" s="140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20"/>
    </row>
    <row r="266" spans="1:29" x14ac:dyDescent="0.25">
      <c r="A266" s="112"/>
      <c r="B266" s="135"/>
      <c r="C266" s="113"/>
      <c r="D266" s="113"/>
      <c r="E266" s="141"/>
      <c r="F266" s="138"/>
      <c r="G266" s="137"/>
      <c r="H266" s="114"/>
      <c r="I266" s="138"/>
      <c r="J266" s="138"/>
      <c r="K266" s="138"/>
      <c r="L266" s="138"/>
      <c r="M266" s="138"/>
      <c r="N266" s="138"/>
      <c r="O266" s="138"/>
      <c r="P266" s="149"/>
      <c r="Q266" s="140"/>
      <c r="R266" s="140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20"/>
    </row>
    <row r="267" spans="1:29" x14ac:dyDescent="0.25">
      <c r="A267" s="112"/>
      <c r="B267" s="135"/>
      <c r="C267" s="113"/>
      <c r="D267" s="113"/>
      <c r="E267" s="141"/>
      <c r="F267" s="138"/>
      <c r="G267" s="137"/>
      <c r="H267" s="114"/>
      <c r="I267" s="138"/>
      <c r="J267" s="138"/>
      <c r="K267" s="138"/>
      <c r="L267" s="138"/>
      <c r="M267" s="138"/>
      <c r="N267" s="138"/>
      <c r="O267" s="138"/>
      <c r="P267" s="149"/>
      <c r="Q267" s="140"/>
      <c r="R267" s="140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20"/>
    </row>
    <row r="268" spans="1:29" x14ac:dyDescent="0.25">
      <c r="A268" s="112"/>
      <c r="B268" s="135"/>
      <c r="C268" s="113"/>
      <c r="D268" s="113"/>
      <c r="E268" s="141"/>
      <c r="F268" s="138"/>
      <c r="G268" s="137"/>
      <c r="H268" s="114"/>
      <c r="I268" s="138"/>
      <c r="J268" s="138"/>
      <c r="K268" s="138"/>
      <c r="L268" s="138"/>
      <c r="M268" s="138"/>
      <c r="N268" s="138"/>
      <c r="O268" s="138"/>
      <c r="P268" s="149"/>
      <c r="Q268" s="140"/>
      <c r="R268" s="140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20"/>
    </row>
    <row r="269" spans="1:29" x14ac:dyDescent="0.25">
      <c r="A269" s="112"/>
      <c r="B269" s="135"/>
      <c r="C269" s="113"/>
      <c r="D269" s="113"/>
      <c r="E269" s="141"/>
      <c r="F269" s="138"/>
      <c r="G269" s="137"/>
      <c r="H269" s="114"/>
      <c r="I269" s="138"/>
      <c r="J269" s="138"/>
      <c r="K269" s="138"/>
      <c r="L269" s="138"/>
      <c r="M269" s="138"/>
      <c r="N269" s="138"/>
      <c r="O269" s="138"/>
      <c r="P269" s="149"/>
      <c r="Q269" s="140"/>
      <c r="R269" s="140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20"/>
    </row>
    <row r="270" spans="1:29" x14ac:dyDescent="0.25">
      <c r="A270" s="112"/>
      <c r="B270" s="135"/>
      <c r="C270" s="113"/>
      <c r="D270" s="113"/>
      <c r="E270" s="141"/>
      <c r="F270" s="138"/>
      <c r="G270" s="137"/>
      <c r="H270" s="114"/>
      <c r="I270" s="138"/>
      <c r="J270" s="138"/>
      <c r="K270" s="138"/>
      <c r="L270" s="138"/>
      <c r="M270" s="138"/>
      <c r="N270" s="138"/>
      <c r="O270" s="138"/>
      <c r="P270" s="149"/>
      <c r="Q270" s="140"/>
      <c r="R270" s="140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20"/>
    </row>
    <row r="271" spans="1:29" x14ac:dyDescent="0.25">
      <c r="A271" s="112"/>
      <c r="B271" s="135"/>
      <c r="C271" s="113"/>
      <c r="D271" s="113"/>
      <c r="E271" s="141"/>
      <c r="F271" s="138"/>
      <c r="G271" s="137"/>
      <c r="H271" s="114"/>
      <c r="I271" s="138"/>
      <c r="J271" s="138"/>
      <c r="K271" s="138"/>
      <c r="L271" s="138"/>
      <c r="M271" s="138"/>
      <c r="N271" s="138"/>
      <c r="O271" s="138"/>
      <c r="P271" s="149"/>
      <c r="Q271" s="140"/>
      <c r="R271" s="140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20"/>
    </row>
    <row r="272" spans="1:29" x14ac:dyDescent="0.25">
      <c r="A272" s="112"/>
      <c r="B272" s="135"/>
      <c r="C272" s="113"/>
      <c r="D272" s="113"/>
      <c r="E272" s="141"/>
      <c r="F272" s="138"/>
      <c r="G272" s="137"/>
      <c r="H272" s="114"/>
      <c r="I272" s="138"/>
      <c r="J272" s="138"/>
      <c r="K272" s="138"/>
      <c r="L272" s="138"/>
      <c r="M272" s="138"/>
      <c r="N272" s="138"/>
      <c r="O272" s="138"/>
      <c r="P272" s="149"/>
      <c r="Q272" s="140"/>
      <c r="R272" s="140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20"/>
    </row>
    <row r="273" spans="1:29" x14ac:dyDescent="0.25">
      <c r="A273" s="112"/>
      <c r="B273" s="135"/>
      <c r="C273" s="113"/>
      <c r="D273" s="113"/>
      <c r="E273" s="141"/>
      <c r="F273" s="138"/>
      <c r="G273" s="137"/>
      <c r="H273" s="114"/>
      <c r="I273" s="138"/>
      <c r="J273" s="138"/>
      <c r="K273" s="138"/>
      <c r="L273" s="138"/>
      <c r="M273" s="138"/>
      <c r="N273" s="138"/>
      <c r="O273" s="138"/>
      <c r="P273" s="149"/>
      <c r="Q273" s="140"/>
      <c r="R273" s="140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20"/>
    </row>
    <row r="274" spans="1:29" x14ac:dyDescent="0.25">
      <c r="A274" s="112"/>
      <c r="B274" s="135"/>
      <c r="C274" s="113"/>
      <c r="D274" s="113"/>
      <c r="E274" s="141"/>
      <c r="F274" s="138"/>
      <c r="G274" s="137"/>
      <c r="H274" s="114"/>
      <c r="I274" s="138"/>
      <c r="J274" s="138"/>
      <c r="K274" s="138"/>
      <c r="L274" s="138"/>
      <c r="M274" s="138"/>
      <c r="N274" s="138"/>
      <c r="O274" s="138"/>
      <c r="P274" s="149"/>
      <c r="Q274" s="140"/>
      <c r="R274" s="140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20"/>
    </row>
    <row r="275" spans="1:29" x14ac:dyDescent="0.25">
      <c r="A275" s="112"/>
      <c r="B275" s="135"/>
      <c r="C275" s="113"/>
      <c r="D275" s="113"/>
      <c r="E275" s="141"/>
      <c r="F275" s="138"/>
      <c r="G275" s="137"/>
      <c r="H275" s="114"/>
      <c r="I275" s="138"/>
      <c r="J275" s="138"/>
      <c r="K275" s="138"/>
      <c r="L275" s="138"/>
      <c r="M275" s="138"/>
      <c r="N275" s="138"/>
      <c r="O275" s="138"/>
      <c r="P275" s="149"/>
      <c r="Q275" s="140"/>
      <c r="R275" s="140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20"/>
    </row>
    <row r="276" spans="1:29" x14ac:dyDescent="0.25">
      <c r="A276" s="112"/>
      <c r="B276" s="135"/>
      <c r="C276" s="113"/>
      <c r="D276" s="113"/>
      <c r="E276" s="141"/>
      <c r="F276" s="138"/>
      <c r="G276" s="137"/>
      <c r="H276" s="114"/>
      <c r="I276" s="138"/>
      <c r="J276" s="138"/>
      <c r="K276" s="138"/>
      <c r="L276" s="138"/>
      <c r="M276" s="138"/>
      <c r="N276" s="138"/>
      <c r="O276" s="138"/>
      <c r="P276" s="149"/>
      <c r="Q276" s="140"/>
      <c r="R276" s="140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20"/>
    </row>
    <row r="277" spans="1:29" x14ac:dyDescent="0.25">
      <c r="A277" s="112"/>
      <c r="B277" s="135"/>
      <c r="C277" s="113"/>
      <c r="D277" s="113"/>
      <c r="E277" s="141"/>
      <c r="F277" s="138"/>
      <c r="G277" s="137"/>
      <c r="H277" s="114"/>
      <c r="I277" s="138"/>
      <c r="J277" s="138"/>
      <c r="K277" s="138"/>
      <c r="L277" s="138"/>
      <c r="M277" s="138"/>
      <c r="N277" s="138"/>
      <c r="O277" s="138"/>
      <c r="P277" s="149"/>
      <c r="Q277" s="140"/>
      <c r="R277" s="140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20"/>
    </row>
    <row r="278" spans="1:29" x14ac:dyDescent="0.25">
      <c r="A278" s="112"/>
      <c r="B278" s="135"/>
      <c r="C278" s="113"/>
      <c r="D278" s="113"/>
      <c r="E278" s="141"/>
      <c r="F278" s="138"/>
      <c r="G278" s="137"/>
      <c r="H278" s="114"/>
      <c r="I278" s="138"/>
      <c r="J278" s="138"/>
      <c r="K278" s="138"/>
      <c r="L278" s="138"/>
      <c r="M278" s="138"/>
      <c r="N278" s="138"/>
      <c r="O278" s="138"/>
      <c r="P278" s="149"/>
      <c r="Q278" s="140"/>
      <c r="R278" s="140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20"/>
    </row>
    <row r="279" spans="1:29" x14ac:dyDescent="0.25">
      <c r="A279" s="112"/>
      <c r="B279" s="135"/>
      <c r="C279" s="113"/>
      <c r="D279" s="113"/>
      <c r="E279" s="141"/>
      <c r="F279" s="138"/>
      <c r="G279" s="137"/>
      <c r="H279" s="114"/>
      <c r="I279" s="138"/>
      <c r="J279" s="138"/>
      <c r="K279" s="138"/>
      <c r="L279" s="138"/>
      <c r="M279" s="138"/>
      <c r="N279" s="138"/>
      <c r="O279" s="138"/>
      <c r="P279" s="149"/>
      <c r="Q279" s="140"/>
      <c r="R279" s="140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20"/>
    </row>
    <row r="280" spans="1:29" x14ac:dyDescent="0.25">
      <c r="A280" s="112"/>
      <c r="B280" s="135"/>
      <c r="C280" s="113"/>
      <c r="D280" s="113"/>
      <c r="E280" s="141"/>
      <c r="F280" s="138"/>
      <c r="G280" s="137"/>
      <c r="H280" s="114"/>
      <c r="I280" s="138"/>
      <c r="J280" s="138"/>
      <c r="K280" s="138"/>
      <c r="L280" s="138"/>
      <c r="M280" s="138"/>
      <c r="N280" s="138"/>
      <c r="O280" s="138"/>
      <c r="P280" s="149"/>
      <c r="Q280" s="140"/>
      <c r="R280" s="140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20"/>
    </row>
    <row r="281" spans="1:29" x14ac:dyDescent="0.25">
      <c r="A281" s="112"/>
      <c r="B281" s="135"/>
      <c r="C281" s="113"/>
      <c r="D281" s="113"/>
      <c r="E281" s="141"/>
      <c r="F281" s="138"/>
      <c r="G281" s="137"/>
      <c r="H281" s="114"/>
      <c r="I281" s="138"/>
      <c r="J281" s="138"/>
      <c r="K281" s="138"/>
      <c r="L281" s="138"/>
      <c r="M281" s="138"/>
      <c r="N281" s="138"/>
      <c r="O281" s="138"/>
      <c r="P281" s="149"/>
      <c r="Q281" s="140"/>
      <c r="R281" s="140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20"/>
    </row>
    <row r="282" spans="1:29" x14ac:dyDescent="0.25">
      <c r="A282" s="112"/>
      <c r="B282" s="135"/>
      <c r="C282" s="113"/>
      <c r="D282" s="113"/>
      <c r="E282" s="141"/>
      <c r="F282" s="138"/>
      <c r="G282" s="137"/>
      <c r="H282" s="114"/>
      <c r="I282" s="138"/>
      <c r="J282" s="138"/>
      <c r="K282" s="138"/>
      <c r="L282" s="138"/>
      <c r="M282" s="138"/>
      <c r="N282" s="138"/>
      <c r="O282" s="138"/>
      <c r="P282" s="149"/>
      <c r="Q282" s="140"/>
      <c r="R282" s="140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20"/>
    </row>
    <row r="283" spans="1:29" x14ac:dyDescent="0.25">
      <c r="A283" s="112"/>
      <c r="B283" s="135"/>
      <c r="C283" s="113"/>
      <c r="D283" s="113"/>
      <c r="E283" s="141"/>
      <c r="F283" s="138"/>
      <c r="G283" s="137"/>
      <c r="H283" s="114"/>
      <c r="I283" s="138"/>
      <c r="J283" s="138"/>
      <c r="K283" s="138"/>
      <c r="L283" s="138"/>
      <c r="M283" s="138"/>
      <c r="N283" s="138"/>
      <c r="O283" s="138"/>
      <c r="P283" s="149"/>
      <c r="Q283" s="140"/>
      <c r="R283" s="140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20"/>
    </row>
    <row r="284" spans="1:29" x14ac:dyDescent="0.25">
      <c r="A284" s="112"/>
      <c r="B284" s="135"/>
      <c r="C284" s="113"/>
      <c r="D284" s="113"/>
      <c r="E284" s="141"/>
      <c r="F284" s="138"/>
      <c r="G284" s="137"/>
      <c r="H284" s="114"/>
      <c r="I284" s="138"/>
      <c r="J284" s="138"/>
      <c r="K284" s="138"/>
      <c r="L284" s="138"/>
      <c r="M284" s="138"/>
      <c r="N284" s="138"/>
      <c r="O284" s="138"/>
      <c r="P284" s="149"/>
      <c r="Q284" s="140"/>
      <c r="R284" s="140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20"/>
    </row>
    <row r="285" spans="1:29" x14ac:dyDescent="0.25">
      <c r="A285" s="112"/>
      <c r="B285" s="135"/>
      <c r="C285" s="113"/>
      <c r="D285" s="113"/>
      <c r="E285" s="141"/>
      <c r="F285" s="138"/>
      <c r="G285" s="137"/>
      <c r="H285" s="114"/>
      <c r="I285" s="138"/>
      <c r="J285" s="138"/>
      <c r="K285" s="138"/>
      <c r="L285" s="138"/>
      <c r="M285" s="138"/>
      <c r="N285" s="138"/>
      <c r="O285" s="138"/>
      <c r="P285" s="149"/>
      <c r="Q285" s="140"/>
      <c r="R285" s="140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20"/>
    </row>
    <row r="286" spans="1:29" x14ac:dyDescent="0.25">
      <c r="A286" s="112"/>
      <c r="B286" s="135"/>
      <c r="C286" s="113"/>
      <c r="D286" s="113"/>
      <c r="E286" s="141"/>
      <c r="F286" s="138"/>
      <c r="G286" s="137"/>
      <c r="H286" s="114"/>
      <c r="I286" s="138"/>
      <c r="J286" s="138"/>
      <c r="K286" s="138"/>
      <c r="L286" s="138"/>
      <c r="M286" s="138"/>
      <c r="N286" s="138"/>
      <c r="O286" s="138"/>
      <c r="P286" s="149"/>
      <c r="Q286" s="140"/>
      <c r="R286" s="140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20"/>
    </row>
    <row r="287" spans="1:29" x14ac:dyDescent="0.25">
      <c r="A287" s="112"/>
      <c r="B287" s="135"/>
      <c r="C287" s="113"/>
      <c r="D287" s="113"/>
      <c r="E287" s="141"/>
      <c r="F287" s="138"/>
      <c r="G287" s="137"/>
      <c r="H287" s="114"/>
      <c r="I287" s="138"/>
      <c r="J287" s="138"/>
      <c r="K287" s="138"/>
      <c r="L287" s="138"/>
      <c r="M287" s="138"/>
      <c r="N287" s="138"/>
      <c r="O287" s="138"/>
      <c r="P287" s="149"/>
      <c r="Q287" s="140"/>
      <c r="R287" s="140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20"/>
    </row>
    <row r="288" spans="1:29" x14ac:dyDescent="0.25">
      <c r="A288" s="112"/>
      <c r="B288" s="135"/>
      <c r="C288" s="113"/>
      <c r="D288" s="113"/>
      <c r="E288" s="141"/>
      <c r="F288" s="138"/>
      <c r="G288" s="137"/>
      <c r="H288" s="114"/>
      <c r="I288" s="138"/>
      <c r="J288" s="138"/>
      <c r="K288" s="138"/>
      <c r="L288" s="138"/>
      <c r="M288" s="138"/>
      <c r="N288" s="138"/>
      <c r="O288" s="138"/>
      <c r="P288" s="149"/>
      <c r="Q288" s="140"/>
      <c r="R288" s="140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20"/>
    </row>
    <row r="289" spans="1:29" x14ac:dyDescent="0.25">
      <c r="A289" s="112"/>
      <c r="B289" s="135"/>
      <c r="C289" s="113"/>
      <c r="D289" s="113"/>
      <c r="E289" s="141"/>
      <c r="F289" s="138"/>
      <c r="G289" s="137"/>
      <c r="H289" s="114"/>
      <c r="I289" s="138"/>
      <c r="J289" s="138"/>
      <c r="K289" s="138"/>
      <c r="L289" s="138"/>
      <c r="M289" s="138"/>
      <c r="N289" s="138"/>
      <c r="O289" s="138"/>
      <c r="P289" s="149"/>
      <c r="Q289" s="140"/>
      <c r="R289" s="140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20"/>
    </row>
    <row r="290" spans="1:29" x14ac:dyDescent="0.25">
      <c r="A290" s="112"/>
      <c r="B290" s="135"/>
      <c r="C290" s="113"/>
      <c r="D290" s="113"/>
      <c r="E290" s="141"/>
      <c r="F290" s="138"/>
      <c r="G290" s="137"/>
      <c r="H290" s="114"/>
      <c r="I290" s="138"/>
      <c r="J290" s="138"/>
      <c r="K290" s="138"/>
      <c r="L290" s="138"/>
      <c r="M290" s="138"/>
      <c r="N290" s="138"/>
      <c r="O290" s="138"/>
      <c r="P290" s="149"/>
      <c r="Q290" s="140"/>
      <c r="R290" s="140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20"/>
    </row>
    <row r="291" spans="1:29" x14ac:dyDescent="0.25">
      <c r="A291" s="112"/>
      <c r="B291" s="135"/>
      <c r="C291" s="113"/>
      <c r="D291" s="113"/>
      <c r="E291" s="141"/>
      <c r="F291" s="138"/>
      <c r="G291" s="137"/>
      <c r="H291" s="114"/>
      <c r="I291" s="138"/>
      <c r="J291" s="138"/>
      <c r="K291" s="138"/>
      <c r="L291" s="138"/>
      <c r="M291" s="138"/>
      <c r="N291" s="138"/>
      <c r="O291" s="138"/>
      <c r="P291" s="149"/>
      <c r="Q291" s="140"/>
      <c r="R291" s="140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20"/>
    </row>
    <row r="292" spans="1:29" x14ac:dyDescent="0.25">
      <c r="A292" s="112"/>
      <c r="B292" s="135"/>
      <c r="C292" s="113"/>
      <c r="D292" s="113"/>
      <c r="E292" s="141"/>
      <c r="F292" s="138"/>
      <c r="G292" s="137"/>
      <c r="H292" s="114"/>
      <c r="I292" s="138"/>
      <c r="J292" s="138"/>
      <c r="K292" s="138"/>
      <c r="L292" s="138"/>
      <c r="M292" s="138"/>
      <c r="N292" s="138"/>
      <c r="O292" s="138"/>
      <c r="P292" s="149"/>
      <c r="Q292" s="140"/>
      <c r="R292" s="140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20"/>
    </row>
    <row r="293" spans="1:29" x14ac:dyDescent="0.25">
      <c r="A293" s="112"/>
      <c r="B293" s="135"/>
      <c r="C293" s="113"/>
      <c r="D293" s="113"/>
      <c r="E293" s="141"/>
      <c r="F293" s="138"/>
      <c r="G293" s="137"/>
      <c r="H293" s="114"/>
      <c r="I293" s="138"/>
      <c r="J293" s="138"/>
      <c r="K293" s="138"/>
      <c r="L293" s="138"/>
      <c r="M293" s="138"/>
      <c r="N293" s="138"/>
      <c r="O293" s="138"/>
      <c r="P293" s="149"/>
      <c r="Q293" s="140"/>
      <c r="R293" s="140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20"/>
    </row>
    <row r="294" spans="1:29" x14ac:dyDescent="0.25">
      <c r="A294" s="112"/>
      <c r="B294" s="135"/>
      <c r="C294" s="113"/>
      <c r="D294" s="113"/>
      <c r="E294" s="141"/>
      <c r="F294" s="138"/>
      <c r="G294" s="137"/>
      <c r="H294" s="114"/>
      <c r="I294" s="138"/>
      <c r="J294" s="138"/>
      <c r="K294" s="138"/>
      <c r="L294" s="138"/>
      <c r="M294" s="138"/>
      <c r="N294" s="138"/>
      <c r="O294" s="138"/>
      <c r="P294" s="149"/>
      <c r="Q294" s="140"/>
      <c r="R294" s="140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20"/>
    </row>
    <row r="295" spans="1:29" x14ac:dyDescent="0.25">
      <c r="A295" s="112"/>
      <c r="B295" s="135"/>
      <c r="C295" s="113"/>
      <c r="D295" s="113"/>
      <c r="E295" s="141"/>
      <c r="F295" s="138"/>
      <c r="G295" s="137"/>
      <c r="H295" s="114"/>
      <c r="I295" s="138"/>
      <c r="J295" s="138"/>
      <c r="K295" s="138"/>
      <c r="L295" s="138"/>
      <c r="M295" s="138"/>
      <c r="N295" s="138"/>
      <c r="O295" s="138"/>
      <c r="P295" s="149"/>
      <c r="Q295" s="140"/>
      <c r="R295" s="140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20"/>
    </row>
    <row r="296" spans="1:29" x14ac:dyDescent="0.25">
      <c r="A296" s="112"/>
      <c r="B296" s="135"/>
      <c r="C296" s="113"/>
      <c r="D296" s="113"/>
      <c r="E296" s="141"/>
      <c r="F296" s="138"/>
      <c r="G296" s="137"/>
      <c r="H296" s="114"/>
      <c r="I296" s="138"/>
      <c r="J296" s="138"/>
      <c r="K296" s="138"/>
      <c r="L296" s="138"/>
      <c r="M296" s="138"/>
      <c r="N296" s="138"/>
      <c r="O296" s="138"/>
      <c r="P296" s="149"/>
      <c r="Q296" s="140"/>
      <c r="R296" s="140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20"/>
    </row>
    <row r="297" spans="1:29" x14ac:dyDescent="0.25">
      <c r="A297" s="112"/>
      <c r="B297" s="135"/>
      <c r="C297" s="113"/>
      <c r="D297" s="113"/>
      <c r="E297" s="141"/>
      <c r="F297" s="138"/>
      <c r="G297" s="137"/>
      <c r="H297" s="114"/>
      <c r="I297" s="138"/>
      <c r="J297" s="138"/>
      <c r="K297" s="138"/>
      <c r="L297" s="138"/>
      <c r="M297" s="138"/>
      <c r="N297" s="138"/>
      <c r="O297" s="138"/>
      <c r="P297" s="149"/>
      <c r="Q297" s="140"/>
      <c r="R297" s="140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20"/>
    </row>
    <row r="298" spans="1:29" x14ac:dyDescent="0.25">
      <c r="A298" s="112"/>
      <c r="B298" s="135"/>
      <c r="C298" s="113"/>
      <c r="D298" s="113"/>
      <c r="E298" s="141"/>
      <c r="F298" s="138"/>
      <c r="G298" s="137"/>
      <c r="H298" s="114"/>
      <c r="I298" s="138"/>
      <c r="J298" s="138"/>
      <c r="K298" s="138"/>
      <c r="L298" s="138"/>
      <c r="M298" s="138"/>
      <c r="N298" s="138"/>
      <c r="O298" s="138"/>
      <c r="P298" s="149"/>
      <c r="Q298" s="140"/>
      <c r="R298" s="140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20"/>
    </row>
    <row r="299" spans="1:29" x14ac:dyDescent="0.25">
      <c r="A299" s="112"/>
      <c r="B299" s="135"/>
      <c r="C299" s="113"/>
      <c r="D299" s="113"/>
      <c r="E299" s="141"/>
      <c r="F299" s="138"/>
      <c r="G299" s="137"/>
      <c r="H299" s="114"/>
      <c r="I299" s="138"/>
      <c r="J299" s="138"/>
      <c r="K299" s="138"/>
      <c r="L299" s="138"/>
      <c r="M299" s="138"/>
      <c r="N299" s="138"/>
      <c r="O299" s="138"/>
      <c r="P299" s="149"/>
      <c r="Q299" s="140"/>
      <c r="R299" s="140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20"/>
    </row>
    <row r="300" spans="1:29" x14ac:dyDescent="0.25">
      <c r="A300" s="112"/>
      <c r="B300" s="135"/>
      <c r="C300" s="113"/>
      <c r="D300" s="113"/>
      <c r="E300" s="141"/>
      <c r="F300" s="138"/>
      <c r="G300" s="137"/>
      <c r="H300" s="114"/>
      <c r="I300" s="138"/>
      <c r="J300" s="138"/>
      <c r="K300" s="138"/>
      <c r="L300" s="138"/>
      <c r="M300" s="138"/>
      <c r="N300" s="138"/>
      <c r="O300" s="138"/>
      <c r="P300" s="149"/>
      <c r="Q300" s="140"/>
      <c r="R300" s="140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20"/>
    </row>
    <row r="301" spans="1:29" x14ac:dyDescent="0.25">
      <c r="A301" s="112"/>
      <c r="B301" s="135"/>
      <c r="C301" s="113"/>
      <c r="D301" s="113"/>
      <c r="E301" s="141"/>
      <c r="F301" s="138"/>
      <c r="G301" s="137"/>
      <c r="H301" s="114"/>
      <c r="I301" s="138"/>
      <c r="J301" s="138"/>
      <c r="K301" s="138"/>
      <c r="L301" s="138"/>
      <c r="M301" s="138"/>
      <c r="N301" s="138"/>
      <c r="O301" s="138"/>
      <c r="P301" s="149"/>
      <c r="Q301" s="140"/>
      <c r="R301" s="140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20"/>
    </row>
    <row r="302" spans="1:29" x14ac:dyDescent="0.25">
      <c r="A302" s="112"/>
      <c r="B302" s="135"/>
      <c r="C302" s="113"/>
      <c r="D302" s="113"/>
      <c r="E302" s="141"/>
      <c r="F302" s="138"/>
      <c r="G302" s="137"/>
      <c r="H302" s="114"/>
      <c r="I302" s="138"/>
      <c r="J302" s="138"/>
      <c r="K302" s="138"/>
      <c r="L302" s="138"/>
      <c r="M302" s="138"/>
      <c r="N302" s="138"/>
      <c r="O302" s="138"/>
      <c r="P302" s="149"/>
      <c r="Q302" s="140"/>
      <c r="R302" s="140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20"/>
    </row>
    <row r="303" spans="1:29" x14ac:dyDescent="0.25">
      <c r="A303" s="112"/>
      <c r="B303" s="135"/>
      <c r="C303" s="113"/>
      <c r="D303" s="113"/>
      <c r="E303" s="141"/>
      <c r="F303" s="138"/>
      <c r="G303" s="137"/>
      <c r="H303" s="114"/>
      <c r="I303" s="138"/>
      <c r="J303" s="138"/>
      <c r="K303" s="138"/>
      <c r="L303" s="138"/>
      <c r="M303" s="138"/>
      <c r="N303" s="138"/>
      <c r="O303" s="138"/>
      <c r="P303" s="149"/>
      <c r="Q303" s="140"/>
      <c r="R303" s="140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20"/>
    </row>
    <row r="304" spans="1:29" x14ac:dyDescent="0.25">
      <c r="A304" s="112"/>
      <c r="B304" s="135"/>
      <c r="C304" s="113"/>
      <c r="D304" s="113"/>
      <c r="E304" s="141"/>
      <c r="F304" s="138"/>
      <c r="G304" s="137"/>
      <c r="H304" s="114"/>
      <c r="I304" s="138"/>
      <c r="J304" s="138"/>
      <c r="K304" s="138"/>
      <c r="L304" s="138"/>
      <c r="M304" s="138"/>
      <c r="N304" s="138"/>
      <c r="O304" s="138"/>
      <c r="P304" s="149"/>
      <c r="Q304" s="140"/>
      <c r="R304" s="140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20"/>
    </row>
    <row r="305" spans="1:29" x14ac:dyDescent="0.25">
      <c r="A305" s="112"/>
      <c r="B305" s="135"/>
      <c r="C305" s="113"/>
      <c r="D305" s="113"/>
      <c r="E305" s="141"/>
      <c r="F305" s="138"/>
      <c r="G305" s="137"/>
      <c r="H305" s="114"/>
      <c r="I305" s="138"/>
      <c r="J305" s="138"/>
      <c r="K305" s="138"/>
      <c r="L305" s="138"/>
      <c r="M305" s="138"/>
      <c r="N305" s="138"/>
      <c r="O305" s="138"/>
      <c r="P305" s="149"/>
      <c r="Q305" s="140"/>
      <c r="R305" s="140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20"/>
    </row>
    <row r="306" spans="1:29" x14ac:dyDescent="0.25">
      <c r="A306" s="112"/>
      <c r="B306" s="135"/>
      <c r="C306" s="113"/>
      <c r="D306" s="113"/>
      <c r="E306" s="141"/>
      <c r="F306" s="138"/>
      <c r="G306" s="137"/>
      <c r="H306" s="114"/>
      <c r="I306" s="138"/>
      <c r="J306" s="138"/>
      <c r="K306" s="138"/>
      <c r="L306" s="138"/>
      <c r="M306" s="138"/>
      <c r="N306" s="138"/>
      <c r="O306" s="138"/>
      <c r="P306" s="149"/>
      <c r="Q306" s="140"/>
      <c r="R306" s="140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20"/>
    </row>
    <row r="307" spans="1:29" x14ac:dyDescent="0.25">
      <c r="A307" s="112"/>
      <c r="B307" s="135"/>
      <c r="C307" s="113"/>
      <c r="D307" s="113"/>
      <c r="E307" s="141"/>
      <c r="F307" s="138"/>
      <c r="G307" s="137"/>
      <c r="H307" s="114"/>
      <c r="I307" s="138"/>
      <c r="J307" s="138"/>
      <c r="K307" s="138"/>
      <c r="L307" s="138"/>
      <c r="M307" s="138"/>
      <c r="N307" s="138"/>
      <c r="O307" s="138"/>
      <c r="P307" s="149"/>
      <c r="Q307" s="140"/>
      <c r="R307" s="140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20"/>
    </row>
    <row r="308" spans="1:29" x14ac:dyDescent="0.25">
      <c r="A308" s="112"/>
      <c r="B308" s="135"/>
      <c r="C308" s="113"/>
      <c r="D308" s="113"/>
      <c r="E308" s="141"/>
      <c r="F308" s="138"/>
      <c r="G308" s="137"/>
      <c r="H308" s="114"/>
      <c r="I308" s="138"/>
      <c r="J308" s="138"/>
      <c r="K308" s="138"/>
      <c r="L308" s="138"/>
      <c r="M308" s="138"/>
      <c r="N308" s="138"/>
      <c r="O308" s="138"/>
      <c r="P308" s="149"/>
      <c r="Q308" s="140"/>
      <c r="R308" s="140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20"/>
    </row>
    <row r="309" spans="1:29" x14ac:dyDescent="0.25">
      <c r="A309" s="112"/>
      <c r="B309" s="135"/>
      <c r="C309" s="113"/>
      <c r="D309" s="113"/>
      <c r="E309" s="141"/>
      <c r="F309" s="138"/>
      <c r="G309" s="137"/>
      <c r="H309" s="114"/>
      <c r="I309" s="138"/>
      <c r="J309" s="138"/>
      <c r="K309" s="138"/>
      <c r="L309" s="138"/>
      <c r="M309" s="138"/>
      <c r="N309" s="138"/>
      <c r="O309" s="138"/>
      <c r="P309" s="149"/>
      <c r="Q309" s="140"/>
      <c r="R309" s="140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20"/>
    </row>
    <row r="310" spans="1:29" x14ac:dyDescent="0.25">
      <c r="A310" s="112"/>
      <c r="B310" s="135"/>
      <c r="C310" s="113"/>
      <c r="D310" s="113"/>
      <c r="E310" s="141"/>
      <c r="F310" s="138"/>
      <c r="G310" s="137"/>
      <c r="H310" s="114"/>
      <c r="I310" s="138"/>
      <c r="J310" s="138"/>
      <c r="K310" s="138"/>
      <c r="L310" s="138"/>
      <c r="M310" s="138"/>
      <c r="N310" s="138"/>
      <c r="O310" s="138"/>
      <c r="P310" s="149"/>
      <c r="Q310" s="140"/>
      <c r="R310" s="140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20"/>
    </row>
    <row r="311" spans="1:29" x14ac:dyDescent="0.25">
      <c r="A311" s="112"/>
      <c r="B311" s="135"/>
      <c r="C311" s="113"/>
      <c r="D311" s="113"/>
      <c r="E311" s="141"/>
      <c r="F311" s="138"/>
      <c r="G311" s="137"/>
      <c r="H311" s="114"/>
      <c r="I311" s="138"/>
      <c r="J311" s="138"/>
      <c r="K311" s="138"/>
      <c r="L311" s="138"/>
      <c r="M311" s="138"/>
      <c r="N311" s="138"/>
      <c r="O311" s="138"/>
      <c r="P311" s="149"/>
      <c r="Q311" s="140"/>
      <c r="R311" s="140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20"/>
    </row>
    <row r="312" spans="1:29" x14ac:dyDescent="0.25">
      <c r="A312" s="112"/>
      <c r="B312" s="135"/>
      <c r="C312" s="113"/>
      <c r="D312" s="113"/>
      <c r="E312" s="141"/>
      <c r="F312" s="138"/>
      <c r="G312" s="137"/>
      <c r="H312" s="114"/>
      <c r="I312" s="138"/>
      <c r="J312" s="138"/>
      <c r="K312" s="138"/>
      <c r="L312" s="138"/>
      <c r="M312" s="138"/>
      <c r="N312" s="138"/>
      <c r="O312" s="138"/>
      <c r="P312" s="149"/>
      <c r="Q312" s="140"/>
      <c r="R312" s="140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20"/>
    </row>
    <row r="313" spans="1:29" x14ac:dyDescent="0.25">
      <c r="A313" s="112"/>
      <c r="B313" s="135"/>
      <c r="C313" s="113"/>
      <c r="D313" s="113"/>
      <c r="E313" s="141"/>
      <c r="F313" s="138"/>
      <c r="G313" s="137"/>
      <c r="H313" s="114"/>
      <c r="I313" s="138"/>
      <c r="J313" s="138"/>
      <c r="K313" s="138"/>
      <c r="L313" s="138"/>
      <c r="M313" s="138"/>
      <c r="N313" s="138"/>
      <c r="O313" s="138"/>
      <c r="P313" s="149"/>
      <c r="Q313" s="140"/>
      <c r="R313" s="140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20"/>
    </row>
    <row r="314" spans="1:29" x14ac:dyDescent="0.25">
      <c r="A314" s="112"/>
      <c r="B314" s="135"/>
      <c r="C314" s="113"/>
      <c r="D314" s="113"/>
      <c r="E314" s="141"/>
      <c r="F314" s="138"/>
      <c r="G314" s="137"/>
      <c r="H314" s="114"/>
      <c r="I314" s="138"/>
      <c r="J314" s="138"/>
      <c r="K314" s="138"/>
      <c r="L314" s="138"/>
      <c r="M314" s="138"/>
      <c r="N314" s="138"/>
      <c r="O314" s="138"/>
      <c r="P314" s="149"/>
      <c r="Q314" s="140"/>
      <c r="R314" s="140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20"/>
    </row>
    <row r="315" spans="1:29" x14ac:dyDescent="0.25">
      <c r="A315" s="112"/>
      <c r="B315" s="135"/>
      <c r="C315" s="113"/>
      <c r="D315" s="113"/>
      <c r="E315" s="141"/>
      <c r="F315" s="138"/>
      <c r="G315" s="137"/>
      <c r="H315" s="114"/>
      <c r="I315" s="138"/>
      <c r="J315" s="138"/>
      <c r="K315" s="138"/>
      <c r="L315" s="138"/>
      <c r="M315" s="138"/>
      <c r="N315" s="138"/>
      <c r="O315" s="138"/>
      <c r="P315" s="149"/>
      <c r="Q315" s="140"/>
      <c r="R315" s="140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20"/>
    </row>
    <row r="316" spans="1:29" x14ac:dyDescent="0.25">
      <c r="A316" s="112"/>
      <c r="B316" s="135"/>
      <c r="C316" s="113"/>
      <c r="D316" s="113"/>
      <c r="E316" s="141"/>
      <c r="F316" s="138"/>
      <c r="G316" s="137"/>
      <c r="H316" s="114"/>
      <c r="I316" s="138"/>
      <c r="J316" s="138"/>
      <c r="K316" s="138"/>
      <c r="L316" s="138"/>
      <c r="M316" s="138"/>
      <c r="N316" s="138"/>
      <c r="O316" s="138"/>
      <c r="P316" s="149"/>
      <c r="Q316" s="140"/>
      <c r="R316" s="140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20"/>
    </row>
    <row r="317" spans="1:29" x14ac:dyDescent="0.25">
      <c r="A317" s="112"/>
      <c r="B317" s="135"/>
      <c r="C317" s="113"/>
      <c r="D317" s="113"/>
      <c r="E317" s="141"/>
      <c r="F317" s="138"/>
      <c r="G317" s="137"/>
      <c r="H317" s="114"/>
      <c r="I317" s="138"/>
      <c r="J317" s="138"/>
      <c r="K317" s="138"/>
      <c r="L317" s="138"/>
      <c r="M317" s="138"/>
      <c r="N317" s="138"/>
      <c r="O317" s="138"/>
      <c r="P317" s="149"/>
      <c r="Q317" s="140"/>
      <c r="R317" s="140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20"/>
    </row>
    <row r="318" spans="1:29" x14ac:dyDescent="0.25">
      <c r="A318" s="112"/>
      <c r="B318" s="135"/>
      <c r="C318" s="113"/>
      <c r="D318" s="113"/>
      <c r="E318" s="141"/>
      <c r="F318" s="138"/>
      <c r="G318" s="137"/>
      <c r="H318" s="114"/>
      <c r="I318" s="138"/>
      <c r="J318" s="138"/>
      <c r="K318" s="138"/>
      <c r="L318" s="138"/>
      <c r="M318" s="138"/>
      <c r="N318" s="138"/>
      <c r="O318" s="138"/>
      <c r="P318" s="149"/>
      <c r="Q318" s="140"/>
      <c r="R318" s="140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20"/>
    </row>
    <row r="319" spans="1:29" x14ac:dyDescent="0.25">
      <c r="A319" s="112"/>
      <c r="B319" s="135"/>
      <c r="C319" s="113"/>
      <c r="D319" s="113"/>
      <c r="E319" s="141"/>
      <c r="F319" s="138"/>
      <c r="G319" s="137"/>
      <c r="H319" s="114"/>
      <c r="I319" s="138"/>
      <c r="J319" s="138"/>
      <c r="K319" s="138"/>
      <c r="L319" s="138"/>
      <c r="M319" s="138"/>
      <c r="N319" s="138"/>
      <c r="O319" s="138"/>
      <c r="P319" s="149"/>
      <c r="Q319" s="140"/>
      <c r="R319" s="140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20"/>
    </row>
    <row r="320" spans="1:29" x14ac:dyDescent="0.25">
      <c r="A320" s="112"/>
      <c r="B320" s="135"/>
      <c r="C320" s="113"/>
      <c r="D320" s="113"/>
      <c r="E320" s="141"/>
      <c r="F320" s="138"/>
      <c r="G320" s="137"/>
      <c r="H320" s="114"/>
      <c r="I320" s="138"/>
      <c r="J320" s="138"/>
      <c r="K320" s="138"/>
      <c r="L320" s="138"/>
      <c r="M320" s="138"/>
      <c r="N320" s="138"/>
      <c r="O320" s="138"/>
      <c r="P320" s="149"/>
      <c r="Q320" s="140"/>
      <c r="R320" s="140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20"/>
    </row>
    <row r="321" spans="1:29" x14ac:dyDescent="0.25">
      <c r="A321" s="112"/>
      <c r="B321" s="135"/>
      <c r="C321" s="113"/>
      <c r="D321" s="113"/>
      <c r="E321" s="141"/>
      <c r="F321" s="138"/>
      <c r="G321" s="137"/>
      <c r="H321" s="114"/>
      <c r="I321" s="138"/>
      <c r="J321" s="138"/>
      <c r="K321" s="138"/>
      <c r="L321" s="138"/>
      <c r="M321" s="138"/>
      <c r="N321" s="138"/>
      <c r="O321" s="138"/>
      <c r="P321" s="149"/>
      <c r="Q321" s="140"/>
      <c r="R321" s="140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20"/>
    </row>
    <row r="322" spans="1:29" x14ac:dyDescent="0.25">
      <c r="A322" s="112"/>
      <c r="B322" s="135"/>
      <c r="C322" s="113"/>
      <c r="D322" s="113"/>
      <c r="E322" s="141"/>
      <c r="F322" s="138"/>
      <c r="G322" s="137"/>
      <c r="H322" s="114"/>
      <c r="I322" s="138"/>
      <c r="J322" s="138"/>
      <c r="K322" s="138"/>
      <c r="L322" s="138"/>
      <c r="M322" s="138"/>
      <c r="N322" s="138"/>
      <c r="O322" s="138"/>
      <c r="P322" s="149"/>
      <c r="Q322" s="140"/>
      <c r="R322" s="140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20"/>
    </row>
    <row r="323" spans="1:29" x14ac:dyDescent="0.25">
      <c r="A323" s="112"/>
      <c r="B323" s="135"/>
      <c r="C323" s="113"/>
      <c r="D323" s="113"/>
      <c r="E323" s="141"/>
      <c r="F323" s="138"/>
      <c r="G323" s="137"/>
      <c r="H323" s="114"/>
      <c r="I323" s="138"/>
      <c r="J323" s="138"/>
      <c r="K323" s="138"/>
      <c r="L323" s="138"/>
      <c r="M323" s="138"/>
      <c r="N323" s="138"/>
      <c r="O323" s="138"/>
      <c r="P323" s="149"/>
      <c r="Q323" s="140"/>
      <c r="R323" s="140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20"/>
    </row>
    <row r="324" spans="1:29" x14ac:dyDescent="0.25">
      <c r="A324" s="112"/>
      <c r="B324" s="135"/>
      <c r="C324" s="113"/>
      <c r="D324" s="113"/>
      <c r="E324" s="141"/>
      <c r="F324" s="138"/>
      <c r="G324" s="137"/>
      <c r="H324" s="114"/>
      <c r="I324" s="138"/>
      <c r="J324" s="138"/>
      <c r="K324" s="138"/>
      <c r="L324" s="138"/>
      <c r="M324" s="138"/>
      <c r="N324" s="138"/>
      <c r="O324" s="138"/>
      <c r="P324" s="149"/>
      <c r="Q324" s="140"/>
      <c r="R324" s="140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20"/>
    </row>
    <row r="325" spans="1:29" x14ac:dyDescent="0.25">
      <c r="A325" s="112"/>
      <c r="B325" s="135"/>
      <c r="C325" s="113"/>
      <c r="D325" s="113"/>
      <c r="E325" s="141"/>
      <c r="F325" s="138"/>
      <c r="G325" s="137"/>
      <c r="H325" s="114"/>
      <c r="I325" s="138"/>
      <c r="J325" s="138"/>
      <c r="K325" s="138"/>
      <c r="L325" s="138"/>
      <c r="M325" s="138"/>
      <c r="N325" s="138"/>
      <c r="O325" s="138"/>
      <c r="P325" s="149"/>
      <c r="Q325" s="140"/>
      <c r="R325" s="140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20"/>
    </row>
    <row r="326" spans="1:29" x14ac:dyDescent="0.25">
      <c r="A326" s="112"/>
      <c r="B326" s="135"/>
      <c r="C326" s="113"/>
      <c r="D326" s="113"/>
      <c r="E326" s="141"/>
      <c r="F326" s="138"/>
      <c r="G326" s="137"/>
      <c r="H326" s="114"/>
      <c r="I326" s="138"/>
      <c r="J326" s="138"/>
      <c r="K326" s="138"/>
      <c r="L326" s="138"/>
      <c r="M326" s="138"/>
      <c r="N326" s="138"/>
      <c r="O326" s="138"/>
      <c r="P326" s="149"/>
      <c r="Q326" s="140"/>
      <c r="R326" s="140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20"/>
    </row>
    <row r="327" spans="1:29" x14ac:dyDescent="0.25">
      <c r="A327" s="112"/>
      <c r="B327" s="135"/>
      <c r="C327" s="113"/>
      <c r="D327" s="113"/>
      <c r="E327" s="141"/>
      <c r="F327" s="138"/>
      <c r="G327" s="137"/>
      <c r="H327" s="114"/>
      <c r="I327" s="138"/>
      <c r="J327" s="138"/>
      <c r="K327" s="138"/>
      <c r="L327" s="138"/>
      <c r="M327" s="138"/>
      <c r="N327" s="138"/>
      <c r="O327" s="138"/>
      <c r="P327" s="149"/>
      <c r="Q327" s="140"/>
      <c r="R327" s="140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20"/>
    </row>
    <row r="328" spans="1:29" x14ac:dyDescent="0.25">
      <c r="A328" s="112"/>
      <c r="B328" s="135"/>
      <c r="C328" s="113"/>
      <c r="D328" s="113"/>
      <c r="E328" s="141"/>
      <c r="F328" s="138"/>
      <c r="G328" s="137"/>
      <c r="H328" s="114"/>
      <c r="I328" s="138"/>
      <c r="J328" s="138"/>
      <c r="K328" s="138"/>
      <c r="L328" s="138"/>
      <c r="M328" s="138"/>
      <c r="N328" s="138"/>
      <c r="O328" s="138"/>
      <c r="P328" s="149"/>
      <c r="Q328" s="140"/>
      <c r="R328" s="140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20"/>
    </row>
    <row r="329" spans="1:29" x14ac:dyDescent="0.25">
      <c r="A329" s="112"/>
      <c r="B329" s="135"/>
      <c r="C329" s="113"/>
      <c r="D329" s="113"/>
      <c r="E329" s="141"/>
      <c r="F329" s="138"/>
      <c r="G329" s="137"/>
      <c r="H329" s="114"/>
      <c r="I329" s="138"/>
      <c r="J329" s="138"/>
      <c r="K329" s="138"/>
      <c r="L329" s="138"/>
      <c r="M329" s="138"/>
      <c r="N329" s="138"/>
      <c r="O329" s="138"/>
      <c r="P329" s="149"/>
      <c r="Q329" s="140"/>
      <c r="R329" s="140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20"/>
    </row>
    <row r="330" spans="1:29" x14ac:dyDescent="0.25">
      <c r="A330" s="112"/>
      <c r="B330" s="135"/>
      <c r="C330" s="113"/>
      <c r="D330" s="113"/>
      <c r="E330" s="141"/>
      <c r="F330" s="138"/>
      <c r="G330" s="137"/>
      <c r="H330" s="114"/>
      <c r="I330" s="138"/>
      <c r="J330" s="138"/>
      <c r="K330" s="138"/>
      <c r="L330" s="138"/>
      <c r="M330" s="138"/>
      <c r="N330" s="138"/>
      <c r="O330" s="138"/>
      <c r="P330" s="149"/>
      <c r="Q330" s="140"/>
      <c r="R330" s="140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20"/>
    </row>
    <row r="331" spans="1:29" x14ac:dyDescent="0.25">
      <c r="A331" s="112"/>
      <c r="B331" s="135"/>
      <c r="C331" s="113"/>
      <c r="D331" s="113"/>
      <c r="E331" s="141"/>
      <c r="F331" s="138"/>
      <c r="G331" s="137"/>
      <c r="H331" s="114"/>
      <c r="I331" s="138"/>
      <c r="J331" s="138"/>
      <c r="K331" s="138"/>
      <c r="L331" s="138"/>
      <c r="M331" s="138"/>
      <c r="N331" s="138"/>
      <c r="O331" s="138"/>
      <c r="P331" s="149"/>
      <c r="Q331" s="140"/>
      <c r="R331" s="140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20"/>
    </row>
    <row r="332" spans="1:29" x14ac:dyDescent="0.25">
      <c r="A332" s="112"/>
      <c r="B332" s="135"/>
      <c r="C332" s="113"/>
      <c r="D332" s="113"/>
      <c r="E332" s="141"/>
      <c r="F332" s="138"/>
      <c r="G332" s="137"/>
      <c r="H332" s="114"/>
      <c r="I332" s="138"/>
      <c r="J332" s="138"/>
      <c r="K332" s="138"/>
      <c r="L332" s="138"/>
      <c r="M332" s="138"/>
      <c r="N332" s="138"/>
      <c r="O332" s="138"/>
      <c r="P332" s="149"/>
      <c r="Q332" s="140"/>
      <c r="R332" s="140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20"/>
    </row>
    <row r="333" spans="1:29" x14ac:dyDescent="0.25">
      <c r="A333" s="112"/>
      <c r="B333" s="135"/>
      <c r="C333" s="113"/>
      <c r="D333" s="113"/>
      <c r="E333" s="141"/>
      <c r="F333" s="138"/>
      <c r="G333" s="137"/>
      <c r="H333" s="114"/>
      <c r="I333" s="138"/>
      <c r="J333" s="138"/>
      <c r="K333" s="138"/>
      <c r="L333" s="138"/>
      <c r="M333" s="138"/>
      <c r="N333" s="138"/>
      <c r="O333" s="138"/>
      <c r="P333" s="149"/>
      <c r="Q333" s="140"/>
      <c r="R333" s="140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20"/>
    </row>
    <row r="334" spans="1:29" x14ac:dyDescent="0.25">
      <c r="A334" s="112"/>
      <c r="B334" s="135"/>
      <c r="C334" s="113"/>
      <c r="D334" s="113"/>
      <c r="E334" s="141"/>
      <c r="F334" s="138"/>
      <c r="G334" s="137"/>
      <c r="H334" s="114"/>
      <c r="I334" s="138"/>
      <c r="J334" s="138"/>
      <c r="K334" s="138"/>
      <c r="L334" s="138"/>
      <c r="M334" s="138"/>
      <c r="N334" s="138"/>
      <c r="O334" s="138"/>
      <c r="P334" s="149"/>
      <c r="Q334" s="140"/>
      <c r="R334" s="140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20"/>
    </row>
    <row r="335" spans="1:29" x14ac:dyDescent="0.25">
      <c r="A335" s="112"/>
      <c r="B335" s="135"/>
      <c r="C335" s="113"/>
      <c r="D335" s="113"/>
      <c r="E335" s="141"/>
      <c r="F335" s="138"/>
      <c r="G335" s="137"/>
      <c r="H335" s="114"/>
      <c r="I335" s="138"/>
      <c r="J335" s="138"/>
      <c r="K335" s="138"/>
      <c r="L335" s="138"/>
      <c r="M335" s="138"/>
      <c r="N335" s="138"/>
      <c r="O335" s="138"/>
      <c r="P335" s="149"/>
      <c r="Q335" s="140"/>
      <c r="R335" s="140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20"/>
    </row>
    <row r="336" spans="1:29" x14ac:dyDescent="0.25">
      <c r="A336" s="112"/>
      <c r="B336" s="135"/>
      <c r="C336" s="113"/>
      <c r="D336" s="113"/>
      <c r="E336" s="141"/>
      <c r="F336" s="138"/>
      <c r="G336" s="137"/>
      <c r="H336" s="114"/>
      <c r="I336" s="138"/>
      <c r="J336" s="138"/>
      <c r="K336" s="138"/>
      <c r="L336" s="138"/>
      <c r="M336" s="138"/>
      <c r="N336" s="138"/>
      <c r="O336" s="138"/>
      <c r="P336" s="149"/>
      <c r="Q336" s="140"/>
      <c r="R336" s="140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20"/>
    </row>
    <row r="337" spans="1:29" x14ac:dyDescent="0.25">
      <c r="A337" s="112"/>
      <c r="B337" s="135"/>
      <c r="C337" s="113"/>
      <c r="D337" s="113"/>
      <c r="E337" s="141"/>
      <c r="F337" s="138"/>
      <c r="G337" s="137"/>
      <c r="H337" s="114"/>
      <c r="I337" s="138"/>
      <c r="J337" s="138"/>
      <c r="K337" s="138"/>
      <c r="L337" s="138"/>
      <c r="M337" s="138"/>
      <c r="N337" s="138"/>
      <c r="O337" s="138"/>
      <c r="P337" s="149"/>
      <c r="Q337" s="140"/>
      <c r="R337" s="140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20"/>
    </row>
    <row r="338" spans="1:29" x14ac:dyDescent="0.25">
      <c r="A338" s="112"/>
      <c r="B338" s="135"/>
      <c r="C338" s="113"/>
      <c r="D338" s="113"/>
      <c r="E338" s="141"/>
      <c r="F338" s="138"/>
      <c r="G338" s="137"/>
      <c r="H338" s="114"/>
      <c r="I338" s="138"/>
      <c r="J338" s="138"/>
      <c r="K338" s="138"/>
      <c r="L338" s="138"/>
      <c r="M338" s="138"/>
      <c r="N338" s="138"/>
      <c r="O338" s="138"/>
      <c r="P338" s="149"/>
      <c r="Q338" s="140"/>
      <c r="R338" s="140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20"/>
    </row>
    <row r="339" spans="1:29" x14ac:dyDescent="0.25">
      <c r="A339" s="112"/>
      <c r="B339" s="135"/>
      <c r="C339" s="113"/>
      <c r="D339" s="113"/>
      <c r="E339" s="141"/>
      <c r="F339" s="138"/>
      <c r="G339" s="137"/>
      <c r="H339" s="114"/>
      <c r="I339" s="138"/>
      <c r="J339" s="138"/>
      <c r="K339" s="138"/>
      <c r="L339" s="138"/>
      <c r="M339" s="138"/>
      <c r="N339" s="138"/>
      <c r="O339" s="138"/>
      <c r="P339" s="149"/>
      <c r="Q339" s="140"/>
      <c r="R339" s="140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20"/>
    </row>
    <row r="340" spans="1:29" x14ac:dyDescent="0.25">
      <c r="A340" s="112"/>
      <c r="B340" s="135"/>
      <c r="C340" s="113"/>
      <c r="D340" s="113"/>
      <c r="E340" s="141"/>
      <c r="F340" s="138"/>
      <c r="G340" s="137"/>
      <c r="H340" s="114"/>
      <c r="I340" s="138"/>
      <c r="J340" s="138"/>
      <c r="K340" s="138"/>
      <c r="L340" s="138"/>
      <c r="M340" s="138"/>
      <c r="N340" s="138"/>
      <c r="O340" s="138"/>
      <c r="P340" s="149"/>
      <c r="Q340" s="140"/>
      <c r="R340" s="140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20"/>
    </row>
    <row r="341" spans="1:29" x14ac:dyDescent="0.25">
      <c r="A341" s="112"/>
      <c r="B341" s="135"/>
      <c r="C341" s="113"/>
      <c r="D341" s="113"/>
      <c r="E341" s="141"/>
      <c r="F341" s="138"/>
      <c r="G341" s="137"/>
      <c r="H341" s="114"/>
      <c r="I341" s="138"/>
      <c r="J341" s="138"/>
      <c r="K341" s="138"/>
      <c r="L341" s="138"/>
      <c r="M341" s="138"/>
      <c r="N341" s="138"/>
      <c r="O341" s="138"/>
      <c r="P341" s="149"/>
      <c r="Q341" s="140"/>
      <c r="R341" s="140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20"/>
    </row>
    <row r="342" spans="1:29" x14ac:dyDescent="0.25">
      <c r="A342" s="112"/>
      <c r="B342" s="135"/>
      <c r="C342" s="113"/>
      <c r="D342" s="113"/>
      <c r="E342" s="141"/>
      <c r="F342" s="138"/>
      <c r="G342" s="137"/>
      <c r="H342" s="114"/>
      <c r="I342" s="138"/>
      <c r="J342" s="138"/>
      <c r="K342" s="138"/>
      <c r="L342" s="138"/>
      <c r="M342" s="138"/>
      <c r="N342" s="138"/>
      <c r="O342" s="138"/>
      <c r="P342" s="149"/>
      <c r="Q342" s="140"/>
      <c r="R342" s="140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20"/>
    </row>
    <row r="343" spans="1:29" x14ac:dyDescent="0.25">
      <c r="A343" s="112"/>
      <c r="B343" s="135"/>
      <c r="C343" s="113"/>
      <c r="D343" s="113"/>
      <c r="E343" s="141"/>
      <c r="F343" s="138"/>
      <c r="G343" s="137"/>
      <c r="H343" s="114"/>
      <c r="I343" s="138"/>
      <c r="J343" s="138"/>
      <c r="K343" s="138"/>
      <c r="L343" s="138"/>
      <c r="M343" s="138"/>
      <c r="N343" s="138"/>
      <c r="O343" s="138"/>
      <c r="P343" s="149"/>
      <c r="Q343" s="140"/>
      <c r="R343" s="140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20"/>
    </row>
    <row r="344" spans="1:29" x14ac:dyDescent="0.25">
      <c r="A344" s="112"/>
      <c r="B344" s="135"/>
      <c r="C344" s="113"/>
      <c r="D344" s="113"/>
      <c r="E344" s="141"/>
      <c r="F344" s="138"/>
      <c r="G344" s="137"/>
      <c r="H344" s="114"/>
      <c r="I344" s="138"/>
      <c r="J344" s="138"/>
      <c r="K344" s="138"/>
      <c r="L344" s="138"/>
      <c r="M344" s="138"/>
      <c r="N344" s="138"/>
      <c r="O344" s="138"/>
      <c r="P344" s="149"/>
      <c r="Q344" s="140"/>
      <c r="R344" s="140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20"/>
    </row>
    <row r="345" spans="1:29" x14ac:dyDescent="0.25">
      <c r="A345" s="112"/>
      <c r="B345" s="135"/>
      <c r="C345" s="113"/>
      <c r="D345" s="113"/>
      <c r="E345" s="141"/>
      <c r="F345" s="138"/>
      <c r="G345" s="137"/>
      <c r="H345" s="114"/>
      <c r="I345" s="138"/>
      <c r="J345" s="138"/>
      <c r="K345" s="138"/>
      <c r="L345" s="138"/>
      <c r="M345" s="138"/>
      <c r="N345" s="138"/>
      <c r="O345" s="138"/>
      <c r="P345" s="149"/>
      <c r="Q345" s="140"/>
      <c r="R345" s="140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20"/>
    </row>
    <row r="346" spans="1:29" x14ac:dyDescent="0.25">
      <c r="A346" s="112"/>
      <c r="B346" s="135"/>
      <c r="C346" s="113"/>
      <c r="D346" s="113"/>
      <c r="E346" s="141"/>
      <c r="F346" s="138"/>
      <c r="G346" s="137"/>
      <c r="H346" s="114"/>
      <c r="I346" s="138"/>
      <c r="J346" s="138"/>
      <c r="K346" s="138"/>
      <c r="L346" s="138"/>
      <c r="M346" s="138"/>
      <c r="N346" s="138"/>
      <c r="O346" s="138"/>
      <c r="P346" s="149"/>
      <c r="Q346" s="140"/>
      <c r="R346" s="140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20"/>
    </row>
    <row r="347" spans="1:29" x14ac:dyDescent="0.25">
      <c r="A347" s="112"/>
      <c r="B347" s="135"/>
      <c r="C347" s="113"/>
      <c r="D347" s="113"/>
      <c r="E347" s="141"/>
      <c r="F347" s="138"/>
      <c r="G347" s="137"/>
      <c r="H347" s="114"/>
      <c r="I347" s="138"/>
      <c r="J347" s="138"/>
      <c r="K347" s="138"/>
      <c r="L347" s="138"/>
      <c r="M347" s="138"/>
      <c r="N347" s="138"/>
      <c r="O347" s="138"/>
      <c r="P347" s="149"/>
      <c r="Q347" s="140"/>
      <c r="R347" s="140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20"/>
    </row>
    <row r="348" spans="1:29" x14ac:dyDescent="0.25">
      <c r="A348" s="112"/>
      <c r="B348" s="135"/>
      <c r="C348" s="113"/>
      <c r="D348" s="113"/>
      <c r="E348" s="141"/>
      <c r="F348" s="138"/>
      <c r="G348" s="137"/>
      <c r="H348" s="114"/>
      <c r="I348" s="138"/>
      <c r="J348" s="138"/>
      <c r="K348" s="138"/>
      <c r="L348" s="138"/>
      <c r="M348" s="138"/>
      <c r="N348" s="138"/>
      <c r="O348" s="138"/>
      <c r="P348" s="149"/>
      <c r="Q348" s="140"/>
      <c r="R348" s="140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20"/>
    </row>
    <row r="349" spans="1:29" x14ac:dyDescent="0.25">
      <c r="A349" s="112"/>
      <c r="B349" s="135"/>
      <c r="C349" s="113"/>
      <c r="D349" s="113"/>
      <c r="E349" s="141"/>
      <c r="F349" s="138"/>
      <c r="G349" s="137"/>
      <c r="H349" s="114"/>
      <c r="I349" s="138"/>
      <c r="J349" s="138"/>
      <c r="K349" s="138"/>
      <c r="L349" s="138"/>
      <c r="M349" s="138"/>
      <c r="N349" s="138"/>
      <c r="O349" s="138"/>
      <c r="P349" s="149"/>
      <c r="Q349" s="140"/>
      <c r="R349" s="140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20"/>
    </row>
    <row r="350" spans="1:29" x14ac:dyDescent="0.25">
      <c r="A350" s="112"/>
      <c r="B350" s="135"/>
      <c r="C350" s="113"/>
      <c r="D350" s="113"/>
      <c r="E350" s="141"/>
      <c r="F350" s="138"/>
      <c r="G350" s="137"/>
      <c r="H350" s="114"/>
      <c r="I350" s="138"/>
      <c r="J350" s="138"/>
      <c r="K350" s="138"/>
      <c r="L350" s="138"/>
      <c r="M350" s="138"/>
      <c r="N350" s="138"/>
      <c r="O350" s="138"/>
      <c r="P350" s="149"/>
      <c r="Q350" s="140"/>
      <c r="R350" s="140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20"/>
    </row>
    <row r="351" spans="1:29" x14ac:dyDescent="0.25">
      <c r="A351" s="112"/>
      <c r="B351" s="135"/>
      <c r="C351" s="113"/>
      <c r="D351" s="113"/>
      <c r="E351" s="141"/>
      <c r="F351" s="138"/>
      <c r="G351" s="137"/>
      <c r="H351" s="114"/>
      <c r="I351" s="138"/>
      <c r="J351" s="138"/>
      <c r="K351" s="138"/>
      <c r="L351" s="138"/>
      <c r="M351" s="138"/>
      <c r="N351" s="138"/>
      <c r="O351" s="138"/>
      <c r="P351" s="149"/>
      <c r="Q351" s="140"/>
      <c r="R351" s="140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20"/>
    </row>
    <row r="352" spans="1:29" x14ac:dyDescent="0.25">
      <c r="A352" s="112"/>
      <c r="B352" s="135"/>
      <c r="C352" s="113"/>
      <c r="D352" s="113"/>
      <c r="E352" s="141"/>
      <c r="F352" s="138"/>
      <c r="G352" s="137"/>
      <c r="H352" s="114"/>
      <c r="I352" s="138"/>
      <c r="J352" s="138"/>
      <c r="K352" s="138"/>
      <c r="L352" s="138"/>
      <c r="M352" s="138"/>
      <c r="N352" s="138"/>
      <c r="O352" s="138"/>
      <c r="P352" s="149"/>
      <c r="Q352" s="140"/>
      <c r="R352" s="140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20"/>
    </row>
    <row r="353" spans="1:29" x14ac:dyDescent="0.25">
      <c r="A353" s="112"/>
      <c r="B353" s="135"/>
      <c r="C353" s="113"/>
      <c r="D353" s="113"/>
      <c r="E353" s="141"/>
      <c r="F353" s="138"/>
      <c r="G353" s="137"/>
      <c r="H353" s="114"/>
      <c r="I353" s="138"/>
      <c r="J353" s="138"/>
      <c r="K353" s="138"/>
      <c r="L353" s="138"/>
      <c r="M353" s="138"/>
      <c r="N353" s="138"/>
      <c r="O353" s="138"/>
      <c r="P353" s="149"/>
      <c r="Q353" s="140"/>
      <c r="R353" s="140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20"/>
    </row>
    <row r="354" spans="1:29" x14ac:dyDescent="0.25">
      <c r="A354" s="112"/>
      <c r="B354" s="135"/>
      <c r="C354" s="113"/>
      <c r="D354" s="113"/>
      <c r="E354" s="141"/>
      <c r="F354" s="138"/>
      <c r="G354" s="137"/>
      <c r="H354" s="114"/>
      <c r="I354" s="138"/>
      <c r="J354" s="138"/>
      <c r="K354" s="138"/>
      <c r="L354" s="138"/>
      <c r="M354" s="138"/>
      <c r="N354" s="138"/>
      <c r="O354" s="138"/>
      <c r="P354" s="149"/>
      <c r="Q354" s="140"/>
      <c r="R354" s="140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20"/>
    </row>
    <row r="355" spans="1:29" x14ac:dyDescent="0.25">
      <c r="A355" s="112"/>
      <c r="B355" s="135"/>
      <c r="C355" s="113"/>
      <c r="D355" s="113"/>
      <c r="E355" s="141"/>
      <c r="F355" s="138"/>
      <c r="G355" s="137"/>
      <c r="H355" s="114"/>
      <c r="I355" s="138"/>
      <c r="J355" s="138"/>
      <c r="K355" s="138"/>
      <c r="L355" s="138"/>
      <c r="M355" s="138"/>
      <c r="N355" s="138"/>
      <c r="O355" s="138"/>
      <c r="P355" s="149"/>
      <c r="Q355" s="140"/>
      <c r="R355" s="140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20"/>
    </row>
    <row r="356" spans="1:29" x14ac:dyDescent="0.25">
      <c r="A356" s="112"/>
      <c r="B356" s="135"/>
      <c r="C356" s="113"/>
      <c r="D356" s="113"/>
      <c r="E356" s="141"/>
      <c r="F356" s="138"/>
      <c r="G356" s="137"/>
      <c r="H356" s="114"/>
      <c r="I356" s="138"/>
      <c r="J356" s="138"/>
      <c r="K356" s="138"/>
      <c r="L356" s="138"/>
      <c r="M356" s="138"/>
      <c r="N356" s="138"/>
      <c r="O356" s="138"/>
      <c r="P356" s="149"/>
      <c r="Q356" s="140"/>
      <c r="R356" s="140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20"/>
    </row>
    <row r="357" spans="1:29" x14ac:dyDescent="0.25">
      <c r="A357" s="112"/>
      <c r="B357" s="135"/>
      <c r="C357" s="113"/>
      <c r="D357" s="113"/>
      <c r="E357" s="141"/>
      <c r="F357" s="138"/>
      <c r="G357" s="137"/>
      <c r="H357" s="114"/>
      <c r="I357" s="138"/>
      <c r="J357" s="138"/>
      <c r="K357" s="138"/>
      <c r="L357" s="138"/>
      <c r="M357" s="138"/>
      <c r="N357" s="138"/>
      <c r="O357" s="138"/>
      <c r="P357" s="149"/>
      <c r="Q357" s="140"/>
      <c r="R357" s="140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20"/>
    </row>
    <row r="358" spans="1:29" x14ac:dyDescent="0.25">
      <c r="A358" s="112"/>
      <c r="B358" s="135"/>
      <c r="C358" s="113"/>
      <c r="D358" s="113"/>
      <c r="E358" s="141"/>
      <c r="F358" s="138"/>
      <c r="G358" s="137"/>
      <c r="H358" s="114"/>
      <c r="I358" s="138"/>
      <c r="J358" s="138"/>
      <c r="K358" s="138"/>
      <c r="L358" s="138"/>
      <c r="M358" s="138"/>
      <c r="N358" s="138"/>
      <c r="O358" s="138"/>
      <c r="P358" s="149"/>
      <c r="Q358" s="140"/>
      <c r="R358" s="140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20"/>
    </row>
    <row r="359" spans="1:29" x14ac:dyDescent="0.25">
      <c r="A359" s="112"/>
      <c r="B359" s="135"/>
      <c r="C359" s="113"/>
      <c r="D359" s="113"/>
      <c r="E359" s="141"/>
      <c r="F359" s="138"/>
      <c r="G359" s="137"/>
      <c r="H359" s="114"/>
      <c r="I359" s="138"/>
      <c r="J359" s="138"/>
      <c r="K359" s="138"/>
      <c r="L359" s="138"/>
      <c r="M359" s="138"/>
      <c r="N359" s="138"/>
      <c r="O359" s="138"/>
      <c r="P359" s="149"/>
      <c r="Q359" s="140"/>
      <c r="R359" s="140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20"/>
    </row>
    <row r="360" spans="1:29" x14ac:dyDescent="0.25">
      <c r="A360" s="112"/>
      <c r="B360" s="135"/>
      <c r="C360" s="113"/>
      <c r="D360" s="113"/>
      <c r="E360" s="141"/>
      <c r="F360" s="138"/>
      <c r="G360" s="137"/>
      <c r="H360" s="114"/>
      <c r="I360" s="138"/>
      <c r="J360" s="138"/>
      <c r="K360" s="138"/>
      <c r="L360" s="138"/>
      <c r="M360" s="138"/>
      <c r="N360" s="138"/>
      <c r="O360" s="138"/>
      <c r="P360" s="149"/>
      <c r="Q360" s="140"/>
      <c r="R360" s="140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20"/>
    </row>
    <row r="361" spans="1:29" x14ac:dyDescent="0.25">
      <c r="A361" s="112"/>
      <c r="B361" s="135"/>
      <c r="C361" s="113"/>
      <c r="D361" s="113"/>
      <c r="E361" s="141"/>
      <c r="F361" s="138"/>
      <c r="G361" s="137"/>
      <c r="H361" s="114"/>
      <c r="I361" s="138"/>
      <c r="J361" s="138"/>
      <c r="K361" s="138"/>
      <c r="L361" s="138"/>
      <c r="M361" s="138"/>
      <c r="N361" s="138"/>
      <c r="O361" s="138"/>
      <c r="P361" s="149"/>
      <c r="Q361" s="140"/>
      <c r="R361" s="140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20"/>
    </row>
    <row r="362" spans="1:29" x14ac:dyDescent="0.25">
      <c r="A362" s="112"/>
      <c r="B362" s="135"/>
      <c r="C362" s="113"/>
      <c r="D362" s="113"/>
      <c r="E362" s="141"/>
      <c r="F362" s="138"/>
      <c r="G362" s="137"/>
      <c r="H362" s="114"/>
      <c r="I362" s="138"/>
      <c r="J362" s="138"/>
      <c r="K362" s="138"/>
      <c r="L362" s="138"/>
      <c r="M362" s="138"/>
      <c r="N362" s="138"/>
      <c r="O362" s="138"/>
      <c r="P362" s="149"/>
      <c r="Q362" s="140"/>
      <c r="R362" s="140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20"/>
    </row>
    <row r="363" spans="1:29" x14ac:dyDescent="0.25">
      <c r="A363" s="112"/>
      <c r="B363" s="135"/>
      <c r="C363" s="113"/>
      <c r="D363" s="113"/>
      <c r="E363" s="141"/>
      <c r="F363" s="138"/>
      <c r="G363" s="137"/>
      <c r="H363" s="114"/>
      <c r="I363" s="138"/>
      <c r="J363" s="138"/>
      <c r="K363" s="138"/>
      <c r="L363" s="138"/>
      <c r="M363" s="138"/>
      <c r="N363" s="138"/>
      <c r="O363" s="138"/>
      <c r="P363" s="149"/>
      <c r="Q363" s="140"/>
      <c r="R363" s="140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20"/>
    </row>
    <row r="364" spans="1:29" x14ac:dyDescent="0.25">
      <c r="A364" s="112"/>
      <c r="B364" s="135"/>
      <c r="C364" s="113"/>
      <c r="D364" s="113"/>
      <c r="E364" s="141"/>
      <c r="F364" s="138"/>
      <c r="G364" s="137"/>
      <c r="H364" s="114"/>
      <c r="I364" s="138"/>
      <c r="J364" s="138"/>
      <c r="K364" s="138"/>
      <c r="L364" s="138"/>
      <c r="M364" s="138"/>
      <c r="N364" s="138"/>
      <c r="O364" s="138"/>
      <c r="P364" s="149"/>
      <c r="Q364" s="140"/>
      <c r="R364" s="140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20"/>
    </row>
    <row r="365" spans="1:29" x14ac:dyDescent="0.25">
      <c r="A365" s="112"/>
      <c r="B365" s="135"/>
      <c r="C365" s="113"/>
      <c r="D365" s="113"/>
      <c r="E365" s="141"/>
      <c r="F365" s="138"/>
      <c r="G365" s="137"/>
      <c r="H365" s="114"/>
      <c r="I365" s="138"/>
      <c r="J365" s="138"/>
      <c r="K365" s="138"/>
      <c r="L365" s="138"/>
      <c r="M365" s="138"/>
      <c r="N365" s="138"/>
      <c r="O365" s="138"/>
      <c r="P365" s="149"/>
      <c r="Q365" s="140"/>
      <c r="R365" s="140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20"/>
    </row>
    <row r="366" spans="1:29" x14ac:dyDescent="0.25">
      <c r="A366" s="112"/>
      <c r="B366" s="135"/>
      <c r="C366" s="113"/>
      <c r="D366" s="113"/>
      <c r="E366" s="141"/>
      <c r="F366" s="138"/>
      <c r="G366" s="137"/>
      <c r="H366" s="114"/>
      <c r="I366" s="138"/>
      <c r="J366" s="138"/>
      <c r="K366" s="138"/>
      <c r="L366" s="138"/>
      <c r="M366" s="138"/>
      <c r="N366" s="138"/>
      <c r="O366" s="138"/>
      <c r="P366" s="149"/>
      <c r="Q366" s="140"/>
      <c r="R366" s="140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20"/>
    </row>
    <row r="367" spans="1:29" x14ac:dyDescent="0.25">
      <c r="A367" s="112"/>
      <c r="B367" s="135"/>
      <c r="C367" s="113"/>
      <c r="D367" s="113"/>
      <c r="E367" s="141"/>
      <c r="F367" s="138"/>
      <c r="G367" s="137"/>
      <c r="H367" s="114"/>
      <c r="I367" s="138"/>
      <c r="J367" s="138"/>
      <c r="K367" s="138"/>
      <c r="L367" s="138"/>
      <c r="M367" s="138"/>
      <c r="N367" s="138"/>
      <c r="O367" s="138"/>
      <c r="P367" s="149"/>
      <c r="Q367" s="140"/>
      <c r="R367" s="140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20"/>
    </row>
    <row r="368" spans="1:29" x14ac:dyDescent="0.25">
      <c r="A368" s="112"/>
      <c r="B368" s="135"/>
      <c r="C368" s="113"/>
      <c r="D368" s="113"/>
      <c r="E368" s="141"/>
      <c r="F368" s="138"/>
      <c r="G368" s="137"/>
      <c r="H368" s="114"/>
      <c r="I368" s="138"/>
      <c r="J368" s="138"/>
      <c r="K368" s="138"/>
      <c r="L368" s="138"/>
      <c r="M368" s="138"/>
      <c r="N368" s="138"/>
      <c r="O368" s="138"/>
      <c r="P368" s="149"/>
      <c r="Q368" s="140"/>
      <c r="R368" s="140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20"/>
    </row>
    <row r="369" spans="1:29" x14ac:dyDescent="0.25">
      <c r="A369" s="112"/>
      <c r="B369" s="135"/>
      <c r="C369" s="113"/>
      <c r="D369" s="113"/>
      <c r="E369" s="141"/>
      <c r="F369" s="138"/>
      <c r="G369" s="137"/>
      <c r="H369" s="114"/>
      <c r="I369" s="138"/>
      <c r="J369" s="138"/>
      <c r="K369" s="138"/>
      <c r="L369" s="138"/>
      <c r="M369" s="138"/>
      <c r="N369" s="138"/>
      <c r="O369" s="138"/>
      <c r="P369" s="149"/>
      <c r="Q369" s="140"/>
      <c r="R369" s="140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20"/>
    </row>
    <row r="370" spans="1:29" x14ac:dyDescent="0.25">
      <c r="A370" s="112"/>
      <c r="B370" s="135"/>
      <c r="C370" s="113"/>
      <c r="D370" s="113"/>
      <c r="E370" s="141"/>
      <c r="F370" s="138"/>
      <c r="G370" s="137"/>
      <c r="H370" s="114"/>
      <c r="I370" s="138"/>
      <c r="J370" s="138"/>
      <c r="K370" s="138"/>
      <c r="L370" s="138"/>
      <c r="M370" s="138"/>
      <c r="N370" s="138"/>
      <c r="O370" s="138"/>
      <c r="P370" s="149"/>
      <c r="Q370" s="140"/>
      <c r="R370" s="140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20"/>
    </row>
    <row r="371" spans="1:29" x14ac:dyDescent="0.25">
      <c r="A371" s="112"/>
      <c r="B371" s="135"/>
      <c r="C371" s="113"/>
      <c r="D371" s="113"/>
      <c r="E371" s="141"/>
      <c r="F371" s="138"/>
      <c r="G371" s="137"/>
      <c r="H371" s="114"/>
      <c r="I371" s="138"/>
      <c r="J371" s="138"/>
      <c r="K371" s="138"/>
      <c r="L371" s="138"/>
      <c r="M371" s="138"/>
      <c r="N371" s="138"/>
      <c r="O371" s="138"/>
      <c r="P371" s="149"/>
      <c r="Q371" s="140"/>
      <c r="R371" s="140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20"/>
    </row>
    <row r="372" spans="1:29" x14ac:dyDescent="0.25">
      <c r="A372" s="112"/>
      <c r="B372" s="135"/>
      <c r="C372" s="113"/>
      <c r="D372" s="113"/>
      <c r="E372" s="141"/>
      <c r="F372" s="138"/>
      <c r="G372" s="137"/>
      <c r="H372" s="114"/>
      <c r="I372" s="138"/>
      <c r="J372" s="138"/>
      <c r="K372" s="138"/>
      <c r="L372" s="138"/>
      <c r="M372" s="138"/>
      <c r="N372" s="138"/>
      <c r="O372" s="138"/>
      <c r="P372" s="149"/>
      <c r="Q372" s="140"/>
      <c r="R372" s="140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20"/>
    </row>
    <row r="373" spans="1:29" x14ac:dyDescent="0.25">
      <c r="A373" s="112"/>
      <c r="B373" s="135"/>
      <c r="C373" s="113"/>
      <c r="D373" s="113"/>
      <c r="E373" s="141"/>
      <c r="F373" s="138"/>
      <c r="G373" s="137"/>
      <c r="H373" s="114"/>
      <c r="I373" s="138"/>
      <c r="J373" s="138"/>
      <c r="K373" s="138"/>
      <c r="L373" s="138"/>
      <c r="M373" s="138"/>
      <c r="N373" s="138"/>
      <c r="O373" s="138"/>
      <c r="P373" s="149"/>
      <c r="Q373" s="140"/>
      <c r="R373" s="140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20"/>
    </row>
    <row r="374" spans="1:29" x14ac:dyDescent="0.25">
      <c r="A374" s="112"/>
      <c r="B374" s="135"/>
      <c r="C374" s="113"/>
      <c r="D374" s="113"/>
      <c r="E374" s="141"/>
      <c r="F374" s="138"/>
      <c r="G374" s="137"/>
      <c r="H374" s="114"/>
      <c r="I374" s="138"/>
      <c r="J374" s="138"/>
      <c r="K374" s="138"/>
      <c r="L374" s="138"/>
      <c r="M374" s="138"/>
      <c r="N374" s="138"/>
      <c r="O374" s="138"/>
      <c r="P374" s="149"/>
      <c r="Q374" s="140"/>
      <c r="R374" s="140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20"/>
    </row>
    <row r="375" spans="1:29" x14ac:dyDescent="0.25">
      <c r="A375" s="112"/>
      <c r="B375" s="135"/>
      <c r="C375" s="113"/>
      <c r="D375" s="113"/>
      <c r="E375" s="141"/>
      <c r="F375" s="138"/>
      <c r="G375" s="137"/>
      <c r="H375" s="114"/>
      <c r="I375" s="138"/>
      <c r="J375" s="138"/>
      <c r="K375" s="138"/>
      <c r="L375" s="138"/>
      <c r="M375" s="138"/>
      <c r="N375" s="138"/>
      <c r="O375" s="138"/>
      <c r="P375" s="149"/>
      <c r="Q375" s="140"/>
      <c r="R375" s="140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20"/>
    </row>
    <row r="376" spans="1:29" x14ac:dyDescent="0.25">
      <c r="A376" s="112"/>
      <c r="B376" s="135"/>
      <c r="C376" s="113"/>
      <c r="D376" s="113"/>
      <c r="E376" s="141"/>
      <c r="F376" s="138"/>
      <c r="G376" s="137"/>
      <c r="H376" s="114"/>
      <c r="I376" s="138"/>
      <c r="J376" s="138"/>
      <c r="K376" s="138"/>
      <c r="L376" s="138"/>
      <c r="M376" s="138"/>
      <c r="N376" s="138"/>
      <c r="O376" s="138"/>
      <c r="P376" s="149"/>
      <c r="Q376" s="140"/>
      <c r="R376" s="140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20"/>
    </row>
    <row r="377" spans="1:29" x14ac:dyDescent="0.25">
      <c r="A377" s="112"/>
      <c r="B377" s="135"/>
      <c r="C377" s="113"/>
      <c r="D377" s="113"/>
      <c r="E377" s="141"/>
      <c r="F377" s="138"/>
      <c r="G377" s="137"/>
      <c r="H377" s="114"/>
      <c r="I377" s="138"/>
      <c r="J377" s="138"/>
      <c r="K377" s="138"/>
      <c r="L377" s="138"/>
      <c r="M377" s="138"/>
      <c r="N377" s="138"/>
      <c r="O377" s="138"/>
      <c r="P377" s="149"/>
      <c r="Q377" s="140"/>
      <c r="R377" s="140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20"/>
    </row>
    <row r="378" spans="1:29" x14ac:dyDescent="0.25">
      <c r="A378" s="112"/>
      <c r="B378" s="135"/>
      <c r="C378" s="113"/>
      <c r="D378" s="113"/>
      <c r="E378" s="141"/>
      <c r="F378" s="138"/>
      <c r="G378" s="137"/>
      <c r="H378" s="114"/>
      <c r="I378" s="138"/>
      <c r="J378" s="138"/>
      <c r="K378" s="138"/>
      <c r="L378" s="138"/>
      <c r="M378" s="138"/>
      <c r="N378" s="138"/>
      <c r="O378" s="138"/>
      <c r="P378" s="149"/>
      <c r="Q378" s="140"/>
      <c r="R378" s="140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20"/>
    </row>
    <row r="379" spans="1:29" x14ac:dyDescent="0.25">
      <c r="A379" s="112"/>
      <c r="B379" s="135"/>
      <c r="C379" s="113"/>
      <c r="D379" s="113"/>
      <c r="E379" s="141"/>
      <c r="F379" s="138"/>
      <c r="G379" s="137"/>
      <c r="H379" s="114"/>
      <c r="I379" s="138"/>
      <c r="J379" s="138"/>
      <c r="K379" s="138"/>
      <c r="L379" s="138"/>
      <c r="M379" s="138"/>
      <c r="N379" s="138"/>
      <c r="O379" s="138"/>
      <c r="P379" s="149"/>
      <c r="Q379" s="140"/>
      <c r="R379" s="140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20"/>
    </row>
    <row r="380" spans="1:29" x14ac:dyDescent="0.25">
      <c r="A380" s="112"/>
      <c r="B380" s="135"/>
      <c r="C380" s="113"/>
      <c r="D380" s="113"/>
      <c r="E380" s="141"/>
      <c r="F380" s="138"/>
      <c r="G380" s="137"/>
      <c r="H380" s="114"/>
      <c r="I380" s="138"/>
      <c r="J380" s="138"/>
      <c r="K380" s="138"/>
      <c r="L380" s="138"/>
      <c r="M380" s="138"/>
      <c r="N380" s="138"/>
      <c r="O380" s="138"/>
      <c r="P380" s="149"/>
      <c r="Q380" s="140"/>
      <c r="R380" s="140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20"/>
    </row>
    <row r="381" spans="1:29" x14ac:dyDescent="0.25">
      <c r="A381" s="112"/>
      <c r="B381" s="135"/>
      <c r="C381" s="113"/>
      <c r="D381" s="113"/>
      <c r="E381" s="141"/>
      <c r="F381" s="138"/>
      <c r="G381" s="137"/>
      <c r="H381" s="114"/>
      <c r="I381" s="138"/>
      <c r="J381" s="138"/>
      <c r="K381" s="138"/>
      <c r="L381" s="138"/>
      <c r="M381" s="138"/>
      <c r="N381" s="138"/>
      <c r="O381" s="138"/>
      <c r="P381" s="149"/>
      <c r="Q381" s="140"/>
      <c r="R381" s="140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20"/>
    </row>
    <row r="382" spans="1:29" x14ac:dyDescent="0.25">
      <c r="A382" s="112"/>
      <c r="B382" s="135"/>
      <c r="C382" s="113"/>
      <c r="D382" s="113"/>
      <c r="E382" s="141"/>
      <c r="F382" s="138"/>
      <c r="G382" s="137"/>
      <c r="H382" s="114"/>
      <c r="I382" s="138"/>
      <c r="J382" s="138"/>
      <c r="K382" s="138"/>
      <c r="L382" s="138"/>
      <c r="M382" s="138"/>
      <c r="N382" s="138"/>
      <c r="O382" s="138"/>
      <c r="P382" s="149"/>
      <c r="Q382" s="140"/>
      <c r="R382" s="140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20"/>
    </row>
    <row r="383" spans="1:29" x14ac:dyDescent="0.25">
      <c r="A383" s="112"/>
      <c r="B383" s="135"/>
      <c r="C383" s="113"/>
      <c r="D383" s="113"/>
      <c r="E383" s="141"/>
      <c r="F383" s="138"/>
      <c r="G383" s="137"/>
      <c r="H383" s="114"/>
      <c r="I383" s="138"/>
      <c r="J383" s="138"/>
      <c r="K383" s="138"/>
      <c r="L383" s="138"/>
      <c r="M383" s="138"/>
      <c r="N383" s="138"/>
      <c r="O383" s="138"/>
      <c r="P383" s="149"/>
      <c r="Q383" s="140"/>
      <c r="R383" s="140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20"/>
    </row>
    <row r="384" spans="1:29" x14ac:dyDescent="0.25">
      <c r="A384" s="112"/>
      <c r="B384" s="135"/>
      <c r="C384" s="113"/>
      <c r="D384" s="113"/>
      <c r="E384" s="141"/>
      <c r="F384" s="138"/>
      <c r="G384" s="137"/>
      <c r="H384" s="114"/>
      <c r="I384" s="138"/>
      <c r="J384" s="138"/>
      <c r="K384" s="138"/>
      <c r="L384" s="138"/>
      <c r="M384" s="138"/>
      <c r="N384" s="138"/>
      <c r="O384" s="138"/>
      <c r="P384" s="149"/>
      <c r="Q384" s="140"/>
      <c r="R384" s="140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20"/>
    </row>
    <row r="385" spans="1:29" x14ac:dyDescent="0.25">
      <c r="A385" s="112"/>
      <c r="B385" s="135"/>
      <c r="C385" s="113"/>
      <c r="D385" s="113"/>
      <c r="E385" s="141"/>
      <c r="F385" s="138"/>
      <c r="G385" s="137"/>
      <c r="H385" s="114"/>
      <c r="I385" s="138"/>
      <c r="J385" s="138"/>
      <c r="K385" s="138"/>
      <c r="L385" s="138"/>
      <c r="M385" s="138"/>
      <c r="N385" s="138"/>
      <c r="O385" s="138"/>
      <c r="P385" s="149"/>
      <c r="Q385" s="140"/>
      <c r="R385" s="140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20"/>
    </row>
    <row r="386" spans="1:29" x14ac:dyDescent="0.25">
      <c r="A386" s="112"/>
      <c r="B386" s="135"/>
      <c r="C386" s="113"/>
      <c r="D386" s="113"/>
      <c r="E386" s="141"/>
      <c r="F386" s="138"/>
      <c r="G386" s="137"/>
      <c r="H386" s="114"/>
      <c r="I386" s="138"/>
      <c r="J386" s="138"/>
      <c r="K386" s="138"/>
      <c r="L386" s="138"/>
      <c r="M386" s="138"/>
      <c r="N386" s="138"/>
      <c r="O386" s="138"/>
      <c r="P386" s="149"/>
      <c r="Q386" s="140"/>
      <c r="R386" s="140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20"/>
    </row>
    <row r="387" spans="1:29" x14ac:dyDescent="0.25">
      <c r="A387" s="112"/>
      <c r="B387" s="135"/>
      <c r="C387" s="113"/>
      <c r="D387" s="113"/>
      <c r="E387" s="141"/>
      <c r="F387" s="138"/>
      <c r="G387" s="137"/>
      <c r="H387" s="114"/>
      <c r="I387" s="138"/>
      <c r="J387" s="138"/>
      <c r="K387" s="138"/>
      <c r="L387" s="138"/>
      <c r="M387" s="138"/>
      <c r="N387" s="138"/>
      <c r="O387" s="138"/>
      <c r="P387" s="149"/>
      <c r="Q387" s="140"/>
      <c r="R387" s="140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20"/>
    </row>
    <row r="388" spans="1:29" x14ac:dyDescent="0.25">
      <c r="A388" s="112"/>
      <c r="B388" s="135"/>
      <c r="C388" s="113"/>
      <c r="D388" s="113"/>
      <c r="E388" s="141"/>
      <c r="F388" s="138"/>
      <c r="G388" s="137"/>
      <c r="H388" s="114"/>
      <c r="I388" s="138"/>
      <c r="J388" s="138"/>
      <c r="K388" s="138"/>
      <c r="L388" s="138"/>
      <c r="M388" s="138"/>
      <c r="N388" s="138"/>
      <c r="O388" s="138"/>
      <c r="P388" s="149"/>
      <c r="Q388" s="140"/>
      <c r="R388" s="140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20"/>
    </row>
    <row r="389" spans="1:29" x14ac:dyDescent="0.25">
      <c r="A389" s="112"/>
      <c r="B389" s="135"/>
      <c r="C389" s="113"/>
      <c r="D389" s="113"/>
      <c r="E389" s="141"/>
      <c r="F389" s="138"/>
      <c r="G389" s="137"/>
      <c r="H389" s="114"/>
      <c r="I389" s="138"/>
      <c r="J389" s="138"/>
      <c r="K389" s="138"/>
      <c r="L389" s="138"/>
      <c r="M389" s="138"/>
      <c r="N389" s="138"/>
      <c r="O389" s="138"/>
      <c r="P389" s="149"/>
      <c r="Q389" s="140"/>
      <c r="R389" s="140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20"/>
    </row>
    <row r="390" spans="1:29" x14ac:dyDescent="0.25">
      <c r="A390" s="112"/>
      <c r="B390" s="135"/>
      <c r="C390" s="113"/>
      <c r="D390" s="113"/>
      <c r="E390" s="141"/>
      <c r="F390" s="138"/>
      <c r="G390" s="137"/>
      <c r="H390" s="114"/>
      <c r="I390" s="138"/>
      <c r="J390" s="138"/>
      <c r="K390" s="138"/>
      <c r="L390" s="138"/>
      <c r="M390" s="138"/>
      <c r="N390" s="138"/>
      <c r="O390" s="138"/>
      <c r="P390" s="149"/>
      <c r="Q390" s="140"/>
      <c r="R390" s="140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20"/>
    </row>
    <row r="391" spans="1:29" x14ac:dyDescent="0.25">
      <c r="A391" s="112"/>
      <c r="B391" s="135"/>
      <c r="C391" s="113"/>
      <c r="D391" s="113"/>
      <c r="E391" s="141"/>
      <c r="F391" s="138"/>
      <c r="G391" s="137"/>
      <c r="H391" s="114"/>
      <c r="I391" s="138"/>
      <c r="J391" s="138"/>
      <c r="K391" s="138"/>
      <c r="L391" s="138"/>
      <c r="M391" s="138"/>
      <c r="N391" s="138"/>
      <c r="O391" s="138"/>
      <c r="P391" s="149"/>
      <c r="Q391" s="140"/>
      <c r="R391" s="140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20"/>
    </row>
    <row r="392" spans="1:29" x14ac:dyDescent="0.25">
      <c r="A392" s="112"/>
      <c r="B392" s="135"/>
      <c r="C392" s="113"/>
      <c r="D392" s="113"/>
      <c r="E392" s="141"/>
      <c r="F392" s="138"/>
      <c r="G392" s="137"/>
      <c r="H392" s="114"/>
      <c r="I392" s="138"/>
      <c r="J392" s="138"/>
      <c r="K392" s="138"/>
      <c r="L392" s="138"/>
      <c r="M392" s="138"/>
      <c r="N392" s="138"/>
      <c r="O392" s="138"/>
      <c r="P392" s="149"/>
      <c r="Q392" s="140"/>
      <c r="R392" s="140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20"/>
    </row>
    <row r="393" spans="1:29" x14ac:dyDescent="0.25">
      <c r="A393" s="112"/>
      <c r="B393" s="135"/>
      <c r="C393" s="113"/>
      <c r="D393" s="113"/>
      <c r="E393" s="141"/>
      <c r="F393" s="138"/>
      <c r="G393" s="137"/>
      <c r="H393" s="114"/>
      <c r="I393" s="138"/>
      <c r="J393" s="138"/>
      <c r="K393" s="138"/>
      <c r="L393" s="138"/>
      <c r="M393" s="138"/>
      <c r="N393" s="138"/>
      <c r="O393" s="138"/>
      <c r="P393" s="149"/>
      <c r="Q393" s="140"/>
      <c r="R393" s="140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20"/>
    </row>
    <row r="394" spans="1:29" x14ac:dyDescent="0.25">
      <c r="A394" s="112"/>
      <c r="B394" s="135"/>
      <c r="C394" s="113"/>
      <c r="D394" s="113"/>
      <c r="E394" s="141"/>
      <c r="F394" s="138"/>
      <c r="G394" s="137"/>
      <c r="H394" s="114"/>
      <c r="I394" s="138"/>
      <c r="J394" s="138"/>
      <c r="K394" s="138"/>
      <c r="L394" s="138"/>
      <c r="M394" s="138"/>
      <c r="N394" s="138"/>
      <c r="O394" s="138"/>
      <c r="P394" s="149"/>
      <c r="Q394" s="140"/>
      <c r="R394" s="140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20"/>
    </row>
    <row r="395" spans="1:29" x14ac:dyDescent="0.25">
      <c r="A395" s="112"/>
      <c r="B395" s="135"/>
      <c r="C395" s="113"/>
      <c r="D395" s="113"/>
      <c r="E395" s="141"/>
      <c r="F395" s="138"/>
      <c r="G395" s="137"/>
      <c r="H395" s="114"/>
      <c r="I395" s="138"/>
      <c r="J395" s="138"/>
      <c r="K395" s="138"/>
      <c r="L395" s="138"/>
      <c r="M395" s="138"/>
      <c r="N395" s="138"/>
      <c r="O395" s="138"/>
      <c r="P395" s="149"/>
      <c r="Q395" s="140"/>
      <c r="R395" s="140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20"/>
    </row>
    <row r="396" spans="1:29" x14ac:dyDescent="0.25">
      <c r="A396" s="112"/>
      <c r="B396" s="135"/>
      <c r="C396" s="113"/>
      <c r="D396" s="113"/>
      <c r="E396" s="141"/>
      <c r="F396" s="138"/>
      <c r="G396" s="137"/>
      <c r="H396" s="114"/>
      <c r="I396" s="138"/>
      <c r="J396" s="138"/>
      <c r="K396" s="138"/>
      <c r="L396" s="138"/>
      <c r="M396" s="138"/>
      <c r="N396" s="138"/>
      <c r="O396" s="138"/>
      <c r="P396" s="149"/>
      <c r="Q396" s="140"/>
      <c r="R396" s="140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20"/>
    </row>
    <row r="397" spans="1:29" x14ac:dyDescent="0.25">
      <c r="A397" s="112"/>
      <c r="B397" s="135"/>
      <c r="C397" s="113"/>
      <c r="D397" s="113"/>
      <c r="E397" s="141"/>
      <c r="F397" s="138"/>
      <c r="G397" s="137"/>
      <c r="H397" s="114"/>
      <c r="I397" s="138"/>
      <c r="J397" s="138"/>
      <c r="K397" s="138"/>
      <c r="L397" s="138"/>
      <c r="M397" s="138"/>
      <c r="N397" s="138"/>
      <c r="O397" s="138"/>
      <c r="P397" s="149"/>
      <c r="Q397" s="140"/>
      <c r="R397" s="140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20"/>
    </row>
    <row r="398" spans="1:29" x14ac:dyDescent="0.25">
      <c r="A398" s="112"/>
      <c r="B398" s="135"/>
      <c r="C398" s="113"/>
      <c r="D398" s="113"/>
      <c r="E398" s="141"/>
      <c r="F398" s="138"/>
      <c r="G398" s="137"/>
      <c r="H398" s="114"/>
      <c r="I398" s="138"/>
      <c r="J398" s="138"/>
      <c r="K398" s="138"/>
      <c r="L398" s="138"/>
      <c r="M398" s="138"/>
      <c r="N398" s="138"/>
      <c r="O398" s="138"/>
      <c r="P398" s="149"/>
      <c r="Q398" s="140"/>
      <c r="R398" s="140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20"/>
    </row>
    <row r="399" spans="1:29" x14ac:dyDescent="0.25">
      <c r="A399" s="112"/>
      <c r="B399" s="135"/>
      <c r="C399" s="113"/>
      <c r="D399" s="113"/>
      <c r="E399" s="141"/>
      <c r="F399" s="138"/>
      <c r="G399" s="137"/>
      <c r="H399" s="114"/>
      <c r="I399" s="138"/>
      <c r="J399" s="138"/>
      <c r="K399" s="138"/>
      <c r="L399" s="138"/>
      <c r="M399" s="138"/>
      <c r="N399" s="138"/>
      <c r="O399" s="138"/>
      <c r="P399" s="149"/>
      <c r="Q399" s="140"/>
      <c r="R399" s="140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20"/>
    </row>
    <row r="400" spans="1:29" x14ac:dyDescent="0.25">
      <c r="A400" s="112"/>
      <c r="B400" s="135"/>
      <c r="C400" s="113"/>
      <c r="D400" s="113"/>
      <c r="E400" s="141"/>
      <c r="F400" s="138"/>
      <c r="G400" s="137"/>
      <c r="H400" s="114"/>
      <c r="I400" s="138"/>
      <c r="J400" s="138"/>
      <c r="K400" s="138"/>
      <c r="L400" s="138"/>
      <c r="M400" s="138"/>
      <c r="N400" s="138"/>
      <c r="O400" s="138"/>
      <c r="P400" s="149"/>
      <c r="Q400" s="140"/>
      <c r="R400" s="140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20"/>
    </row>
    <row r="401" spans="1:29" x14ac:dyDescent="0.25">
      <c r="A401" s="112"/>
      <c r="B401" s="135"/>
      <c r="C401" s="113"/>
      <c r="D401" s="113"/>
      <c r="E401" s="141"/>
      <c r="F401" s="138"/>
      <c r="G401" s="137"/>
      <c r="H401" s="114"/>
      <c r="I401" s="138"/>
      <c r="J401" s="138"/>
      <c r="K401" s="138"/>
      <c r="L401" s="138"/>
      <c r="M401" s="138"/>
      <c r="N401" s="138"/>
      <c r="O401" s="138"/>
      <c r="P401" s="149"/>
      <c r="Q401" s="140"/>
      <c r="R401" s="140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20"/>
    </row>
    <row r="402" spans="1:29" x14ac:dyDescent="0.25">
      <c r="A402" s="112"/>
      <c r="B402" s="135"/>
      <c r="C402" s="113"/>
      <c r="D402" s="113"/>
      <c r="E402" s="141"/>
      <c r="F402" s="138"/>
      <c r="G402" s="137"/>
      <c r="H402" s="114"/>
      <c r="I402" s="138"/>
      <c r="J402" s="138"/>
      <c r="K402" s="138"/>
      <c r="L402" s="138"/>
      <c r="M402" s="138"/>
      <c r="N402" s="138"/>
      <c r="O402" s="138"/>
      <c r="P402" s="149"/>
      <c r="Q402" s="140"/>
      <c r="R402" s="140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20"/>
    </row>
    <row r="403" spans="1:29" x14ac:dyDescent="0.25">
      <c r="A403" s="112"/>
      <c r="B403" s="135"/>
      <c r="C403" s="113"/>
      <c r="D403" s="113"/>
      <c r="E403" s="141"/>
      <c r="F403" s="138"/>
      <c r="G403" s="137"/>
      <c r="H403" s="114"/>
      <c r="I403" s="138"/>
      <c r="J403" s="138"/>
      <c r="K403" s="138"/>
      <c r="L403" s="138"/>
      <c r="M403" s="138"/>
      <c r="N403" s="138"/>
      <c r="O403" s="138"/>
      <c r="P403" s="149"/>
      <c r="Q403" s="140"/>
      <c r="R403" s="140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20"/>
    </row>
    <row r="404" spans="1:29" x14ac:dyDescent="0.25">
      <c r="A404" s="112"/>
      <c r="B404" s="135"/>
      <c r="C404" s="113"/>
      <c r="D404" s="113"/>
      <c r="E404" s="141"/>
      <c r="F404" s="138"/>
      <c r="G404" s="137"/>
      <c r="H404" s="114"/>
      <c r="I404" s="138"/>
      <c r="J404" s="138"/>
      <c r="K404" s="138"/>
      <c r="L404" s="138"/>
      <c r="M404" s="138"/>
      <c r="N404" s="138"/>
      <c r="O404" s="138"/>
      <c r="P404" s="149"/>
      <c r="Q404" s="140"/>
      <c r="R404" s="140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20"/>
    </row>
    <row r="405" spans="1:29" x14ac:dyDescent="0.25">
      <c r="A405" s="112"/>
      <c r="B405" s="135"/>
      <c r="C405" s="113"/>
      <c r="D405" s="113"/>
      <c r="E405" s="141"/>
      <c r="F405" s="138"/>
      <c r="G405" s="137"/>
      <c r="H405" s="114"/>
      <c r="I405" s="138"/>
      <c r="J405" s="138"/>
      <c r="K405" s="138"/>
      <c r="L405" s="138"/>
      <c r="M405" s="138"/>
      <c r="N405" s="138"/>
      <c r="O405" s="138"/>
      <c r="P405" s="149"/>
      <c r="Q405" s="140"/>
      <c r="R405" s="140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20"/>
    </row>
    <row r="406" spans="1:29" x14ac:dyDescent="0.25">
      <c r="A406" s="112"/>
      <c r="B406" s="135"/>
      <c r="C406" s="113"/>
      <c r="D406" s="113"/>
      <c r="E406" s="141"/>
      <c r="F406" s="138"/>
      <c r="G406" s="137"/>
      <c r="H406" s="114"/>
      <c r="I406" s="138"/>
      <c r="J406" s="138"/>
      <c r="K406" s="138"/>
      <c r="L406" s="138"/>
      <c r="M406" s="138"/>
      <c r="N406" s="138"/>
      <c r="O406" s="138"/>
      <c r="P406" s="149"/>
      <c r="Q406" s="140"/>
      <c r="R406" s="140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20"/>
    </row>
    <row r="407" spans="1:29" x14ac:dyDescent="0.25">
      <c r="A407" s="112"/>
      <c r="B407" s="135"/>
      <c r="C407" s="113"/>
      <c r="D407" s="113"/>
      <c r="E407" s="141"/>
      <c r="F407" s="138"/>
      <c r="G407" s="137"/>
      <c r="H407" s="114"/>
      <c r="I407" s="138"/>
      <c r="J407" s="138"/>
      <c r="K407" s="138"/>
      <c r="L407" s="138"/>
      <c r="M407" s="138"/>
      <c r="N407" s="138"/>
      <c r="O407" s="138"/>
      <c r="P407" s="149"/>
      <c r="Q407" s="140"/>
      <c r="R407" s="140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20"/>
    </row>
    <row r="408" spans="1:29" x14ac:dyDescent="0.25">
      <c r="A408" s="112"/>
      <c r="B408" s="135"/>
      <c r="C408" s="113"/>
      <c r="D408" s="113"/>
      <c r="E408" s="141"/>
      <c r="F408" s="138"/>
      <c r="G408" s="137"/>
      <c r="H408" s="114"/>
      <c r="I408" s="138"/>
      <c r="J408" s="138"/>
      <c r="K408" s="138"/>
      <c r="L408" s="138"/>
      <c r="M408" s="138"/>
      <c r="N408" s="138"/>
      <c r="O408" s="138"/>
      <c r="P408" s="149"/>
      <c r="Q408" s="140"/>
      <c r="R408" s="140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20"/>
    </row>
    <row r="409" spans="1:29" x14ac:dyDescent="0.25">
      <c r="A409" s="112"/>
      <c r="B409" s="135"/>
      <c r="C409" s="113"/>
      <c r="D409" s="113"/>
      <c r="E409" s="141"/>
      <c r="F409" s="138"/>
      <c r="G409" s="137"/>
      <c r="H409" s="114"/>
      <c r="I409" s="138"/>
      <c r="J409" s="138"/>
      <c r="K409" s="138"/>
      <c r="L409" s="138"/>
      <c r="M409" s="138"/>
      <c r="N409" s="138"/>
      <c r="O409" s="138"/>
      <c r="P409" s="149"/>
      <c r="Q409" s="140"/>
      <c r="R409" s="140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20"/>
    </row>
    <row r="410" spans="1:29" x14ac:dyDescent="0.25">
      <c r="A410" s="112"/>
      <c r="B410" s="135"/>
      <c r="C410" s="113"/>
      <c r="D410" s="113"/>
      <c r="E410" s="141"/>
      <c r="F410" s="138"/>
      <c r="G410" s="137"/>
      <c r="H410" s="114"/>
      <c r="I410" s="138"/>
      <c r="J410" s="138"/>
      <c r="K410" s="138"/>
      <c r="L410" s="138"/>
      <c r="M410" s="138"/>
      <c r="N410" s="138"/>
      <c r="O410" s="138"/>
      <c r="P410" s="149"/>
      <c r="Q410" s="140"/>
      <c r="R410" s="140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20"/>
    </row>
    <row r="411" spans="1:29" x14ac:dyDescent="0.25">
      <c r="A411" s="112"/>
      <c r="B411" s="135"/>
      <c r="C411" s="113"/>
      <c r="D411" s="113"/>
      <c r="E411" s="141"/>
      <c r="F411" s="138"/>
      <c r="G411" s="137"/>
      <c r="H411" s="114"/>
      <c r="I411" s="138"/>
      <c r="J411" s="138"/>
      <c r="K411" s="138"/>
      <c r="L411" s="138"/>
      <c r="M411" s="138"/>
      <c r="N411" s="138"/>
      <c r="O411" s="138"/>
      <c r="P411" s="149"/>
      <c r="Q411" s="140"/>
      <c r="R411" s="140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20"/>
    </row>
    <row r="412" spans="1:29" x14ac:dyDescent="0.25">
      <c r="A412" s="112"/>
      <c r="B412" s="135"/>
      <c r="C412" s="113"/>
      <c r="D412" s="113"/>
      <c r="E412" s="141"/>
      <c r="F412" s="138"/>
      <c r="G412" s="137"/>
      <c r="H412" s="114"/>
      <c r="I412" s="138"/>
      <c r="J412" s="138"/>
      <c r="K412" s="138"/>
      <c r="L412" s="138"/>
      <c r="M412" s="138"/>
      <c r="N412" s="138"/>
      <c r="O412" s="138"/>
      <c r="P412" s="149"/>
      <c r="Q412" s="140"/>
      <c r="R412" s="140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20"/>
    </row>
    <row r="413" spans="1:29" x14ac:dyDescent="0.25">
      <c r="A413" s="112"/>
      <c r="B413" s="135"/>
      <c r="C413" s="113"/>
      <c r="D413" s="113"/>
      <c r="E413" s="141"/>
      <c r="F413" s="138"/>
      <c r="G413" s="137"/>
      <c r="H413" s="114"/>
      <c r="I413" s="138"/>
      <c r="J413" s="138"/>
      <c r="K413" s="138"/>
      <c r="L413" s="138"/>
      <c r="M413" s="138"/>
      <c r="N413" s="138"/>
      <c r="O413" s="138"/>
      <c r="P413" s="149"/>
      <c r="Q413" s="140"/>
      <c r="R413" s="140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20"/>
    </row>
    <row r="414" spans="1:29" x14ac:dyDescent="0.25">
      <c r="A414" s="112"/>
      <c r="B414" s="135"/>
      <c r="C414" s="113"/>
      <c r="D414" s="113"/>
      <c r="E414" s="141"/>
      <c r="F414" s="138"/>
      <c r="G414" s="137"/>
      <c r="H414" s="114"/>
      <c r="I414" s="138"/>
      <c r="J414" s="138"/>
      <c r="K414" s="138"/>
      <c r="L414" s="138"/>
      <c r="M414" s="138"/>
      <c r="N414" s="138"/>
      <c r="O414" s="138"/>
      <c r="P414" s="149"/>
      <c r="Q414" s="140"/>
      <c r="R414" s="140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20"/>
    </row>
    <row r="415" spans="1:29" x14ac:dyDescent="0.25">
      <c r="A415" s="112"/>
      <c r="B415" s="135"/>
      <c r="C415" s="113"/>
      <c r="D415" s="113"/>
      <c r="E415" s="141"/>
      <c r="F415" s="138"/>
      <c r="G415" s="137"/>
      <c r="H415" s="114"/>
      <c r="I415" s="138"/>
      <c r="J415" s="138"/>
      <c r="K415" s="138"/>
      <c r="L415" s="138"/>
      <c r="M415" s="138"/>
      <c r="N415" s="138"/>
      <c r="O415" s="138"/>
      <c r="P415" s="149"/>
      <c r="Q415" s="140"/>
      <c r="R415" s="140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20"/>
    </row>
    <row r="416" spans="1:29" x14ac:dyDescent="0.25">
      <c r="A416" s="112"/>
      <c r="B416" s="135"/>
      <c r="C416" s="113"/>
      <c r="D416" s="113"/>
      <c r="E416" s="141"/>
      <c r="F416" s="138"/>
      <c r="G416" s="137"/>
      <c r="H416" s="114"/>
      <c r="I416" s="138"/>
      <c r="J416" s="138"/>
      <c r="K416" s="138"/>
      <c r="L416" s="138"/>
      <c r="M416" s="138"/>
      <c r="N416" s="138"/>
      <c r="O416" s="138"/>
      <c r="P416" s="149"/>
      <c r="Q416" s="140"/>
      <c r="R416" s="140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20"/>
    </row>
    <row r="417" spans="1:29" x14ac:dyDescent="0.25">
      <c r="A417" s="112"/>
      <c r="B417" s="135"/>
      <c r="C417" s="113"/>
      <c r="D417" s="113"/>
      <c r="E417" s="141"/>
      <c r="F417" s="138"/>
      <c r="G417" s="137"/>
      <c r="H417" s="114"/>
      <c r="I417" s="138"/>
      <c r="J417" s="138"/>
      <c r="K417" s="138"/>
      <c r="L417" s="138"/>
      <c r="M417" s="138"/>
      <c r="N417" s="138"/>
      <c r="O417" s="138"/>
      <c r="P417" s="149"/>
      <c r="Q417" s="140"/>
      <c r="R417" s="140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20"/>
    </row>
    <row r="418" spans="1:29" x14ac:dyDescent="0.25">
      <c r="A418" s="112"/>
      <c r="B418" s="135"/>
      <c r="C418" s="113"/>
      <c r="D418" s="113"/>
      <c r="E418" s="141"/>
      <c r="F418" s="138"/>
      <c r="G418" s="137"/>
      <c r="H418" s="114"/>
      <c r="I418" s="138"/>
      <c r="J418" s="138"/>
      <c r="K418" s="138"/>
      <c r="L418" s="138"/>
      <c r="M418" s="138"/>
      <c r="N418" s="138"/>
      <c r="O418" s="138"/>
      <c r="P418" s="149"/>
      <c r="Q418" s="140"/>
      <c r="R418" s="140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20"/>
    </row>
    <row r="419" spans="1:29" x14ac:dyDescent="0.25">
      <c r="A419" s="112"/>
      <c r="B419" s="135"/>
      <c r="C419" s="113"/>
      <c r="D419" s="113"/>
      <c r="E419" s="141"/>
      <c r="F419" s="138"/>
      <c r="G419" s="137"/>
      <c r="H419" s="114"/>
      <c r="I419" s="138"/>
      <c r="J419" s="138"/>
      <c r="K419" s="138"/>
      <c r="L419" s="138"/>
      <c r="M419" s="138"/>
      <c r="N419" s="138"/>
      <c r="O419" s="138"/>
      <c r="P419" s="149"/>
      <c r="Q419" s="140"/>
      <c r="R419" s="140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20"/>
    </row>
    <row r="420" spans="1:29" x14ac:dyDescent="0.25">
      <c r="A420" s="112"/>
      <c r="B420" s="135"/>
      <c r="C420" s="113"/>
      <c r="D420" s="113"/>
      <c r="E420" s="141"/>
      <c r="F420" s="138"/>
      <c r="G420" s="137"/>
      <c r="H420" s="114"/>
      <c r="I420" s="138"/>
      <c r="J420" s="138"/>
      <c r="K420" s="138"/>
      <c r="L420" s="138"/>
      <c r="M420" s="138"/>
      <c r="N420" s="138"/>
      <c r="O420" s="138"/>
      <c r="P420" s="149"/>
      <c r="Q420" s="140"/>
      <c r="R420" s="140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20"/>
    </row>
    <row r="421" spans="1:29" x14ac:dyDescent="0.25">
      <c r="A421" s="112"/>
      <c r="B421" s="135"/>
      <c r="C421" s="113"/>
      <c r="D421" s="113"/>
      <c r="E421" s="141"/>
      <c r="F421" s="138"/>
      <c r="G421" s="137"/>
      <c r="H421" s="114"/>
      <c r="I421" s="138"/>
      <c r="J421" s="138"/>
      <c r="K421" s="138"/>
      <c r="L421" s="138"/>
      <c r="M421" s="138"/>
      <c r="N421" s="138"/>
      <c r="O421" s="138"/>
      <c r="P421" s="149"/>
      <c r="Q421" s="140"/>
      <c r="R421" s="140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20"/>
    </row>
    <row r="422" spans="1:29" x14ac:dyDescent="0.25">
      <c r="A422" s="112"/>
      <c r="B422" s="135"/>
      <c r="C422" s="113"/>
      <c r="D422" s="113"/>
      <c r="E422" s="141"/>
      <c r="F422" s="138"/>
      <c r="G422" s="137"/>
      <c r="H422" s="114"/>
      <c r="I422" s="138"/>
      <c r="J422" s="138"/>
      <c r="K422" s="138"/>
      <c r="L422" s="138"/>
      <c r="M422" s="138"/>
      <c r="N422" s="138"/>
      <c r="O422" s="138"/>
      <c r="P422" s="149"/>
      <c r="Q422" s="140"/>
      <c r="R422" s="140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20"/>
    </row>
    <row r="423" spans="1:29" x14ac:dyDescent="0.25">
      <c r="A423" s="112"/>
      <c r="B423" s="135"/>
      <c r="C423" s="113"/>
      <c r="D423" s="113"/>
      <c r="E423" s="141"/>
      <c r="F423" s="138"/>
      <c r="G423" s="137"/>
      <c r="H423" s="114"/>
      <c r="I423" s="138"/>
      <c r="J423" s="138"/>
      <c r="K423" s="138"/>
      <c r="L423" s="138"/>
      <c r="M423" s="138"/>
      <c r="N423" s="138"/>
      <c r="O423" s="138"/>
      <c r="P423" s="149"/>
      <c r="Q423" s="140"/>
      <c r="R423" s="140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20"/>
    </row>
    <row r="424" spans="1:29" x14ac:dyDescent="0.25">
      <c r="A424" s="112"/>
      <c r="B424" s="135"/>
      <c r="C424" s="113"/>
      <c r="D424" s="113"/>
      <c r="E424" s="141"/>
      <c r="F424" s="138"/>
      <c r="G424" s="137"/>
      <c r="H424" s="114"/>
      <c r="I424" s="138"/>
      <c r="J424" s="138"/>
      <c r="K424" s="138"/>
      <c r="L424" s="138"/>
      <c r="M424" s="138"/>
      <c r="N424" s="138"/>
      <c r="O424" s="138"/>
      <c r="P424" s="149"/>
      <c r="Q424" s="140"/>
      <c r="R424" s="140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20"/>
    </row>
    <row r="425" spans="1:29" x14ac:dyDescent="0.25">
      <c r="A425" s="112"/>
      <c r="B425" s="135"/>
      <c r="C425" s="113"/>
      <c r="D425" s="113"/>
      <c r="E425" s="141"/>
      <c r="F425" s="138"/>
      <c r="G425" s="137"/>
      <c r="H425" s="114"/>
      <c r="I425" s="138"/>
      <c r="J425" s="138"/>
      <c r="K425" s="138"/>
      <c r="L425" s="138"/>
      <c r="M425" s="138"/>
      <c r="N425" s="138"/>
      <c r="O425" s="138"/>
      <c r="P425" s="149"/>
      <c r="Q425" s="140"/>
      <c r="R425" s="140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20"/>
    </row>
    <row r="426" spans="1:29" x14ac:dyDescent="0.25">
      <c r="A426" s="112"/>
      <c r="B426" s="135"/>
      <c r="C426" s="113"/>
      <c r="D426" s="113"/>
      <c r="E426" s="141"/>
      <c r="F426" s="138"/>
      <c r="G426" s="137"/>
      <c r="H426" s="114"/>
      <c r="I426" s="138"/>
      <c r="J426" s="138"/>
      <c r="K426" s="138"/>
      <c r="L426" s="138"/>
      <c r="M426" s="138"/>
      <c r="N426" s="138"/>
      <c r="O426" s="138"/>
      <c r="P426" s="149"/>
      <c r="Q426" s="140"/>
      <c r="R426" s="140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20"/>
    </row>
    <row r="427" spans="1:29" x14ac:dyDescent="0.25">
      <c r="A427" s="112"/>
      <c r="B427" s="135"/>
      <c r="C427" s="113"/>
      <c r="D427" s="113"/>
      <c r="E427" s="141"/>
      <c r="F427" s="138"/>
      <c r="G427" s="137"/>
      <c r="H427" s="114"/>
      <c r="I427" s="138"/>
      <c r="J427" s="138"/>
      <c r="K427" s="138"/>
      <c r="L427" s="138"/>
      <c r="M427" s="138"/>
      <c r="N427" s="138"/>
      <c r="O427" s="138"/>
      <c r="P427" s="149"/>
      <c r="Q427" s="140"/>
      <c r="R427" s="140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20"/>
    </row>
    <row r="428" spans="1:29" x14ac:dyDescent="0.25">
      <c r="A428" s="112"/>
      <c r="B428" s="135"/>
      <c r="C428" s="113"/>
      <c r="D428" s="113"/>
      <c r="E428" s="141"/>
      <c r="F428" s="138"/>
      <c r="G428" s="137"/>
      <c r="H428" s="114"/>
      <c r="I428" s="138"/>
      <c r="J428" s="138"/>
      <c r="K428" s="138"/>
      <c r="L428" s="138"/>
      <c r="M428" s="138"/>
      <c r="N428" s="138"/>
      <c r="O428" s="138"/>
      <c r="P428" s="149"/>
      <c r="Q428" s="140"/>
      <c r="R428" s="140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20"/>
    </row>
    <row r="429" spans="1:29" x14ac:dyDescent="0.25">
      <c r="A429" s="112"/>
      <c r="B429" s="135"/>
      <c r="C429" s="113"/>
      <c r="D429" s="113"/>
      <c r="E429" s="141"/>
      <c r="F429" s="138"/>
      <c r="G429" s="137"/>
      <c r="H429" s="114"/>
      <c r="I429" s="138"/>
      <c r="J429" s="138"/>
      <c r="K429" s="138"/>
      <c r="L429" s="138"/>
      <c r="M429" s="138"/>
      <c r="N429" s="138"/>
      <c r="O429" s="138"/>
      <c r="P429" s="149"/>
      <c r="Q429" s="140"/>
      <c r="R429" s="140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20"/>
    </row>
    <row r="430" spans="1:29" x14ac:dyDescent="0.25">
      <c r="A430" s="112"/>
      <c r="B430" s="135"/>
      <c r="C430" s="113"/>
      <c r="D430" s="113"/>
      <c r="E430" s="141"/>
      <c r="F430" s="138"/>
      <c r="G430" s="137"/>
      <c r="H430" s="114"/>
      <c r="I430" s="138"/>
      <c r="J430" s="138"/>
      <c r="K430" s="138"/>
      <c r="L430" s="138"/>
      <c r="M430" s="138"/>
      <c r="N430" s="138"/>
      <c r="O430" s="138"/>
      <c r="P430" s="149"/>
      <c r="Q430" s="140"/>
      <c r="R430" s="140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20"/>
    </row>
    <row r="431" spans="1:29" x14ac:dyDescent="0.25">
      <c r="A431" s="112"/>
      <c r="B431" s="135"/>
      <c r="C431" s="113"/>
      <c r="D431" s="113"/>
      <c r="E431" s="141"/>
      <c r="F431" s="138"/>
      <c r="G431" s="137"/>
      <c r="H431" s="114"/>
      <c r="I431" s="138"/>
      <c r="J431" s="138"/>
      <c r="K431" s="138"/>
      <c r="L431" s="138"/>
      <c r="M431" s="138"/>
      <c r="N431" s="138"/>
      <c r="O431" s="138"/>
      <c r="P431" s="149"/>
      <c r="Q431" s="140"/>
      <c r="R431" s="140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20"/>
    </row>
    <row r="432" spans="1:29" x14ac:dyDescent="0.25">
      <c r="A432" s="112"/>
      <c r="B432" s="135"/>
      <c r="C432" s="113"/>
      <c r="D432" s="113"/>
      <c r="E432" s="141"/>
      <c r="F432" s="138"/>
      <c r="G432" s="137"/>
      <c r="H432" s="114"/>
      <c r="I432" s="138"/>
      <c r="J432" s="138"/>
      <c r="K432" s="138"/>
      <c r="L432" s="138"/>
      <c r="M432" s="138"/>
      <c r="N432" s="138"/>
      <c r="O432" s="138"/>
      <c r="P432" s="149"/>
      <c r="Q432" s="140"/>
      <c r="R432" s="140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20"/>
    </row>
    <row r="433" spans="1:29" x14ac:dyDescent="0.25">
      <c r="A433" s="112"/>
      <c r="B433" s="135"/>
      <c r="C433" s="113"/>
      <c r="D433" s="113"/>
      <c r="E433" s="141"/>
      <c r="F433" s="138"/>
      <c r="G433" s="137"/>
      <c r="H433" s="114"/>
      <c r="I433" s="138"/>
      <c r="J433" s="138"/>
      <c r="K433" s="138"/>
      <c r="L433" s="138"/>
      <c r="M433" s="138"/>
      <c r="N433" s="138"/>
      <c r="O433" s="138"/>
      <c r="P433" s="149"/>
      <c r="Q433" s="140"/>
      <c r="R433" s="140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20"/>
    </row>
    <row r="434" spans="1:29" x14ac:dyDescent="0.25">
      <c r="A434" s="112"/>
      <c r="B434" s="135"/>
      <c r="C434" s="113"/>
      <c r="D434" s="113"/>
      <c r="E434" s="141"/>
      <c r="F434" s="138"/>
      <c r="G434" s="137"/>
      <c r="H434" s="114"/>
      <c r="I434" s="138"/>
      <c r="J434" s="138"/>
      <c r="K434" s="138"/>
      <c r="L434" s="138"/>
      <c r="M434" s="138"/>
      <c r="N434" s="138"/>
      <c r="O434" s="138"/>
      <c r="P434" s="149"/>
      <c r="Q434" s="140"/>
      <c r="R434" s="140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20"/>
    </row>
    <row r="435" spans="1:29" x14ac:dyDescent="0.25">
      <c r="A435" s="112"/>
      <c r="B435" s="135"/>
      <c r="C435" s="113"/>
      <c r="D435" s="113"/>
      <c r="E435" s="141"/>
      <c r="F435" s="138"/>
      <c r="G435" s="137"/>
      <c r="H435" s="114"/>
      <c r="I435" s="138"/>
      <c r="J435" s="138"/>
      <c r="K435" s="138"/>
      <c r="L435" s="138"/>
      <c r="M435" s="138"/>
      <c r="N435" s="138"/>
      <c r="O435" s="138"/>
      <c r="P435" s="149"/>
      <c r="Q435" s="140"/>
      <c r="R435" s="140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20"/>
    </row>
    <row r="436" spans="1:29" x14ac:dyDescent="0.25">
      <c r="A436" s="112"/>
      <c r="B436" s="135"/>
      <c r="C436" s="113"/>
      <c r="D436" s="113"/>
      <c r="E436" s="141"/>
      <c r="F436" s="138"/>
      <c r="G436" s="137"/>
      <c r="H436" s="114"/>
      <c r="I436" s="138"/>
      <c r="J436" s="138"/>
      <c r="K436" s="138"/>
      <c r="L436" s="138"/>
      <c r="M436" s="138"/>
      <c r="N436" s="138"/>
      <c r="O436" s="138"/>
      <c r="P436" s="149"/>
      <c r="Q436" s="140"/>
      <c r="R436" s="140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20"/>
    </row>
    <row r="437" spans="1:29" x14ac:dyDescent="0.25">
      <c r="A437" s="112"/>
      <c r="B437" s="135"/>
      <c r="C437" s="113"/>
      <c r="D437" s="113"/>
      <c r="E437" s="141"/>
      <c r="F437" s="138"/>
      <c r="G437" s="137"/>
      <c r="H437" s="114"/>
      <c r="I437" s="138"/>
      <c r="J437" s="138"/>
      <c r="K437" s="138"/>
      <c r="L437" s="138"/>
      <c r="M437" s="138"/>
      <c r="N437" s="138"/>
      <c r="O437" s="138"/>
      <c r="P437" s="149"/>
      <c r="Q437" s="140"/>
      <c r="R437" s="140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20"/>
    </row>
    <row r="438" spans="1:29" x14ac:dyDescent="0.25">
      <c r="A438" s="112"/>
      <c r="B438" s="135"/>
      <c r="C438" s="113"/>
      <c r="D438" s="113"/>
      <c r="E438" s="141"/>
      <c r="F438" s="138"/>
      <c r="G438" s="137"/>
      <c r="H438" s="114"/>
      <c r="I438" s="138"/>
      <c r="J438" s="138"/>
      <c r="K438" s="138"/>
      <c r="L438" s="138"/>
      <c r="M438" s="138"/>
      <c r="N438" s="138"/>
      <c r="O438" s="138"/>
      <c r="P438" s="149"/>
      <c r="Q438" s="140"/>
      <c r="R438" s="140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20"/>
    </row>
    <row r="439" spans="1:29" x14ac:dyDescent="0.25">
      <c r="A439" s="112"/>
      <c r="B439" s="135"/>
      <c r="C439" s="113"/>
      <c r="D439" s="113"/>
      <c r="E439" s="141"/>
      <c r="F439" s="138"/>
      <c r="G439" s="137"/>
      <c r="H439" s="114"/>
      <c r="I439" s="138"/>
      <c r="J439" s="138"/>
      <c r="K439" s="138"/>
      <c r="L439" s="138"/>
      <c r="M439" s="138"/>
      <c r="N439" s="138"/>
      <c r="O439" s="138"/>
      <c r="P439" s="149"/>
      <c r="Q439" s="140"/>
      <c r="R439" s="140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20"/>
    </row>
    <row r="440" spans="1:29" x14ac:dyDescent="0.25">
      <c r="A440" s="112"/>
      <c r="B440" s="135"/>
      <c r="C440" s="113"/>
      <c r="D440" s="113"/>
      <c r="E440" s="141"/>
      <c r="F440" s="138"/>
      <c r="G440" s="137"/>
      <c r="H440" s="114"/>
      <c r="I440" s="138"/>
      <c r="J440" s="138"/>
      <c r="K440" s="138"/>
      <c r="L440" s="138"/>
      <c r="M440" s="138"/>
      <c r="N440" s="138"/>
      <c r="O440" s="138"/>
      <c r="P440" s="149"/>
      <c r="Q440" s="140"/>
      <c r="R440" s="140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20"/>
    </row>
    <row r="441" spans="1:29" x14ac:dyDescent="0.25">
      <c r="A441" s="112"/>
      <c r="B441" s="135"/>
      <c r="C441" s="113"/>
      <c r="D441" s="113"/>
      <c r="E441" s="141"/>
      <c r="F441" s="138"/>
      <c r="G441" s="137"/>
      <c r="H441" s="114"/>
      <c r="I441" s="138"/>
      <c r="J441" s="138"/>
      <c r="K441" s="138"/>
      <c r="L441" s="138"/>
      <c r="M441" s="138"/>
      <c r="N441" s="138"/>
      <c r="O441" s="138"/>
      <c r="P441" s="149"/>
      <c r="Q441" s="140"/>
      <c r="R441" s="140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20"/>
    </row>
    <row r="442" spans="1:29" x14ac:dyDescent="0.25">
      <c r="A442" s="112"/>
      <c r="B442" s="135"/>
      <c r="C442" s="113"/>
      <c r="D442" s="113"/>
      <c r="E442" s="141"/>
      <c r="F442" s="138"/>
      <c r="G442" s="137"/>
      <c r="H442" s="114"/>
      <c r="I442" s="138"/>
      <c r="J442" s="138"/>
      <c r="K442" s="138"/>
      <c r="L442" s="138"/>
      <c r="M442" s="138"/>
      <c r="N442" s="138"/>
      <c r="O442" s="138"/>
      <c r="P442" s="149"/>
      <c r="Q442" s="140"/>
      <c r="R442" s="140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20"/>
    </row>
    <row r="443" spans="1:29" x14ac:dyDescent="0.25">
      <c r="A443" s="112"/>
      <c r="B443" s="135"/>
      <c r="C443" s="113"/>
      <c r="D443" s="113"/>
      <c r="E443" s="141"/>
      <c r="F443" s="138"/>
      <c r="G443" s="137"/>
      <c r="H443" s="114"/>
      <c r="I443" s="138"/>
      <c r="J443" s="138"/>
      <c r="K443" s="138"/>
      <c r="L443" s="138"/>
      <c r="M443" s="138"/>
      <c r="N443" s="138"/>
      <c r="O443" s="138"/>
      <c r="P443" s="149"/>
      <c r="Q443" s="140"/>
      <c r="R443" s="140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20"/>
    </row>
    <row r="444" spans="1:29" x14ac:dyDescent="0.25">
      <c r="A444" s="112"/>
      <c r="B444" s="135"/>
      <c r="C444" s="113"/>
      <c r="D444" s="113"/>
      <c r="E444" s="141"/>
      <c r="F444" s="138"/>
      <c r="G444" s="137"/>
      <c r="H444" s="114"/>
      <c r="I444" s="138"/>
      <c r="J444" s="138"/>
      <c r="K444" s="138"/>
      <c r="L444" s="138"/>
      <c r="M444" s="138"/>
      <c r="N444" s="138"/>
      <c r="O444" s="138"/>
      <c r="P444" s="149"/>
      <c r="Q444" s="140"/>
      <c r="R444" s="140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20"/>
    </row>
    <row r="445" spans="1:29" x14ac:dyDescent="0.25">
      <c r="A445" s="112"/>
      <c r="B445" s="135"/>
      <c r="C445" s="113"/>
      <c r="D445" s="113"/>
      <c r="E445" s="141"/>
      <c r="F445" s="138"/>
      <c r="G445" s="137"/>
      <c r="H445" s="114"/>
      <c r="I445" s="138"/>
      <c r="J445" s="138"/>
      <c r="K445" s="138"/>
      <c r="L445" s="138"/>
      <c r="M445" s="138"/>
      <c r="N445" s="138"/>
      <c r="O445" s="138"/>
      <c r="P445" s="149"/>
      <c r="Q445" s="140"/>
      <c r="R445" s="140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20"/>
    </row>
    <row r="446" spans="1:29" x14ac:dyDescent="0.25">
      <c r="A446" s="112"/>
      <c r="B446" s="135"/>
      <c r="C446" s="113"/>
      <c r="D446" s="113"/>
      <c r="E446" s="141"/>
      <c r="F446" s="138"/>
      <c r="G446" s="137"/>
      <c r="H446" s="114"/>
      <c r="I446" s="138"/>
      <c r="J446" s="138"/>
      <c r="K446" s="138"/>
      <c r="L446" s="138"/>
      <c r="M446" s="138"/>
      <c r="N446" s="138"/>
      <c r="O446" s="138"/>
      <c r="P446" s="149"/>
      <c r="Q446" s="140"/>
      <c r="R446" s="140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20"/>
    </row>
    <row r="447" spans="1:29" x14ac:dyDescent="0.25">
      <c r="A447" s="112"/>
      <c r="B447" s="135"/>
      <c r="C447" s="113"/>
      <c r="D447" s="113"/>
      <c r="E447" s="141"/>
      <c r="F447" s="138"/>
      <c r="G447" s="137"/>
      <c r="H447" s="114"/>
      <c r="I447" s="138"/>
      <c r="J447" s="138"/>
      <c r="K447" s="138"/>
      <c r="L447" s="138"/>
      <c r="M447" s="138"/>
      <c r="N447" s="138"/>
      <c r="O447" s="138"/>
      <c r="P447" s="149"/>
      <c r="Q447" s="140"/>
      <c r="R447" s="140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20"/>
    </row>
    <row r="448" spans="1:29" x14ac:dyDescent="0.25">
      <c r="A448" s="112"/>
      <c r="B448" s="135"/>
      <c r="C448" s="113"/>
      <c r="D448" s="113"/>
      <c r="E448" s="141"/>
      <c r="F448" s="138"/>
      <c r="G448" s="137"/>
      <c r="H448" s="114"/>
      <c r="I448" s="138"/>
      <c r="J448" s="138"/>
      <c r="K448" s="138"/>
      <c r="L448" s="138"/>
      <c r="M448" s="138"/>
      <c r="N448" s="138"/>
      <c r="O448" s="138"/>
      <c r="P448" s="149"/>
      <c r="Q448" s="140"/>
      <c r="R448" s="140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20"/>
    </row>
    <row r="449" spans="1:29" x14ac:dyDescent="0.25">
      <c r="A449" s="112"/>
      <c r="B449" s="135"/>
      <c r="C449" s="113"/>
      <c r="D449" s="113"/>
      <c r="E449" s="141"/>
      <c r="F449" s="138"/>
      <c r="G449" s="137"/>
      <c r="H449" s="114"/>
      <c r="I449" s="138"/>
      <c r="J449" s="138"/>
      <c r="K449" s="138"/>
      <c r="L449" s="138"/>
      <c r="M449" s="138"/>
      <c r="N449" s="138"/>
      <c r="O449" s="138"/>
      <c r="P449" s="149"/>
      <c r="Q449" s="140"/>
      <c r="R449" s="140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20"/>
    </row>
    <row r="450" spans="1:29" x14ac:dyDescent="0.25">
      <c r="A450" s="112"/>
      <c r="B450" s="135"/>
      <c r="C450" s="113"/>
      <c r="D450" s="113"/>
      <c r="E450" s="141"/>
      <c r="F450" s="138"/>
      <c r="G450" s="137"/>
      <c r="H450" s="114"/>
      <c r="I450" s="138"/>
      <c r="J450" s="138"/>
      <c r="K450" s="138"/>
      <c r="L450" s="138"/>
      <c r="M450" s="138"/>
      <c r="N450" s="138"/>
      <c r="O450" s="138"/>
      <c r="P450" s="149"/>
      <c r="Q450" s="140"/>
      <c r="R450" s="140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20"/>
    </row>
    <row r="451" spans="1:29" x14ac:dyDescent="0.25">
      <c r="A451" s="112"/>
      <c r="B451" s="135"/>
      <c r="C451" s="113"/>
      <c r="D451" s="113"/>
      <c r="E451" s="141"/>
      <c r="F451" s="138"/>
      <c r="G451" s="137"/>
      <c r="H451" s="114"/>
      <c r="I451" s="138"/>
      <c r="J451" s="138"/>
      <c r="K451" s="138"/>
      <c r="L451" s="138"/>
      <c r="M451" s="138"/>
      <c r="N451" s="138"/>
      <c r="O451" s="138"/>
      <c r="P451" s="149"/>
      <c r="Q451" s="140"/>
      <c r="R451" s="140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20"/>
    </row>
    <row r="452" spans="1:29" x14ac:dyDescent="0.25">
      <c r="A452" s="112"/>
      <c r="B452" s="135"/>
      <c r="C452" s="113"/>
      <c r="D452" s="113"/>
      <c r="E452" s="141"/>
      <c r="F452" s="138"/>
      <c r="G452" s="137"/>
      <c r="H452" s="114"/>
      <c r="I452" s="138"/>
      <c r="J452" s="138"/>
      <c r="K452" s="138"/>
      <c r="L452" s="138"/>
      <c r="M452" s="138"/>
      <c r="N452" s="138"/>
      <c r="O452" s="138"/>
      <c r="P452" s="149"/>
      <c r="Q452" s="140"/>
      <c r="R452" s="140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20"/>
    </row>
    <row r="453" spans="1:29" x14ac:dyDescent="0.25">
      <c r="A453" s="112"/>
      <c r="B453" s="135"/>
      <c r="C453" s="113"/>
      <c r="D453" s="113"/>
      <c r="E453" s="141"/>
      <c r="F453" s="138"/>
      <c r="G453" s="137"/>
      <c r="H453" s="114"/>
      <c r="I453" s="138"/>
      <c r="J453" s="138"/>
      <c r="K453" s="138"/>
      <c r="L453" s="138"/>
      <c r="M453" s="138"/>
      <c r="N453" s="138"/>
      <c r="O453" s="138"/>
      <c r="P453" s="149"/>
      <c r="Q453" s="140"/>
      <c r="R453" s="140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20"/>
    </row>
    <row r="454" spans="1:29" x14ac:dyDescent="0.25">
      <c r="A454" s="112"/>
      <c r="B454" s="135"/>
      <c r="C454" s="113"/>
      <c r="D454" s="113"/>
      <c r="E454" s="141"/>
      <c r="F454" s="138"/>
      <c r="G454" s="137"/>
      <c r="H454" s="114"/>
      <c r="I454" s="138"/>
      <c r="J454" s="138"/>
      <c r="K454" s="138"/>
      <c r="L454" s="138"/>
      <c r="M454" s="138"/>
      <c r="N454" s="138"/>
      <c r="O454" s="138"/>
      <c r="P454" s="149"/>
      <c r="Q454" s="140"/>
      <c r="R454" s="140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20"/>
    </row>
    <row r="455" spans="1:29" x14ac:dyDescent="0.25">
      <c r="A455" s="112"/>
      <c r="B455" s="135"/>
      <c r="C455" s="113"/>
      <c r="D455" s="113"/>
      <c r="E455" s="141"/>
      <c r="F455" s="138"/>
      <c r="G455" s="137"/>
      <c r="H455" s="114"/>
      <c r="I455" s="138"/>
      <c r="J455" s="138"/>
      <c r="K455" s="138"/>
      <c r="L455" s="138"/>
      <c r="M455" s="138"/>
      <c r="N455" s="138"/>
      <c r="O455" s="138"/>
      <c r="P455" s="149"/>
      <c r="Q455" s="140"/>
      <c r="R455" s="140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20"/>
    </row>
    <row r="456" spans="1:29" x14ac:dyDescent="0.25">
      <c r="A456" s="112"/>
      <c r="B456" s="135"/>
      <c r="C456" s="113"/>
      <c r="D456" s="113"/>
      <c r="E456" s="141"/>
      <c r="F456" s="138"/>
      <c r="G456" s="137"/>
      <c r="H456" s="114"/>
      <c r="I456" s="138"/>
      <c r="J456" s="138"/>
      <c r="K456" s="138"/>
      <c r="L456" s="138"/>
      <c r="M456" s="138"/>
      <c r="N456" s="138"/>
      <c r="O456" s="138"/>
      <c r="P456" s="149"/>
      <c r="Q456" s="140"/>
      <c r="R456" s="140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20"/>
    </row>
    <row r="457" spans="1:29" x14ac:dyDescent="0.25">
      <c r="A457" s="112"/>
      <c r="B457" s="135"/>
      <c r="C457" s="113"/>
      <c r="D457" s="113"/>
      <c r="E457" s="141"/>
      <c r="F457" s="138"/>
      <c r="G457" s="137"/>
      <c r="H457" s="114"/>
      <c r="I457" s="138"/>
      <c r="J457" s="138"/>
      <c r="K457" s="138"/>
      <c r="L457" s="138"/>
      <c r="M457" s="138"/>
      <c r="N457" s="138"/>
      <c r="O457" s="138"/>
      <c r="P457" s="149"/>
      <c r="Q457" s="140"/>
      <c r="R457" s="140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20"/>
    </row>
    <row r="458" spans="1:29" x14ac:dyDescent="0.25">
      <c r="A458" s="112"/>
      <c r="B458" s="135"/>
      <c r="C458" s="113"/>
      <c r="D458" s="113"/>
      <c r="E458" s="141"/>
      <c r="F458" s="138"/>
      <c r="G458" s="137"/>
      <c r="H458" s="114"/>
      <c r="I458" s="138"/>
      <c r="J458" s="138"/>
      <c r="K458" s="138"/>
      <c r="L458" s="138"/>
      <c r="M458" s="138"/>
      <c r="N458" s="138"/>
      <c r="O458" s="138"/>
      <c r="P458" s="149"/>
      <c r="Q458" s="140"/>
      <c r="R458" s="140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20"/>
    </row>
    <row r="459" spans="1:29" x14ac:dyDescent="0.25">
      <c r="A459" s="112"/>
      <c r="B459" s="135"/>
      <c r="C459" s="113"/>
      <c r="D459" s="113"/>
      <c r="E459" s="141"/>
      <c r="F459" s="138"/>
      <c r="G459" s="137"/>
      <c r="H459" s="114"/>
      <c r="I459" s="138"/>
      <c r="J459" s="138"/>
      <c r="K459" s="138"/>
      <c r="L459" s="138"/>
      <c r="M459" s="138"/>
      <c r="N459" s="138"/>
      <c r="O459" s="138"/>
      <c r="P459" s="149"/>
      <c r="Q459" s="140"/>
      <c r="R459" s="140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20"/>
    </row>
    <row r="460" spans="1:29" x14ac:dyDescent="0.25">
      <c r="A460" s="112"/>
      <c r="B460" s="135"/>
      <c r="C460" s="113"/>
      <c r="D460" s="113"/>
      <c r="E460" s="141"/>
      <c r="F460" s="138"/>
      <c r="G460" s="137"/>
      <c r="H460" s="114"/>
      <c r="I460" s="138"/>
      <c r="J460" s="138"/>
      <c r="K460" s="138"/>
      <c r="L460" s="138"/>
      <c r="M460" s="138"/>
      <c r="N460" s="138"/>
      <c r="O460" s="138"/>
      <c r="P460" s="149"/>
      <c r="Q460" s="140"/>
      <c r="R460" s="140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20"/>
    </row>
    <row r="461" spans="1:29" x14ac:dyDescent="0.25">
      <c r="A461" s="112"/>
      <c r="B461" s="135"/>
      <c r="C461" s="113"/>
      <c r="D461" s="113"/>
      <c r="E461" s="141"/>
      <c r="F461" s="138"/>
      <c r="G461" s="137"/>
      <c r="H461" s="114"/>
      <c r="I461" s="138"/>
      <c r="J461" s="138"/>
      <c r="K461" s="138"/>
      <c r="L461" s="138"/>
      <c r="M461" s="138"/>
      <c r="N461" s="138"/>
      <c r="O461" s="138"/>
      <c r="P461" s="149"/>
      <c r="Q461" s="140"/>
      <c r="R461" s="140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20"/>
    </row>
    <row r="462" spans="1:29" x14ac:dyDescent="0.25">
      <c r="A462" s="112"/>
      <c r="B462" s="135"/>
      <c r="C462" s="113"/>
      <c r="D462" s="113"/>
      <c r="E462" s="141"/>
      <c r="F462" s="138"/>
      <c r="G462" s="137"/>
      <c r="H462" s="114"/>
      <c r="I462" s="138"/>
      <c r="J462" s="138"/>
      <c r="K462" s="138"/>
      <c r="L462" s="138"/>
      <c r="M462" s="138"/>
      <c r="N462" s="138"/>
      <c r="O462" s="138"/>
      <c r="P462" s="149"/>
      <c r="Q462" s="140"/>
      <c r="R462" s="140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20"/>
    </row>
    <row r="463" spans="1:29" x14ac:dyDescent="0.25">
      <c r="A463" s="112"/>
      <c r="B463" s="135"/>
      <c r="C463" s="113"/>
      <c r="D463" s="113"/>
      <c r="E463" s="141"/>
      <c r="F463" s="138"/>
      <c r="G463" s="137"/>
      <c r="H463" s="114"/>
      <c r="I463" s="138"/>
      <c r="J463" s="138"/>
      <c r="K463" s="138"/>
      <c r="L463" s="138"/>
      <c r="M463" s="138"/>
      <c r="N463" s="138"/>
      <c r="O463" s="138"/>
      <c r="P463" s="149"/>
      <c r="Q463" s="140"/>
      <c r="R463" s="140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20"/>
    </row>
    <row r="464" spans="1:29" x14ac:dyDescent="0.25">
      <c r="A464" s="112"/>
      <c r="B464" s="135"/>
      <c r="C464" s="113"/>
      <c r="D464" s="113"/>
      <c r="E464" s="141"/>
      <c r="F464" s="138"/>
      <c r="G464" s="137"/>
      <c r="H464" s="114"/>
      <c r="I464" s="138"/>
      <c r="J464" s="138"/>
      <c r="K464" s="138"/>
      <c r="L464" s="138"/>
      <c r="M464" s="138"/>
      <c r="N464" s="138"/>
      <c r="O464" s="138"/>
      <c r="P464" s="149"/>
      <c r="Q464" s="140"/>
      <c r="R464" s="140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20"/>
    </row>
    <row r="465" spans="1:29" x14ac:dyDescent="0.25">
      <c r="A465" s="112"/>
      <c r="B465" s="135"/>
      <c r="C465" s="113"/>
      <c r="D465" s="113"/>
      <c r="E465" s="141"/>
      <c r="F465" s="138"/>
      <c r="G465" s="137"/>
      <c r="H465" s="114"/>
      <c r="I465" s="138"/>
      <c r="J465" s="138"/>
      <c r="K465" s="138"/>
      <c r="L465" s="138"/>
      <c r="M465" s="138"/>
      <c r="N465" s="138"/>
      <c r="O465" s="138"/>
      <c r="P465" s="149"/>
      <c r="Q465" s="140"/>
      <c r="R465" s="140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20"/>
    </row>
    <row r="466" spans="1:29" x14ac:dyDescent="0.25">
      <c r="A466" s="112"/>
      <c r="B466" s="135"/>
      <c r="C466" s="113"/>
      <c r="D466" s="113"/>
      <c r="E466" s="141"/>
      <c r="F466" s="138"/>
      <c r="G466" s="137"/>
      <c r="H466" s="114"/>
      <c r="I466" s="138"/>
      <c r="J466" s="138"/>
      <c r="K466" s="138"/>
      <c r="L466" s="138"/>
      <c r="M466" s="138"/>
      <c r="N466" s="138"/>
      <c r="O466" s="138"/>
      <c r="P466" s="149"/>
      <c r="Q466" s="140"/>
      <c r="R466" s="140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20"/>
    </row>
    <row r="467" spans="1:29" x14ac:dyDescent="0.25">
      <c r="A467" s="112"/>
      <c r="B467" s="135"/>
      <c r="C467" s="113"/>
      <c r="D467" s="113"/>
      <c r="E467" s="141"/>
      <c r="F467" s="138"/>
      <c r="G467" s="137"/>
      <c r="H467" s="114"/>
      <c r="I467" s="138"/>
      <c r="J467" s="138"/>
      <c r="K467" s="138"/>
      <c r="L467" s="138"/>
      <c r="M467" s="138"/>
      <c r="N467" s="138"/>
      <c r="O467" s="138"/>
      <c r="P467" s="149"/>
      <c r="Q467" s="140"/>
      <c r="R467" s="140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20"/>
    </row>
    <row r="468" spans="1:29" x14ac:dyDescent="0.25">
      <c r="A468" s="112"/>
      <c r="B468" s="135"/>
      <c r="C468" s="113"/>
      <c r="D468" s="113"/>
      <c r="E468" s="141"/>
      <c r="F468" s="138"/>
      <c r="G468" s="137"/>
      <c r="H468" s="114"/>
      <c r="I468" s="138"/>
      <c r="J468" s="138"/>
      <c r="K468" s="138"/>
      <c r="L468" s="138"/>
      <c r="M468" s="138"/>
      <c r="N468" s="138"/>
      <c r="O468" s="138"/>
      <c r="P468" s="149"/>
      <c r="Q468" s="140"/>
      <c r="R468" s="140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20"/>
    </row>
    <row r="469" spans="1:29" x14ac:dyDescent="0.25">
      <c r="A469" s="112"/>
      <c r="B469" s="135"/>
      <c r="C469" s="113"/>
      <c r="D469" s="113"/>
      <c r="E469" s="141"/>
      <c r="F469" s="138"/>
      <c r="G469" s="137"/>
      <c r="H469" s="114"/>
      <c r="I469" s="138"/>
      <c r="J469" s="138"/>
      <c r="K469" s="138"/>
      <c r="L469" s="138"/>
      <c r="M469" s="138"/>
      <c r="N469" s="138"/>
      <c r="O469" s="138"/>
      <c r="P469" s="149"/>
      <c r="Q469" s="140"/>
      <c r="R469" s="140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20"/>
    </row>
    <row r="470" spans="1:29" x14ac:dyDescent="0.25">
      <c r="A470" s="112"/>
      <c r="B470" s="135"/>
      <c r="C470" s="113"/>
      <c r="D470" s="113"/>
      <c r="E470" s="141"/>
      <c r="F470" s="138"/>
      <c r="G470" s="137"/>
      <c r="H470" s="114"/>
      <c r="I470" s="138"/>
      <c r="J470" s="138"/>
      <c r="K470" s="138"/>
      <c r="L470" s="138"/>
      <c r="M470" s="138"/>
      <c r="N470" s="138"/>
      <c r="O470" s="138"/>
      <c r="P470" s="149"/>
      <c r="Q470" s="140"/>
      <c r="R470" s="140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20"/>
    </row>
    <row r="471" spans="1:29" x14ac:dyDescent="0.25">
      <c r="A471" s="112"/>
      <c r="B471" s="135"/>
      <c r="C471" s="113"/>
      <c r="D471" s="113"/>
      <c r="E471" s="141"/>
      <c r="F471" s="138"/>
      <c r="G471" s="137"/>
      <c r="H471" s="114"/>
      <c r="I471" s="138"/>
      <c r="J471" s="138"/>
      <c r="K471" s="138"/>
      <c r="L471" s="138"/>
      <c r="M471" s="138"/>
      <c r="N471" s="138"/>
      <c r="O471" s="138"/>
      <c r="P471" s="149"/>
      <c r="Q471" s="140"/>
      <c r="R471" s="140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20"/>
    </row>
    <row r="472" spans="1:29" x14ac:dyDescent="0.25">
      <c r="A472" s="112"/>
      <c r="B472" s="135"/>
      <c r="C472" s="113"/>
      <c r="D472" s="113"/>
      <c r="E472" s="141"/>
      <c r="F472" s="138"/>
      <c r="G472" s="137"/>
      <c r="H472" s="114"/>
      <c r="I472" s="138"/>
      <c r="J472" s="138"/>
      <c r="K472" s="138"/>
      <c r="L472" s="138"/>
      <c r="M472" s="138"/>
      <c r="N472" s="138"/>
      <c r="O472" s="138"/>
      <c r="P472" s="149"/>
      <c r="Q472" s="140"/>
      <c r="R472" s="140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20"/>
    </row>
    <row r="473" spans="1:29" x14ac:dyDescent="0.25">
      <c r="A473" s="112"/>
      <c r="B473" s="135"/>
      <c r="C473" s="113"/>
      <c r="D473" s="113"/>
      <c r="E473" s="141"/>
      <c r="F473" s="138"/>
      <c r="G473" s="137"/>
      <c r="H473" s="114"/>
      <c r="I473" s="138"/>
      <c r="J473" s="138"/>
      <c r="K473" s="138"/>
      <c r="L473" s="138"/>
      <c r="M473" s="138"/>
      <c r="N473" s="138"/>
      <c r="O473" s="138"/>
      <c r="P473" s="149"/>
      <c r="Q473" s="140"/>
      <c r="R473" s="140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20"/>
    </row>
    <row r="474" spans="1:29" x14ac:dyDescent="0.25">
      <c r="A474" s="112"/>
      <c r="B474" s="135"/>
      <c r="C474" s="113"/>
      <c r="D474" s="113"/>
      <c r="E474" s="141"/>
      <c r="F474" s="138"/>
      <c r="G474" s="137"/>
      <c r="H474" s="114"/>
      <c r="I474" s="138"/>
      <c r="J474" s="138"/>
      <c r="K474" s="138"/>
      <c r="L474" s="138"/>
      <c r="M474" s="138"/>
      <c r="N474" s="138"/>
      <c r="O474" s="138"/>
      <c r="P474" s="149"/>
      <c r="Q474" s="140"/>
      <c r="R474" s="140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20"/>
    </row>
    <row r="475" spans="1:29" x14ac:dyDescent="0.25">
      <c r="A475" s="112"/>
      <c r="B475" s="135"/>
      <c r="C475" s="113"/>
      <c r="D475" s="113"/>
      <c r="E475" s="141"/>
      <c r="F475" s="138"/>
      <c r="G475" s="137"/>
      <c r="H475" s="114"/>
      <c r="I475" s="138"/>
      <c r="J475" s="138"/>
      <c r="K475" s="138"/>
      <c r="L475" s="138"/>
      <c r="M475" s="138"/>
      <c r="N475" s="138"/>
      <c r="O475" s="138"/>
      <c r="P475" s="149"/>
      <c r="Q475" s="140"/>
      <c r="R475" s="140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20"/>
    </row>
    <row r="476" spans="1:29" x14ac:dyDescent="0.25">
      <c r="A476" s="112"/>
      <c r="B476" s="135"/>
      <c r="C476" s="113"/>
      <c r="D476" s="113"/>
      <c r="E476" s="141"/>
      <c r="F476" s="138"/>
      <c r="G476" s="137"/>
      <c r="H476" s="114"/>
      <c r="I476" s="138"/>
      <c r="J476" s="138"/>
      <c r="K476" s="138"/>
      <c r="L476" s="138"/>
      <c r="M476" s="138"/>
      <c r="N476" s="138"/>
      <c r="O476" s="138"/>
      <c r="P476" s="149"/>
      <c r="Q476" s="140"/>
      <c r="R476" s="140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20"/>
    </row>
    <row r="477" spans="1:29" x14ac:dyDescent="0.25">
      <c r="A477" s="112"/>
      <c r="B477" s="135"/>
      <c r="C477" s="113"/>
      <c r="D477" s="113"/>
      <c r="E477" s="141"/>
      <c r="F477" s="138"/>
      <c r="G477" s="137"/>
      <c r="H477" s="114"/>
      <c r="I477" s="138"/>
      <c r="J477" s="138"/>
      <c r="K477" s="138"/>
      <c r="L477" s="138"/>
      <c r="M477" s="138"/>
      <c r="N477" s="138"/>
      <c r="O477" s="138"/>
      <c r="P477" s="149"/>
      <c r="Q477" s="140"/>
      <c r="R477" s="140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20"/>
    </row>
    <row r="478" spans="1:29" x14ac:dyDescent="0.25">
      <c r="A478" s="112"/>
      <c r="B478" s="135"/>
      <c r="C478" s="113"/>
      <c r="D478" s="113"/>
      <c r="E478" s="141"/>
      <c r="F478" s="138"/>
      <c r="G478" s="137"/>
      <c r="H478" s="114"/>
      <c r="I478" s="138"/>
      <c r="J478" s="138"/>
      <c r="K478" s="138"/>
      <c r="L478" s="138"/>
      <c r="M478" s="138"/>
      <c r="N478" s="138"/>
      <c r="O478" s="138"/>
      <c r="P478" s="149"/>
      <c r="Q478" s="140"/>
      <c r="R478" s="140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20"/>
    </row>
    <row r="479" spans="1:29" x14ac:dyDescent="0.25">
      <c r="A479" s="112"/>
      <c r="B479" s="135"/>
      <c r="C479" s="113"/>
      <c r="D479" s="113"/>
      <c r="E479" s="141"/>
      <c r="F479" s="138"/>
      <c r="G479" s="137"/>
      <c r="H479" s="114"/>
      <c r="I479" s="138"/>
      <c r="J479" s="138"/>
      <c r="K479" s="138"/>
      <c r="L479" s="138"/>
      <c r="M479" s="138"/>
      <c r="N479" s="138"/>
      <c r="O479" s="138"/>
      <c r="P479" s="149"/>
      <c r="Q479" s="140"/>
      <c r="R479" s="140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20"/>
    </row>
    <row r="480" spans="1:29" x14ac:dyDescent="0.25">
      <c r="A480" s="112"/>
      <c r="B480" s="135"/>
      <c r="C480" s="113"/>
      <c r="D480" s="113"/>
      <c r="E480" s="141"/>
      <c r="F480" s="138"/>
      <c r="G480" s="137"/>
      <c r="H480" s="114"/>
      <c r="I480" s="138"/>
      <c r="J480" s="138"/>
      <c r="K480" s="138"/>
      <c r="L480" s="138"/>
      <c r="M480" s="138"/>
      <c r="N480" s="138"/>
      <c r="O480" s="138"/>
      <c r="P480" s="149"/>
      <c r="Q480" s="140"/>
      <c r="R480" s="140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20"/>
    </row>
    <row r="481" spans="1:29" x14ac:dyDescent="0.25">
      <c r="A481" s="112"/>
      <c r="B481" s="135"/>
      <c r="C481" s="113"/>
      <c r="D481" s="113"/>
      <c r="E481" s="141"/>
      <c r="F481" s="138"/>
      <c r="G481" s="137"/>
      <c r="H481" s="114"/>
      <c r="I481" s="138"/>
      <c r="J481" s="138"/>
      <c r="K481" s="138"/>
      <c r="L481" s="138"/>
      <c r="M481" s="138"/>
      <c r="N481" s="138"/>
      <c r="O481" s="138"/>
      <c r="P481" s="149"/>
      <c r="Q481" s="140"/>
      <c r="R481" s="140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20"/>
    </row>
    <row r="482" spans="1:29" x14ac:dyDescent="0.25">
      <c r="A482" s="112"/>
      <c r="B482" s="135"/>
      <c r="C482" s="113"/>
      <c r="D482" s="113"/>
      <c r="E482" s="141"/>
      <c r="F482" s="138"/>
      <c r="G482" s="137"/>
      <c r="H482" s="114"/>
      <c r="I482" s="138"/>
      <c r="J482" s="138"/>
      <c r="K482" s="138"/>
      <c r="L482" s="138"/>
      <c r="M482" s="138"/>
      <c r="N482" s="138"/>
      <c r="O482" s="138"/>
      <c r="P482" s="149"/>
      <c r="Q482" s="140"/>
      <c r="R482" s="140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20"/>
    </row>
    <row r="483" spans="1:29" x14ac:dyDescent="0.25">
      <c r="A483" s="112"/>
      <c r="B483" s="135"/>
      <c r="C483" s="113"/>
      <c r="D483" s="113"/>
      <c r="E483" s="141"/>
      <c r="F483" s="138"/>
      <c r="G483" s="137"/>
      <c r="H483" s="114"/>
      <c r="I483" s="138"/>
      <c r="J483" s="138"/>
      <c r="K483" s="138"/>
      <c r="L483" s="138"/>
      <c r="M483" s="138"/>
      <c r="N483" s="138"/>
      <c r="O483" s="138"/>
      <c r="P483" s="149"/>
      <c r="Q483" s="140"/>
      <c r="R483" s="140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20"/>
    </row>
    <row r="484" spans="1:29" x14ac:dyDescent="0.25">
      <c r="A484" s="112"/>
      <c r="B484" s="135"/>
      <c r="C484" s="113"/>
      <c r="D484" s="113"/>
      <c r="E484" s="141"/>
      <c r="F484" s="138"/>
      <c r="G484" s="137"/>
      <c r="H484" s="114"/>
      <c r="I484" s="138"/>
      <c r="J484" s="138"/>
      <c r="K484" s="138"/>
      <c r="L484" s="138"/>
      <c r="M484" s="138"/>
      <c r="N484" s="138"/>
      <c r="O484" s="138"/>
      <c r="P484" s="149"/>
      <c r="Q484" s="140"/>
      <c r="R484" s="140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20"/>
    </row>
    <row r="485" spans="1:29" x14ac:dyDescent="0.25">
      <c r="A485" s="112"/>
      <c r="B485" s="135"/>
      <c r="C485" s="113"/>
      <c r="D485" s="113"/>
      <c r="E485" s="141"/>
      <c r="F485" s="138"/>
      <c r="G485" s="137"/>
      <c r="H485" s="114"/>
      <c r="I485" s="138"/>
      <c r="J485" s="138"/>
      <c r="K485" s="138"/>
      <c r="L485" s="138"/>
      <c r="M485" s="138"/>
      <c r="N485" s="138"/>
      <c r="O485" s="138"/>
      <c r="P485" s="149"/>
      <c r="Q485" s="140"/>
      <c r="R485" s="140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20"/>
    </row>
    <row r="486" spans="1:29" x14ac:dyDescent="0.25">
      <c r="A486" s="112"/>
      <c r="B486" s="135"/>
      <c r="C486" s="113"/>
      <c r="D486" s="113"/>
      <c r="E486" s="141"/>
      <c r="F486" s="138"/>
      <c r="G486" s="137"/>
      <c r="H486" s="114"/>
      <c r="I486" s="138"/>
      <c r="J486" s="138"/>
      <c r="K486" s="138"/>
      <c r="L486" s="138"/>
      <c r="M486" s="138"/>
      <c r="N486" s="138"/>
      <c r="O486" s="138"/>
      <c r="P486" s="149"/>
      <c r="Q486" s="140"/>
      <c r="R486" s="140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20"/>
    </row>
    <row r="487" spans="1:29" x14ac:dyDescent="0.25">
      <c r="A487" s="112"/>
      <c r="B487" s="135"/>
      <c r="C487" s="113"/>
      <c r="D487" s="113"/>
      <c r="E487" s="141"/>
      <c r="F487" s="138"/>
      <c r="G487" s="137"/>
      <c r="H487" s="114"/>
      <c r="I487" s="138"/>
      <c r="J487" s="138"/>
      <c r="K487" s="138"/>
      <c r="L487" s="138"/>
      <c r="M487" s="138"/>
      <c r="N487" s="138"/>
      <c r="O487" s="138"/>
      <c r="P487" s="149"/>
      <c r="Q487" s="140"/>
      <c r="R487" s="140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20"/>
    </row>
    <row r="488" spans="1:29" x14ac:dyDescent="0.25">
      <c r="A488" s="112"/>
      <c r="B488" s="135"/>
      <c r="C488" s="113"/>
      <c r="D488" s="113"/>
      <c r="E488" s="141"/>
      <c r="F488" s="138"/>
      <c r="G488" s="137"/>
      <c r="H488" s="114"/>
      <c r="I488" s="138"/>
      <c r="J488" s="138"/>
      <c r="K488" s="138"/>
      <c r="L488" s="138"/>
      <c r="M488" s="138"/>
      <c r="N488" s="138"/>
      <c r="O488" s="138"/>
      <c r="P488" s="149"/>
      <c r="Q488" s="140"/>
      <c r="R488" s="140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20"/>
    </row>
    <row r="489" spans="1:29" x14ac:dyDescent="0.25">
      <c r="A489" s="112"/>
      <c r="B489" s="135"/>
      <c r="C489" s="113"/>
      <c r="D489" s="113"/>
      <c r="E489" s="141"/>
      <c r="F489" s="138"/>
      <c r="G489" s="137"/>
      <c r="H489" s="114"/>
      <c r="I489" s="138"/>
      <c r="J489" s="138"/>
      <c r="K489" s="138"/>
      <c r="L489" s="138"/>
      <c r="M489" s="138"/>
      <c r="N489" s="138"/>
      <c r="O489" s="138"/>
      <c r="P489" s="149"/>
      <c r="Q489" s="140"/>
      <c r="R489" s="140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20"/>
    </row>
    <row r="490" spans="1:29" x14ac:dyDescent="0.25">
      <c r="A490" s="112"/>
      <c r="B490" s="135"/>
      <c r="C490" s="113"/>
      <c r="D490" s="113"/>
      <c r="E490" s="141"/>
      <c r="F490" s="138"/>
      <c r="G490" s="137"/>
      <c r="H490" s="114"/>
      <c r="I490" s="138"/>
      <c r="J490" s="138"/>
      <c r="K490" s="138"/>
      <c r="L490" s="138"/>
      <c r="M490" s="138"/>
      <c r="N490" s="138"/>
      <c r="O490" s="138"/>
      <c r="P490" s="149"/>
      <c r="Q490" s="140"/>
      <c r="R490" s="140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20"/>
    </row>
    <row r="491" spans="1:29" x14ac:dyDescent="0.25">
      <c r="A491" s="112"/>
      <c r="B491" s="135"/>
      <c r="C491" s="113"/>
      <c r="D491" s="113"/>
      <c r="E491" s="141"/>
      <c r="F491" s="138"/>
      <c r="G491" s="137"/>
      <c r="H491" s="114"/>
      <c r="I491" s="138"/>
      <c r="J491" s="138"/>
      <c r="K491" s="138"/>
      <c r="L491" s="138"/>
      <c r="M491" s="138"/>
      <c r="N491" s="138"/>
      <c r="O491" s="138"/>
      <c r="P491" s="149"/>
      <c r="Q491" s="140"/>
      <c r="R491" s="140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20"/>
    </row>
    <row r="492" spans="1:29" x14ac:dyDescent="0.25">
      <c r="A492" s="112"/>
      <c r="B492" s="135"/>
      <c r="C492" s="113"/>
      <c r="D492" s="113"/>
      <c r="E492" s="141"/>
      <c r="F492" s="138"/>
      <c r="G492" s="137"/>
      <c r="H492" s="114"/>
      <c r="I492" s="138"/>
      <c r="J492" s="138"/>
      <c r="K492" s="138"/>
      <c r="L492" s="138"/>
      <c r="M492" s="138"/>
      <c r="N492" s="138"/>
      <c r="O492" s="138"/>
      <c r="P492" s="149"/>
      <c r="Q492" s="140"/>
      <c r="R492" s="140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20"/>
    </row>
    <row r="493" spans="1:29" x14ac:dyDescent="0.25">
      <c r="A493" s="112"/>
      <c r="B493" s="135"/>
      <c r="C493" s="113"/>
      <c r="D493" s="113"/>
      <c r="E493" s="141"/>
      <c r="F493" s="138"/>
      <c r="G493" s="137"/>
      <c r="H493" s="114"/>
      <c r="I493" s="138"/>
      <c r="J493" s="138"/>
      <c r="K493" s="138"/>
      <c r="L493" s="138"/>
      <c r="M493" s="138"/>
      <c r="N493" s="138"/>
      <c r="O493" s="138"/>
      <c r="P493" s="149"/>
      <c r="Q493" s="140"/>
      <c r="R493" s="140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20"/>
    </row>
    <row r="494" spans="1:29" x14ac:dyDescent="0.25">
      <c r="A494" s="112"/>
      <c r="B494" s="135"/>
      <c r="C494" s="113"/>
      <c r="D494" s="113"/>
      <c r="E494" s="141"/>
      <c r="F494" s="138"/>
      <c r="G494" s="137"/>
      <c r="H494" s="114"/>
      <c r="I494" s="138"/>
      <c r="J494" s="138"/>
      <c r="K494" s="138"/>
      <c r="L494" s="138"/>
      <c r="M494" s="138"/>
      <c r="N494" s="138"/>
      <c r="O494" s="138"/>
      <c r="P494" s="149"/>
      <c r="Q494" s="140"/>
      <c r="R494" s="140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20"/>
    </row>
    <row r="495" spans="1:29" x14ac:dyDescent="0.25">
      <c r="A495" s="112"/>
      <c r="B495" s="135"/>
      <c r="C495" s="113"/>
      <c r="D495" s="113"/>
      <c r="E495" s="141"/>
      <c r="F495" s="138"/>
      <c r="G495" s="137"/>
      <c r="H495" s="114"/>
      <c r="I495" s="138"/>
      <c r="J495" s="138"/>
      <c r="K495" s="138"/>
      <c r="L495" s="138"/>
      <c r="M495" s="138"/>
      <c r="N495" s="138"/>
      <c r="O495" s="138"/>
      <c r="P495" s="149"/>
      <c r="Q495" s="140"/>
      <c r="R495" s="140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20"/>
    </row>
    <row r="496" spans="1:29" x14ac:dyDescent="0.25">
      <c r="A496" s="112"/>
      <c r="B496" s="135"/>
      <c r="C496" s="113"/>
      <c r="D496" s="113"/>
      <c r="E496" s="141"/>
      <c r="F496" s="138"/>
      <c r="G496" s="137"/>
      <c r="H496" s="114"/>
      <c r="I496" s="138"/>
      <c r="J496" s="138"/>
      <c r="K496" s="138"/>
      <c r="L496" s="138"/>
      <c r="M496" s="138"/>
      <c r="N496" s="138"/>
      <c r="O496" s="138"/>
      <c r="P496" s="149"/>
      <c r="Q496" s="140"/>
      <c r="R496" s="140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20"/>
    </row>
    <row r="497" spans="1:29" x14ac:dyDescent="0.25">
      <c r="A497" s="112"/>
      <c r="B497" s="135"/>
      <c r="C497" s="113"/>
      <c r="D497" s="113"/>
      <c r="E497" s="141"/>
      <c r="F497" s="138"/>
      <c r="G497" s="137"/>
      <c r="H497" s="114"/>
      <c r="I497" s="138"/>
      <c r="J497" s="138"/>
      <c r="K497" s="138"/>
      <c r="L497" s="138"/>
      <c r="M497" s="138"/>
      <c r="N497" s="138"/>
      <c r="O497" s="138"/>
      <c r="P497" s="149"/>
      <c r="Q497" s="140"/>
      <c r="R497" s="140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20"/>
    </row>
    <row r="498" spans="1:29" x14ac:dyDescent="0.25">
      <c r="A498" s="112"/>
      <c r="B498" s="135"/>
      <c r="C498" s="113"/>
      <c r="D498" s="113"/>
      <c r="E498" s="141"/>
      <c r="F498" s="138"/>
      <c r="G498" s="137"/>
      <c r="H498" s="114"/>
      <c r="I498" s="138"/>
      <c r="J498" s="138"/>
      <c r="K498" s="138"/>
      <c r="L498" s="138"/>
      <c r="M498" s="138"/>
      <c r="N498" s="138"/>
      <c r="O498" s="138"/>
      <c r="P498" s="149"/>
      <c r="Q498" s="140"/>
      <c r="R498" s="140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20"/>
    </row>
    <row r="499" spans="1:29" x14ac:dyDescent="0.25">
      <c r="A499" s="112"/>
      <c r="B499" s="135"/>
      <c r="C499" s="113"/>
      <c r="D499" s="113"/>
      <c r="E499" s="141"/>
      <c r="F499" s="138"/>
      <c r="G499" s="137"/>
      <c r="H499" s="114"/>
      <c r="I499" s="138"/>
      <c r="J499" s="138"/>
      <c r="K499" s="138"/>
      <c r="L499" s="138"/>
      <c r="M499" s="138"/>
      <c r="N499" s="138"/>
      <c r="O499" s="138"/>
      <c r="P499" s="149"/>
      <c r="Q499" s="140"/>
      <c r="R499" s="140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20"/>
    </row>
    <row r="500" spans="1:29" x14ac:dyDescent="0.25">
      <c r="A500" s="112"/>
      <c r="B500" s="135"/>
      <c r="C500" s="113"/>
      <c r="D500" s="113"/>
      <c r="E500" s="141"/>
      <c r="F500" s="138"/>
      <c r="G500" s="137"/>
      <c r="H500" s="114"/>
      <c r="I500" s="138"/>
      <c r="J500" s="138"/>
      <c r="K500" s="138"/>
      <c r="L500" s="138"/>
      <c r="M500" s="138"/>
      <c r="N500" s="138"/>
      <c r="O500" s="138"/>
      <c r="P500" s="149"/>
      <c r="Q500" s="140"/>
      <c r="R500" s="140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20"/>
    </row>
    <row r="501" spans="1:29" x14ac:dyDescent="0.25">
      <c r="A501" s="112"/>
      <c r="B501" s="135"/>
      <c r="C501" s="113"/>
      <c r="D501" s="113"/>
      <c r="E501" s="141"/>
      <c r="F501" s="138"/>
      <c r="G501" s="137"/>
      <c r="H501" s="114"/>
      <c r="I501" s="138"/>
      <c r="J501" s="138"/>
      <c r="K501" s="138"/>
      <c r="L501" s="138"/>
      <c r="M501" s="138"/>
      <c r="N501" s="138"/>
      <c r="O501" s="138"/>
      <c r="P501" s="149"/>
      <c r="Q501" s="140"/>
      <c r="R501" s="140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20"/>
    </row>
    <row r="502" spans="1:29" x14ac:dyDescent="0.25">
      <c r="A502" s="112"/>
      <c r="B502" s="135"/>
      <c r="C502" s="113"/>
      <c r="D502" s="113"/>
      <c r="E502" s="141"/>
      <c r="F502" s="138"/>
      <c r="G502" s="137"/>
      <c r="H502" s="114"/>
      <c r="I502" s="138"/>
      <c r="J502" s="138"/>
      <c r="K502" s="138"/>
      <c r="L502" s="138"/>
      <c r="M502" s="138"/>
      <c r="N502" s="138"/>
      <c r="O502" s="138"/>
      <c r="P502" s="149"/>
      <c r="Q502" s="140"/>
      <c r="R502" s="140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20"/>
    </row>
    <row r="503" spans="1:29" x14ac:dyDescent="0.25">
      <c r="A503" s="112"/>
      <c r="B503" s="135"/>
      <c r="C503" s="113"/>
      <c r="D503" s="113"/>
      <c r="E503" s="141"/>
      <c r="F503" s="138"/>
      <c r="G503" s="137"/>
      <c r="H503" s="114"/>
      <c r="I503" s="138"/>
      <c r="J503" s="138"/>
      <c r="K503" s="138"/>
      <c r="L503" s="138"/>
      <c r="M503" s="138"/>
      <c r="N503" s="138"/>
      <c r="O503" s="138"/>
      <c r="P503" s="149"/>
      <c r="Q503" s="140"/>
      <c r="R503" s="140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20"/>
    </row>
    <row r="504" spans="1:29" x14ac:dyDescent="0.25">
      <c r="A504" s="112"/>
      <c r="B504" s="135"/>
      <c r="C504" s="113"/>
      <c r="D504" s="113"/>
      <c r="E504" s="141"/>
      <c r="F504" s="138"/>
      <c r="G504" s="137"/>
      <c r="H504" s="114"/>
      <c r="I504" s="138"/>
      <c r="J504" s="138"/>
      <c r="K504" s="138"/>
      <c r="L504" s="138"/>
      <c r="M504" s="138"/>
      <c r="N504" s="138"/>
      <c r="O504" s="138"/>
      <c r="P504" s="149"/>
      <c r="Q504" s="140"/>
      <c r="R504" s="140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20"/>
    </row>
    <row r="505" spans="1:29" x14ac:dyDescent="0.25">
      <c r="A505" s="112"/>
      <c r="B505" s="135"/>
      <c r="C505" s="113"/>
      <c r="D505" s="113"/>
      <c r="E505" s="141"/>
      <c r="F505" s="138"/>
      <c r="G505" s="137"/>
      <c r="H505" s="114"/>
      <c r="I505" s="138"/>
      <c r="J505" s="138"/>
      <c r="K505" s="138"/>
      <c r="L505" s="138"/>
      <c r="M505" s="138"/>
      <c r="N505" s="138"/>
      <c r="O505" s="138"/>
      <c r="P505" s="149"/>
      <c r="Q505" s="140"/>
      <c r="R505" s="140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20"/>
    </row>
    <row r="506" spans="1:29" x14ac:dyDescent="0.25">
      <c r="A506" s="112"/>
      <c r="B506" s="135"/>
      <c r="C506" s="113"/>
      <c r="D506" s="113"/>
      <c r="E506" s="141"/>
      <c r="F506" s="138"/>
      <c r="G506" s="137"/>
      <c r="H506" s="114"/>
      <c r="I506" s="138"/>
      <c r="J506" s="138"/>
      <c r="K506" s="138"/>
      <c r="L506" s="138"/>
      <c r="M506" s="138"/>
      <c r="N506" s="138"/>
      <c r="O506" s="138"/>
      <c r="P506" s="149"/>
      <c r="Q506" s="140"/>
      <c r="R506" s="140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20"/>
    </row>
    <row r="507" spans="1:29" x14ac:dyDescent="0.25">
      <c r="A507" s="112"/>
      <c r="B507" s="135"/>
      <c r="C507" s="113"/>
      <c r="D507" s="113"/>
      <c r="E507" s="141"/>
      <c r="F507" s="138"/>
      <c r="G507" s="137"/>
      <c r="H507" s="114"/>
      <c r="I507" s="138"/>
      <c r="J507" s="138"/>
      <c r="K507" s="138"/>
      <c r="L507" s="138"/>
      <c r="M507" s="138"/>
      <c r="N507" s="138"/>
      <c r="O507" s="138"/>
      <c r="P507" s="149"/>
      <c r="Q507" s="140"/>
      <c r="R507" s="140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20"/>
    </row>
    <row r="508" spans="1:29" x14ac:dyDescent="0.25">
      <c r="A508" s="112"/>
      <c r="B508" s="135"/>
      <c r="C508" s="113"/>
      <c r="D508" s="113"/>
      <c r="E508" s="141"/>
      <c r="F508" s="138"/>
      <c r="G508" s="137"/>
      <c r="H508" s="114"/>
      <c r="I508" s="138"/>
      <c r="J508" s="138"/>
      <c r="K508" s="138"/>
      <c r="L508" s="138"/>
      <c r="M508" s="138"/>
      <c r="N508" s="138"/>
      <c r="O508" s="138"/>
      <c r="P508" s="149"/>
      <c r="Q508" s="140"/>
      <c r="R508" s="140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20"/>
    </row>
    <row r="509" spans="1:29" x14ac:dyDescent="0.25">
      <c r="A509" s="112"/>
      <c r="B509" s="135"/>
      <c r="C509" s="113"/>
      <c r="D509" s="113"/>
      <c r="E509" s="141"/>
      <c r="F509" s="138"/>
      <c r="G509" s="137"/>
      <c r="H509" s="114"/>
      <c r="I509" s="138"/>
      <c r="J509" s="138"/>
      <c r="K509" s="138"/>
      <c r="L509" s="138"/>
      <c r="M509" s="138"/>
      <c r="N509" s="138"/>
      <c r="O509" s="138"/>
      <c r="P509" s="149"/>
      <c r="Q509" s="140"/>
      <c r="R509" s="140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20"/>
    </row>
    <row r="510" spans="1:29" x14ac:dyDescent="0.25">
      <c r="A510" s="112"/>
      <c r="B510" s="135"/>
      <c r="C510" s="113"/>
      <c r="D510" s="113"/>
      <c r="E510" s="141"/>
      <c r="F510" s="138"/>
      <c r="G510" s="137"/>
      <c r="H510" s="114"/>
      <c r="I510" s="138"/>
      <c r="J510" s="138"/>
      <c r="K510" s="138"/>
      <c r="L510" s="138"/>
      <c r="M510" s="138"/>
      <c r="N510" s="138"/>
      <c r="O510" s="138"/>
      <c r="P510" s="149"/>
      <c r="Q510" s="140"/>
      <c r="R510" s="140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20"/>
    </row>
    <row r="511" spans="1:29" x14ac:dyDescent="0.25">
      <c r="A511" s="112"/>
      <c r="B511" s="135"/>
      <c r="C511" s="113"/>
      <c r="D511" s="113"/>
      <c r="E511" s="141"/>
      <c r="F511" s="138"/>
      <c r="G511" s="137"/>
      <c r="H511" s="114"/>
      <c r="I511" s="138"/>
      <c r="J511" s="138"/>
      <c r="K511" s="138"/>
      <c r="L511" s="138"/>
      <c r="M511" s="138"/>
      <c r="N511" s="138"/>
      <c r="O511" s="138"/>
      <c r="P511" s="149"/>
      <c r="Q511" s="140"/>
      <c r="R511" s="140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20"/>
    </row>
    <row r="512" spans="1:29" x14ac:dyDescent="0.25">
      <c r="A512" s="112"/>
      <c r="B512" s="135"/>
      <c r="C512" s="113"/>
      <c r="D512" s="113"/>
      <c r="E512" s="141"/>
      <c r="F512" s="138"/>
      <c r="G512" s="137"/>
      <c r="H512" s="114"/>
      <c r="I512" s="138"/>
      <c r="J512" s="138"/>
      <c r="K512" s="138"/>
      <c r="L512" s="138"/>
      <c r="M512" s="138"/>
      <c r="N512" s="138"/>
      <c r="O512" s="138"/>
      <c r="P512" s="149"/>
      <c r="Q512" s="140"/>
      <c r="R512" s="140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20"/>
    </row>
    <row r="513" spans="1:29" x14ac:dyDescent="0.25">
      <c r="A513" s="112"/>
      <c r="B513" s="135"/>
      <c r="C513" s="113"/>
      <c r="D513" s="113"/>
      <c r="E513" s="141"/>
      <c r="F513" s="138"/>
      <c r="G513" s="137"/>
      <c r="H513" s="114"/>
      <c r="I513" s="138"/>
      <c r="J513" s="138"/>
      <c r="K513" s="138"/>
      <c r="L513" s="138"/>
      <c r="M513" s="138"/>
      <c r="N513" s="138"/>
      <c r="O513" s="138"/>
      <c r="P513" s="149"/>
      <c r="Q513" s="140"/>
      <c r="R513" s="140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20"/>
    </row>
    <row r="514" spans="1:29" x14ac:dyDescent="0.25">
      <c r="A514" s="112"/>
      <c r="B514" s="135"/>
      <c r="C514" s="113"/>
      <c r="D514" s="113"/>
      <c r="E514" s="141"/>
      <c r="F514" s="138"/>
      <c r="G514" s="137"/>
      <c r="H514" s="114"/>
      <c r="I514" s="138"/>
      <c r="J514" s="138"/>
      <c r="K514" s="138"/>
      <c r="L514" s="138"/>
      <c r="M514" s="138"/>
      <c r="N514" s="138"/>
      <c r="O514" s="138"/>
      <c r="P514" s="149"/>
      <c r="Q514" s="140"/>
      <c r="R514" s="140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20"/>
    </row>
    <row r="515" spans="1:29" x14ac:dyDescent="0.25">
      <c r="A515" s="112"/>
      <c r="B515" s="135"/>
      <c r="C515" s="113"/>
      <c r="D515" s="113"/>
      <c r="E515" s="141"/>
      <c r="F515" s="138"/>
      <c r="G515" s="137"/>
      <c r="H515" s="114"/>
      <c r="I515" s="138"/>
      <c r="J515" s="138"/>
      <c r="K515" s="138"/>
      <c r="L515" s="138"/>
      <c r="M515" s="138"/>
      <c r="N515" s="138"/>
      <c r="O515" s="138"/>
      <c r="P515" s="149"/>
      <c r="Q515" s="140"/>
      <c r="R515" s="140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20"/>
    </row>
    <row r="516" spans="1:29" x14ac:dyDescent="0.25">
      <c r="A516" s="112"/>
      <c r="B516" s="135"/>
      <c r="C516" s="113"/>
      <c r="D516" s="113"/>
      <c r="E516" s="141"/>
      <c r="F516" s="138"/>
      <c r="G516" s="137"/>
      <c r="H516" s="114"/>
      <c r="I516" s="138"/>
      <c r="J516" s="138"/>
      <c r="K516" s="138"/>
      <c r="L516" s="138"/>
      <c r="M516" s="138"/>
      <c r="N516" s="138"/>
      <c r="O516" s="138"/>
      <c r="P516" s="149"/>
      <c r="Q516" s="140"/>
      <c r="R516" s="140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20"/>
    </row>
    <row r="517" spans="1:29" x14ac:dyDescent="0.25">
      <c r="A517" s="112"/>
      <c r="B517" s="135"/>
      <c r="C517" s="113"/>
      <c r="D517" s="113"/>
      <c r="E517" s="141"/>
      <c r="F517" s="138"/>
      <c r="G517" s="137"/>
      <c r="H517" s="114"/>
      <c r="I517" s="138"/>
      <c r="J517" s="138"/>
      <c r="K517" s="138"/>
      <c r="L517" s="138"/>
      <c r="M517" s="138"/>
      <c r="N517" s="138"/>
      <c r="O517" s="138"/>
      <c r="P517" s="149"/>
      <c r="Q517" s="140"/>
      <c r="R517" s="140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20"/>
    </row>
    <row r="518" spans="1:29" x14ac:dyDescent="0.25">
      <c r="A518" s="112"/>
      <c r="B518" s="135"/>
      <c r="C518" s="113"/>
      <c r="D518" s="113"/>
      <c r="E518" s="141"/>
      <c r="F518" s="138"/>
      <c r="G518" s="137"/>
      <c r="H518" s="114"/>
      <c r="I518" s="138"/>
      <c r="J518" s="138"/>
      <c r="K518" s="138"/>
      <c r="L518" s="138"/>
      <c r="M518" s="138"/>
      <c r="N518" s="138"/>
      <c r="O518" s="138"/>
      <c r="P518" s="149"/>
      <c r="Q518" s="140"/>
      <c r="R518" s="140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20"/>
    </row>
    <row r="519" spans="1:29" x14ac:dyDescent="0.25">
      <c r="A519" s="112"/>
      <c r="B519" s="135"/>
      <c r="C519" s="113"/>
      <c r="D519" s="113"/>
      <c r="E519" s="141"/>
      <c r="F519" s="138"/>
      <c r="G519" s="137"/>
      <c r="H519" s="114"/>
      <c r="I519" s="138"/>
      <c r="J519" s="138"/>
      <c r="K519" s="138"/>
      <c r="L519" s="138"/>
      <c r="M519" s="138"/>
      <c r="N519" s="138"/>
      <c r="O519" s="138"/>
      <c r="P519" s="149"/>
      <c r="Q519" s="140"/>
      <c r="R519" s="140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20"/>
    </row>
    <row r="520" spans="1:29" x14ac:dyDescent="0.25">
      <c r="A520" s="112"/>
      <c r="B520" s="135"/>
      <c r="C520" s="113"/>
      <c r="D520" s="113"/>
      <c r="E520" s="141"/>
      <c r="F520" s="138"/>
      <c r="G520" s="137"/>
      <c r="H520" s="114"/>
      <c r="I520" s="138"/>
      <c r="J520" s="138"/>
      <c r="K520" s="138"/>
      <c r="L520" s="138"/>
      <c r="M520" s="138"/>
      <c r="N520" s="138"/>
      <c r="O520" s="138"/>
      <c r="P520" s="149"/>
      <c r="Q520" s="140"/>
      <c r="R520" s="140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20"/>
    </row>
    <row r="521" spans="1:29" x14ac:dyDescent="0.25">
      <c r="A521" s="112"/>
      <c r="B521" s="135"/>
      <c r="C521" s="113"/>
      <c r="D521" s="113"/>
      <c r="E521" s="141"/>
      <c r="F521" s="138"/>
      <c r="G521" s="137"/>
      <c r="H521" s="114"/>
      <c r="I521" s="138"/>
      <c r="J521" s="138"/>
      <c r="K521" s="138"/>
      <c r="L521" s="138"/>
      <c r="M521" s="138"/>
      <c r="N521" s="138"/>
      <c r="O521" s="138"/>
      <c r="P521" s="149"/>
      <c r="Q521" s="140"/>
      <c r="R521" s="140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20"/>
    </row>
    <row r="522" spans="1:29" x14ac:dyDescent="0.25">
      <c r="A522" s="112"/>
      <c r="B522" s="135"/>
      <c r="C522" s="113"/>
      <c r="D522" s="113"/>
      <c r="E522" s="141"/>
      <c r="F522" s="138"/>
      <c r="G522" s="137"/>
      <c r="H522" s="114"/>
      <c r="I522" s="138"/>
      <c r="J522" s="138"/>
      <c r="K522" s="138"/>
      <c r="L522" s="138"/>
      <c r="M522" s="138"/>
      <c r="N522" s="138"/>
      <c r="O522" s="138"/>
      <c r="P522" s="149"/>
      <c r="Q522" s="140"/>
      <c r="R522" s="140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20"/>
    </row>
    <row r="523" spans="1:29" x14ac:dyDescent="0.25">
      <c r="A523" s="112"/>
      <c r="B523" s="135"/>
      <c r="C523" s="113"/>
      <c r="D523" s="113"/>
      <c r="E523" s="141"/>
      <c r="F523" s="138"/>
      <c r="G523" s="137"/>
      <c r="H523" s="114"/>
      <c r="I523" s="138"/>
      <c r="J523" s="138"/>
      <c r="K523" s="138"/>
      <c r="L523" s="138"/>
      <c r="M523" s="138"/>
      <c r="N523" s="138"/>
      <c r="O523" s="138"/>
      <c r="P523" s="149"/>
      <c r="Q523" s="140"/>
      <c r="R523" s="140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20"/>
    </row>
    <row r="524" spans="1:29" x14ac:dyDescent="0.25">
      <c r="A524" s="112"/>
      <c r="B524" s="135"/>
      <c r="C524" s="113"/>
      <c r="D524" s="113"/>
      <c r="E524" s="141"/>
      <c r="F524" s="138"/>
      <c r="G524" s="137"/>
      <c r="H524" s="114"/>
      <c r="I524" s="138"/>
      <c r="J524" s="138"/>
      <c r="K524" s="138"/>
      <c r="L524" s="138"/>
      <c r="M524" s="138"/>
      <c r="N524" s="138"/>
      <c r="O524" s="138"/>
      <c r="P524" s="149"/>
      <c r="Q524" s="140"/>
      <c r="R524" s="140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20"/>
    </row>
    <row r="525" spans="1:29" x14ac:dyDescent="0.25">
      <c r="A525" s="112"/>
      <c r="B525" s="135"/>
      <c r="C525" s="113"/>
      <c r="D525" s="113"/>
      <c r="E525" s="141"/>
      <c r="F525" s="138"/>
      <c r="G525" s="137"/>
      <c r="H525" s="114"/>
      <c r="I525" s="138"/>
      <c r="J525" s="138"/>
      <c r="K525" s="138"/>
      <c r="L525" s="138"/>
      <c r="M525" s="138"/>
      <c r="N525" s="138"/>
      <c r="O525" s="138"/>
      <c r="P525" s="149"/>
      <c r="Q525" s="140"/>
      <c r="R525" s="140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20"/>
    </row>
    <row r="526" spans="1:29" x14ac:dyDescent="0.25">
      <c r="A526" s="112"/>
      <c r="B526" s="135"/>
      <c r="C526" s="113"/>
      <c r="D526" s="113"/>
      <c r="E526" s="141"/>
      <c r="F526" s="138"/>
      <c r="G526" s="137"/>
      <c r="H526" s="114"/>
      <c r="I526" s="138"/>
      <c r="J526" s="138"/>
      <c r="K526" s="138"/>
      <c r="L526" s="138"/>
      <c r="M526" s="138"/>
      <c r="N526" s="138"/>
      <c r="O526" s="138"/>
      <c r="P526" s="149"/>
      <c r="Q526" s="140"/>
      <c r="R526" s="140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20"/>
    </row>
    <row r="527" spans="1:29" x14ac:dyDescent="0.25">
      <c r="A527" s="112"/>
      <c r="B527" s="135"/>
      <c r="C527" s="113"/>
      <c r="D527" s="113"/>
      <c r="E527" s="141"/>
      <c r="F527" s="138"/>
      <c r="G527" s="137"/>
      <c r="H527" s="114"/>
      <c r="I527" s="138"/>
      <c r="J527" s="138"/>
      <c r="K527" s="138"/>
      <c r="L527" s="138"/>
      <c r="M527" s="138"/>
      <c r="N527" s="138"/>
      <c r="O527" s="138"/>
      <c r="P527" s="149"/>
      <c r="Q527" s="140"/>
      <c r="R527" s="140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20"/>
    </row>
    <row r="528" spans="1:29" x14ac:dyDescent="0.25">
      <c r="A528" s="112"/>
      <c r="B528" s="135"/>
      <c r="C528" s="113"/>
      <c r="D528" s="113"/>
      <c r="E528" s="141"/>
      <c r="F528" s="138"/>
      <c r="G528" s="137"/>
      <c r="H528" s="114"/>
      <c r="I528" s="138"/>
      <c r="J528" s="138"/>
      <c r="K528" s="138"/>
      <c r="L528" s="138"/>
      <c r="M528" s="138"/>
      <c r="N528" s="138"/>
      <c r="O528" s="138"/>
      <c r="P528" s="149"/>
      <c r="Q528" s="140"/>
      <c r="R528" s="140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20"/>
    </row>
    <row r="529" spans="1:29" x14ac:dyDescent="0.25">
      <c r="A529" s="112"/>
      <c r="B529" s="135"/>
      <c r="C529" s="113"/>
      <c r="D529" s="113"/>
      <c r="E529" s="141"/>
      <c r="F529" s="138"/>
      <c r="G529" s="137"/>
      <c r="H529" s="114"/>
      <c r="I529" s="138"/>
      <c r="J529" s="138"/>
      <c r="K529" s="138"/>
      <c r="L529" s="138"/>
      <c r="M529" s="138"/>
      <c r="N529" s="138"/>
      <c r="O529" s="138"/>
      <c r="P529" s="149"/>
      <c r="Q529" s="140"/>
      <c r="R529" s="140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20"/>
    </row>
    <row r="530" spans="1:29" x14ac:dyDescent="0.25">
      <c r="A530" s="112"/>
      <c r="B530" s="135"/>
      <c r="C530" s="113"/>
      <c r="D530" s="113"/>
      <c r="E530" s="141"/>
      <c r="F530" s="138"/>
      <c r="G530" s="137"/>
      <c r="H530" s="114"/>
      <c r="I530" s="138"/>
      <c r="J530" s="138"/>
      <c r="K530" s="138"/>
      <c r="L530" s="138"/>
      <c r="M530" s="138"/>
      <c r="N530" s="138"/>
      <c r="O530" s="138"/>
      <c r="P530" s="149"/>
      <c r="Q530" s="140"/>
      <c r="R530" s="140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20"/>
    </row>
    <row r="531" spans="1:29" x14ac:dyDescent="0.25">
      <c r="A531" s="112"/>
      <c r="B531" s="135"/>
      <c r="C531" s="113"/>
      <c r="D531" s="113"/>
      <c r="E531" s="141"/>
      <c r="F531" s="138"/>
      <c r="G531" s="137"/>
      <c r="H531" s="114"/>
      <c r="I531" s="138"/>
      <c r="J531" s="138"/>
      <c r="K531" s="138"/>
      <c r="L531" s="138"/>
      <c r="M531" s="138"/>
      <c r="N531" s="138"/>
      <c r="O531" s="138"/>
      <c r="P531" s="149"/>
      <c r="Q531" s="140"/>
      <c r="R531" s="140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20"/>
    </row>
    <row r="532" spans="1:29" x14ac:dyDescent="0.25">
      <c r="A532" s="112"/>
      <c r="B532" s="135"/>
      <c r="C532" s="113"/>
      <c r="D532" s="113"/>
      <c r="E532" s="141"/>
      <c r="F532" s="138"/>
      <c r="G532" s="137"/>
      <c r="H532" s="114"/>
      <c r="I532" s="138"/>
      <c r="J532" s="138"/>
      <c r="K532" s="138"/>
      <c r="L532" s="138"/>
      <c r="M532" s="138"/>
      <c r="N532" s="138"/>
      <c r="O532" s="138"/>
      <c r="P532" s="149"/>
      <c r="Q532" s="140"/>
      <c r="R532" s="140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20"/>
    </row>
    <row r="533" spans="1:29" x14ac:dyDescent="0.25">
      <c r="A533" s="112"/>
      <c r="B533" s="135"/>
      <c r="C533" s="113"/>
      <c r="D533" s="113"/>
      <c r="E533" s="141"/>
      <c r="F533" s="138"/>
      <c r="G533" s="137"/>
      <c r="H533" s="114"/>
      <c r="I533" s="138"/>
      <c r="J533" s="138"/>
      <c r="K533" s="138"/>
      <c r="L533" s="138"/>
      <c r="M533" s="138"/>
      <c r="N533" s="138"/>
      <c r="O533" s="138"/>
      <c r="P533" s="149"/>
      <c r="Q533" s="140"/>
      <c r="R533" s="140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20"/>
    </row>
    <row r="534" spans="1:29" x14ac:dyDescent="0.25">
      <c r="A534" s="112"/>
      <c r="B534" s="135"/>
      <c r="C534" s="113"/>
      <c r="D534" s="113"/>
      <c r="E534" s="141"/>
      <c r="F534" s="138"/>
      <c r="G534" s="137"/>
      <c r="H534" s="114"/>
      <c r="I534" s="138"/>
      <c r="J534" s="138"/>
      <c r="K534" s="138"/>
      <c r="L534" s="138"/>
      <c r="M534" s="138"/>
      <c r="N534" s="138"/>
      <c r="O534" s="138"/>
      <c r="P534" s="149"/>
      <c r="Q534" s="140"/>
      <c r="R534" s="140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20"/>
    </row>
    <row r="535" spans="1:29" x14ac:dyDescent="0.25">
      <c r="A535" s="112"/>
      <c r="B535" s="135"/>
      <c r="C535" s="113"/>
      <c r="D535" s="113"/>
      <c r="E535" s="141"/>
      <c r="F535" s="138"/>
      <c r="G535" s="137"/>
      <c r="H535" s="114"/>
      <c r="I535" s="138"/>
      <c r="J535" s="138"/>
      <c r="K535" s="138"/>
      <c r="L535" s="138"/>
      <c r="M535" s="138"/>
      <c r="N535" s="138"/>
      <c r="O535" s="138"/>
      <c r="P535" s="149"/>
      <c r="Q535" s="140"/>
      <c r="R535" s="140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20"/>
    </row>
    <row r="536" spans="1:29" x14ac:dyDescent="0.25">
      <c r="A536" s="112"/>
      <c r="B536" s="135"/>
      <c r="C536" s="113"/>
      <c r="D536" s="113"/>
      <c r="E536" s="141"/>
      <c r="F536" s="138"/>
      <c r="G536" s="137"/>
      <c r="H536" s="114"/>
      <c r="I536" s="138"/>
      <c r="J536" s="138"/>
      <c r="K536" s="138"/>
      <c r="L536" s="138"/>
      <c r="M536" s="138"/>
      <c r="N536" s="138"/>
      <c r="O536" s="138"/>
      <c r="P536" s="149"/>
      <c r="Q536" s="140"/>
      <c r="R536" s="140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20"/>
    </row>
    <row r="537" spans="1:29" x14ac:dyDescent="0.25">
      <c r="A537" s="112"/>
      <c r="B537" s="135"/>
      <c r="C537" s="113"/>
      <c r="D537" s="113"/>
      <c r="E537" s="141"/>
      <c r="F537" s="138"/>
      <c r="G537" s="137"/>
      <c r="H537" s="114"/>
      <c r="I537" s="138"/>
      <c r="J537" s="138"/>
      <c r="K537" s="138"/>
      <c r="L537" s="138"/>
      <c r="M537" s="138"/>
      <c r="N537" s="138"/>
      <c r="O537" s="138"/>
      <c r="P537" s="149"/>
      <c r="Q537" s="140"/>
      <c r="R537" s="140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20"/>
    </row>
    <row r="538" spans="1:29" x14ac:dyDescent="0.25">
      <c r="A538" s="112"/>
      <c r="B538" s="135"/>
      <c r="C538" s="113"/>
      <c r="D538" s="113"/>
      <c r="E538" s="141"/>
      <c r="F538" s="138"/>
      <c r="G538" s="137"/>
      <c r="H538" s="114"/>
      <c r="I538" s="138"/>
      <c r="J538" s="138"/>
      <c r="K538" s="138"/>
      <c r="L538" s="138"/>
      <c r="M538" s="138"/>
      <c r="N538" s="138"/>
      <c r="O538" s="138"/>
      <c r="P538" s="149"/>
      <c r="Q538" s="140"/>
      <c r="R538" s="140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20"/>
    </row>
    <row r="539" spans="1:29" x14ac:dyDescent="0.25">
      <c r="A539" s="112"/>
      <c r="B539" s="135"/>
      <c r="C539" s="113"/>
      <c r="D539" s="113"/>
      <c r="E539" s="141"/>
      <c r="F539" s="138"/>
      <c r="G539" s="137"/>
      <c r="H539" s="114"/>
      <c r="I539" s="138"/>
      <c r="J539" s="138"/>
      <c r="K539" s="138"/>
      <c r="L539" s="138"/>
      <c r="M539" s="138"/>
      <c r="N539" s="138"/>
      <c r="O539" s="138"/>
      <c r="P539" s="149"/>
      <c r="Q539" s="140"/>
      <c r="R539" s="140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20"/>
    </row>
    <row r="540" spans="1:29" x14ac:dyDescent="0.25">
      <c r="A540" s="112"/>
      <c r="B540" s="135"/>
      <c r="C540" s="113"/>
      <c r="D540" s="113"/>
      <c r="E540" s="141"/>
      <c r="F540" s="138"/>
      <c r="G540" s="137"/>
      <c r="H540" s="114"/>
      <c r="I540" s="138"/>
      <c r="J540" s="138"/>
      <c r="K540" s="138"/>
      <c r="L540" s="138"/>
      <c r="M540" s="138"/>
      <c r="N540" s="138"/>
      <c r="O540" s="138"/>
      <c r="P540" s="149"/>
      <c r="Q540" s="140"/>
      <c r="R540" s="140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20"/>
    </row>
    <row r="541" spans="1:29" x14ac:dyDescent="0.25">
      <c r="A541" s="112"/>
      <c r="B541" s="135"/>
      <c r="C541" s="113"/>
      <c r="D541" s="113"/>
      <c r="E541" s="141"/>
      <c r="F541" s="138"/>
      <c r="G541" s="137"/>
      <c r="H541" s="114"/>
      <c r="I541" s="138"/>
      <c r="J541" s="138"/>
      <c r="K541" s="138"/>
      <c r="L541" s="138"/>
      <c r="M541" s="138"/>
      <c r="N541" s="138"/>
      <c r="O541" s="138"/>
      <c r="P541" s="149"/>
      <c r="Q541" s="140"/>
      <c r="R541" s="140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20"/>
    </row>
    <row r="542" spans="1:29" x14ac:dyDescent="0.25">
      <c r="A542" s="112"/>
      <c r="B542" s="135"/>
      <c r="C542" s="113"/>
      <c r="D542" s="113"/>
      <c r="E542" s="141"/>
      <c r="F542" s="138"/>
      <c r="G542" s="137"/>
      <c r="H542" s="114"/>
      <c r="I542" s="138"/>
      <c r="J542" s="138"/>
      <c r="K542" s="138"/>
      <c r="L542" s="138"/>
      <c r="M542" s="138"/>
      <c r="N542" s="138"/>
      <c r="O542" s="138"/>
      <c r="P542" s="149"/>
      <c r="Q542" s="140"/>
      <c r="R542" s="140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20"/>
    </row>
    <row r="543" spans="1:29" x14ac:dyDescent="0.25">
      <c r="A543" s="112"/>
      <c r="B543" s="135"/>
      <c r="C543" s="113"/>
      <c r="D543" s="113"/>
      <c r="E543" s="141"/>
      <c r="F543" s="138"/>
      <c r="G543" s="137"/>
      <c r="H543" s="114"/>
      <c r="I543" s="138"/>
      <c r="J543" s="138"/>
      <c r="K543" s="138"/>
      <c r="L543" s="138"/>
      <c r="M543" s="138"/>
      <c r="N543" s="138"/>
      <c r="O543" s="138"/>
      <c r="P543" s="149"/>
      <c r="Q543" s="140"/>
      <c r="R543" s="140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20"/>
    </row>
    <row r="544" spans="1:29" x14ac:dyDescent="0.25">
      <c r="A544" s="112"/>
      <c r="B544" s="135"/>
      <c r="C544" s="113"/>
      <c r="D544" s="113"/>
      <c r="E544" s="141"/>
      <c r="F544" s="138"/>
      <c r="G544" s="137"/>
      <c r="H544" s="114"/>
      <c r="I544" s="138"/>
      <c r="J544" s="138"/>
      <c r="K544" s="138"/>
      <c r="L544" s="138"/>
      <c r="M544" s="138"/>
      <c r="N544" s="138"/>
      <c r="O544" s="138"/>
      <c r="P544" s="149"/>
      <c r="Q544" s="140"/>
      <c r="R544" s="140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20"/>
    </row>
    <row r="545" spans="1:29" x14ac:dyDescent="0.25">
      <c r="A545" s="112"/>
      <c r="B545" s="135"/>
      <c r="C545" s="113"/>
      <c r="D545" s="113"/>
      <c r="E545" s="141"/>
      <c r="F545" s="138"/>
      <c r="G545" s="137"/>
      <c r="H545" s="114"/>
      <c r="I545" s="138"/>
      <c r="J545" s="138"/>
      <c r="K545" s="138"/>
      <c r="L545" s="138"/>
      <c r="M545" s="138"/>
      <c r="N545" s="138"/>
      <c r="O545" s="138"/>
      <c r="P545" s="149"/>
      <c r="Q545" s="140"/>
      <c r="R545" s="140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20"/>
    </row>
    <row r="546" spans="1:29" x14ac:dyDescent="0.25">
      <c r="A546" s="112"/>
      <c r="B546" s="135"/>
      <c r="C546" s="113"/>
      <c r="D546" s="113"/>
      <c r="E546" s="141"/>
      <c r="F546" s="138"/>
      <c r="G546" s="137"/>
      <c r="H546" s="114"/>
      <c r="I546" s="138"/>
      <c r="J546" s="138"/>
      <c r="K546" s="138"/>
      <c r="L546" s="138"/>
      <c r="M546" s="138"/>
      <c r="N546" s="138"/>
      <c r="O546" s="138"/>
      <c r="P546" s="149"/>
      <c r="Q546" s="140"/>
      <c r="R546" s="140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20"/>
    </row>
    <row r="547" spans="1:29" x14ac:dyDescent="0.25">
      <c r="A547" s="112"/>
      <c r="B547" s="135"/>
      <c r="C547" s="113"/>
      <c r="D547" s="113"/>
      <c r="E547" s="141"/>
      <c r="F547" s="138"/>
      <c r="G547" s="137"/>
      <c r="H547" s="114"/>
      <c r="I547" s="138"/>
      <c r="J547" s="138"/>
      <c r="K547" s="138"/>
      <c r="L547" s="138"/>
      <c r="M547" s="138"/>
      <c r="N547" s="138"/>
      <c r="O547" s="138"/>
      <c r="P547" s="149"/>
      <c r="Q547" s="140"/>
      <c r="R547" s="140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20"/>
    </row>
    <row r="548" spans="1:29" x14ac:dyDescent="0.25">
      <c r="A548" s="112"/>
      <c r="B548" s="135"/>
      <c r="C548" s="113"/>
      <c r="D548" s="113"/>
      <c r="E548" s="141"/>
      <c r="F548" s="138"/>
      <c r="G548" s="137"/>
      <c r="H548" s="114"/>
      <c r="I548" s="138"/>
      <c r="J548" s="138"/>
      <c r="K548" s="138"/>
      <c r="L548" s="138"/>
      <c r="M548" s="138"/>
      <c r="N548" s="138"/>
      <c r="O548" s="138"/>
      <c r="P548" s="149"/>
      <c r="Q548" s="140"/>
      <c r="R548" s="140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20"/>
    </row>
    <row r="549" spans="1:29" x14ac:dyDescent="0.25">
      <c r="A549" s="112"/>
      <c r="B549" s="135"/>
      <c r="C549" s="113"/>
      <c r="D549" s="113"/>
      <c r="E549" s="141"/>
      <c r="F549" s="138"/>
      <c r="G549" s="137"/>
      <c r="H549" s="114"/>
      <c r="I549" s="138"/>
      <c r="J549" s="138"/>
      <c r="K549" s="138"/>
      <c r="L549" s="138"/>
      <c r="M549" s="138"/>
      <c r="N549" s="138"/>
      <c r="O549" s="138"/>
      <c r="P549" s="149"/>
      <c r="Q549" s="140"/>
      <c r="R549" s="140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20"/>
    </row>
    <row r="550" spans="1:29" x14ac:dyDescent="0.25">
      <c r="A550" s="112"/>
      <c r="B550" s="135"/>
      <c r="C550" s="113"/>
      <c r="D550" s="113"/>
      <c r="E550" s="141"/>
      <c r="F550" s="138"/>
      <c r="G550" s="137"/>
      <c r="H550" s="114"/>
      <c r="I550" s="138"/>
      <c r="J550" s="138"/>
      <c r="K550" s="138"/>
      <c r="L550" s="138"/>
      <c r="M550" s="138"/>
      <c r="N550" s="138"/>
      <c r="O550" s="138"/>
      <c r="P550" s="149"/>
      <c r="Q550" s="140"/>
      <c r="R550" s="140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20"/>
    </row>
    <row r="551" spans="1:29" x14ac:dyDescent="0.25">
      <c r="A551" s="112"/>
      <c r="B551" s="135"/>
      <c r="C551" s="113"/>
      <c r="D551" s="113"/>
      <c r="E551" s="141"/>
      <c r="F551" s="138"/>
      <c r="G551" s="137"/>
      <c r="H551" s="114"/>
      <c r="I551" s="138"/>
      <c r="J551" s="138"/>
      <c r="K551" s="138"/>
      <c r="L551" s="138"/>
      <c r="M551" s="138"/>
      <c r="N551" s="138"/>
      <c r="O551" s="138"/>
      <c r="P551" s="149"/>
      <c r="Q551" s="140"/>
      <c r="R551" s="140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20"/>
    </row>
    <row r="552" spans="1:29" x14ac:dyDescent="0.25">
      <c r="A552" s="112"/>
      <c r="B552" s="135"/>
      <c r="C552" s="113"/>
      <c r="D552" s="113"/>
      <c r="E552" s="141"/>
      <c r="F552" s="138"/>
      <c r="G552" s="137"/>
      <c r="H552" s="114"/>
      <c r="I552" s="138"/>
      <c r="J552" s="138"/>
      <c r="K552" s="138"/>
      <c r="L552" s="138"/>
      <c r="M552" s="138"/>
      <c r="N552" s="138"/>
      <c r="O552" s="138"/>
      <c r="P552" s="149"/>
      <c r="Q552" s="140"/>
      <c r="R552" s="140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20"/>
    </row>
    <row r="553" spans="1:29" x14ac:dyDescent="0.25">
      <c r="A553" s="112"/>
      <c r="B553" s="135"/>
      <c r="C553" s="113"/>
      <c r="D553" s="113"/>
      <c r="E553" s="141"/>
      <c r="F553" s="138"/>
      <c r="G553" s="137"/>
      <c r="H553" s="114"/>
      <c r="I553" s="138"/>
      <c r="J553" s="138"/>
      <c r="K553" s="138"/>
      <c r="L553" s="138"/>
      <c r="M553" s="138"/>
      <c r="N553" s="138"/>
      <c r="O553" s="138"/>
      <c r="P553" s="149"/>
      <c r="Q553" s="140"/>
      <c r="R553" s="140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20"/>
    </row>
    <row r="554" spans="1:29" x14ac:dyDescent="0.25">
      <c r="A554" s="112"/>
      <c r="B554" s="135"/>
      <c r="C554" s="113"/>
      <c r="D554" s="113"/>
      <c r="E554" s="141"/>
      <c r="F554" s="138"/>
      <c r="G554" s="137"/>
      <c r="H554" s="114"/>
      <c r="I554" s="138"/>
      <c r="J554" s="138"/>
      <c r="K554" s="138"/>
      <c r="L554" s="138"/>
      <c r="M554" s="138"/>
      <c r="N554" s="138"/>
      <c r="O554" s="138"/>
      <c r="P554" s="149"/>
      <c r="Q554" s="140"/>
      <c r="R554" s="140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20"/>
    </row>
    <row r="555" spans="1:29" x14ac:dyDescent="0.25">
      <c r="A555" s="112"/>
      <c r="B555" s="135"/>
      <c r="C555" s="113"/>
      <c r="D555" s="113"/>
      <c r="E555" s="141"/>
      <c r="F555" s="138"/>
      <c r="G555" s="137"/>
      <c r="H555" s="114"/>
      <c r="I555" s="138"/>
      <c r="J555" s="138"/>
      <c r="K555" s="138"/>
      <c r="L555" s="138"/>
      <c r="M555" s="138"/>
      <c r="N555" s="138"/>
      <c r="O555" s="138"/>
      <c r="P555" s="149"/>
      <c r="Q555" s="140"/>
      <c r="R555" s="140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20"/>
    </row>
    <row r="556" spans="1:29" x14ac:dyDescent="0.25">
      <c r="A556" s="112"/>
      <c r="B556" s="135"/>
      <c r="C556" s="113"/>
      <c r="D556" s="113"/>
      <c r="E556" s="141"/>
      <c r="F556" s="138"/>
      <c r="G556" s="137"/>
      <c r="H556" s="114"/>
      <c r="I556" s="138"/>
      <c r="J556" s="138"/>
      <c r="K556" s="138"/>
      <c r="L556" s="138"/>
      <c r="M556" s="138"/>
      <c r="N556" s="138"/>
      <c r="O556" s="138"/>
      <c r="P556" s="149"/>
      <c r="Q556" s="140"/>
      <c r="R556" s="140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20"/>
    </row>
    <row r="557" spans="1:29" x14ac:dyDescent="0.25">
      <c r="A557" s="112"/>
      <c r="B557" s="135"/>
      <c r="C557" s="113"/>
      <c r="D557" s="113"/>
      <c r="E557" s="141"/>
      <c r="F557" s="138"/>
      <c r="G557" s="137"/>
      <c r="H557" s="114"/>
      <c r="I557" s="138"/>
      <c r="J557" s="138"/>
      <c r="K557" s="138"/>
      <c r="L557" s="138"/>
      <c r="M557" s="138"/>
      <c r="N557" s="138"/>
      <c r="O557" s="138"/>
      <c r="P557" s="149"/>
      <c r="Q557" s="140"/>
      <c r="R557" s="140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20"/>
    </row>
    <row r="558" spans="1:29" x14ac:dyDescent="0.25">
      <c r="A558" s="112"/>
      <c r="B558" s="135"/>
      <c r="C558" s="113"/>
      <c r="D558" s="113"/>
      <c r="E558" s="141"/>
      <c r="F558" s="138"/>
      <c r="G558" s="137"/>
      <c r="H558" s="114"/>
      <c r="I558" s="138"/>
      <c r="J558" s="138"/>
      <c r="K558" s="138"/>
      <c r="L558" s="138"/>
      <c r="M558" s="138"/>
      <c r="N558" s="138"/>
      <c r="O558" s="138"/>
      <c r="P558" s="149"/>
      <c r="Q558" s="140"/>
      <c r="R558" s="140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20"/>
    </row>
    <row r="559" spans="1:29" x14ac:dyDescent="0.25">
      <c r="A559" s="112"/>
      <c r="B559" s="135"/>
      <c r="C559" s="113"/>
      <c r="D559" s="113"/>
      <c r="E559" s="141"/>
      <c r="F559" s="138"/>
      <c r="G559" s="137"/>
      <c r="H559" s="114"/>
      <c r="I559" s="138"/>
      <c r="J559" s="138"/>
      <c r="K559" s="138"/>
      <c r="L559" s="138"/>
      <c r="M559" s="138"/>
      <c r="N559" s="138"/>
      <c r="O559" s="138"/>
      <c r="P559" s="149"/>
      <c r="Q559" s="140"/>
      <c r="R559" s="140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20"/>
    </row>
    <row r="560" spans="1:29" x14ac:dyDescent="0.25">
      <c r="A560" s="112"/>
      <c r="B560" s="135"/>
      <c r="C560" s="113"/>
      <c r="D560" s="113"/>
      <c r="E560" s="141"/>
      <c r="F560" s="138"/>
      <c r="G560" s="137"/>
      <c r="H560" s="114"/>
      <c r="I560" s="138"/>
      <c r="J560" s="138"/>
      <c r="K560" s="138"/>
      <c r="L560" s="138"/>
      <c r="M560" s="138"/>
      <c r="N560" s="138"/>
      <c r="O560" s="138"/>
      <c r="P560" s="149"/>
      <c r="Q560" s="140"/>
      <c r="R560" s="140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20"/>
    </row>
    <row r="561" spans="1:29" x14ac:dyDescent="0.25">
      <c r="A561" s="112"/>
      <c r="B561" s="135"/>
      <c r="C561" s="113"/>
      <c r="D561" s="113"/>
      <c r="E561" s="141"/>
      <c r="F561" s="138"/>
      <c r="G561" s="137"/>
      <c r="H561" s="114"/>
      <c r="I561" s="138"/>
      <c r="J561" s="138"/>
      <c r="K561" s="138"/>
      <c r="L561" s="138"/>
      <c r="M561" s="138"/>
      <c r="N561" s="138"/>
      <c r="O561" s="138"/>
      <c r="P561" s="149"/>
      <c r="Q561" s="140"/>
      <c r="R561" s="140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20"/>
    </row>
    <row r="562" spans="1:29" x14ac:dyDescent="0.25">
      <c r="A562" s="112"/>
      <c r="B562" s="135"/>
      <c r="C562" s="113"/>
      <c r="D562" s="113"/>
      <c r="E562" s="141"/>
      <c r="F562" s="138"/>
      <c r="G562" s="137"/>
      <c r="H562" s="114"/>
      <c r="I562" s="138"/>
      <c r="J562" s="138"/>
      <c r="K562" s="138"/>
      <c r="L562" s="138"/>
      <c r="M562" s="138"/>
      <c r="N562" s="138"/>
      <c r="O562" s="138"/>
      <c r="P562" s="149"/>
      <c r="Q562" s="140"/>
      <c r="R562" s="140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20"/>
    </row>
    <row r="563" spans="1:29" x14ac:dyDescent="0.25">
      <c r="A563" s="112"/>
      <c r="B563" s="135"/>
      <c r="C563" s="113"/>
      <c r="D563" s="113"/>
      <c r="E563" s="141"/>
      <c r="F563" s="138"/>
      <c r="G563" s="137"/>
      <c r="H563" s="114"/>
      <c r="I563" s="138"/>
      <c r="J563" s="138"/>
      <c r="K563" s="138"/>
      <c r="L563" s="138"/>
      <c r="M563" s="138"/>
      <c r="N563" s="138"/>
      <c r="O563" s="138"/>
      <c r="P563" s="149"/>
      <c r="Q563" s="140"/>
      <c r="R563" s="140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20"/>
    </row>
    <row r="564" spans="1:29" x14ac:dyDescent="0.25">
      <c r="A564" s="112"/>
      <c r="B564" s="135"/>
      <c r="C564" s="113"/>
      <c r="D564" s="113"/>
      <c r="E564" s="141"/>
      <c r="F564" s="138"/>
      <c r="G564" s="137"/>
      <c r="H564" s="114"/>
      <c r="I564" s="138"/>
      <c r="J564" s="138"/>
      <c r="K564" s="138"/>
      <c r="L564" s="138"/>
      <c r="M564" s="138"/>
      <c r="N564" s="138"/>
      <c r="O564" s="138"/>
      <c r="P564" s="149"/>
      <c r="Q564" s="140"/>
      <c r="R564" s="140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20"/>
    </row>
    <row r="565" spans="1:29" x14ac:dyDescent="0.25">
      <c r="A565" s="112"/>
      <c r="B565" s="135"/>
      <c r="C565" s="113"/>
      <c r="D565" s="113"/>
      <c r="E565" s="141"/>
      <c r="F565" s="138"/>
      <c r="G565" s="137"/>
      <c r="H565" s="114"/>
      <c r="I565" s="138"/>
      <c r="J565" s="138"/>
      <c r="K565" s="138"/>
      <c r="L565" s="138"/>
      <c r="M565" s="138"/>
      <c r="N565" s="138"/>
      <c r="O565" s="138"/>
      <c r="P565" s="149"/>
      <c r="Q565" s="140"/>
      <c r="R565" s="140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20"/>
    </row>
    <row r="566" spans="1:29" x14ac:dyDescent="0.25">
      <c r="A566" s="112"/>
      <c r="B566" s="135"/>
      <c r="C566" s="113"/>
      <c r="D566" s="113"/>
      <c r="E566" s="141"/>
      <c r="F566" s="138"/>
      <c r="G566" s="137"/>
      <c r="H566" s="114"/>
      <c r="I566" s="138"/>
      <c r="J566" s="138"/>
      <c r="K566" s="138"/>
      <c r="L566" s="138"/>
      <c r="M566" s="138"/>
      <c r="N566" s="138"/>
      <c r="O566" s="138"/>
      <c r="P566" s="149"/>
      <c r="Q566" s="140"/>
      <c r="R566" s="140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20"/>
    </row>
    <row r="567" spans="1:29" x14ac:dyDescent="0.25">
      <c r="A567" s="112"/>
      <c r="B567" s="135"/>
      <c r="C567" s="113"/>
      <c r="D567" s="113"/>
      <c r="E567" s="141"/>
      <c r="F567" s="138"/>
      <c r="G567" s="137"/>
      <c r="H567" s="114"/>
      <c r="I567" s="138"/>
      <c r="J567" s="138"/>
      <c r="K567" s="138"/>
      <c r="L567" s="138"/>
      <c r="M567" s="138"/>
      <c r="N567" s="138"/>
      <c r="O567" s="138"/>
      <c r="P567" s="149"/>
      <c r="Q567" s="140"/>
      <c r="R567" s="140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20"/>
    </row>
    <row r="568" spans="1:29" x14ac:dyDescent="0.25">
      <c r="A568" s="112"/>
      <c r="B568" s="135"/>
      <c r="C568" s="113"/>
      <c r="D568" s="113"/>
      <c r="E568" s="141"/>
      <c r="F568" s="138"/>
      <c r="G568" s="137"/>
      <c r="H568" s="114"/>
      <c r="I568" s="138"/>
      <c r="J568" s="138"/>
      <c r="K568" s="138"/>
      <c r="L568" s="138"/>
      <c r="M568" s="138"/>
      <c r="N568" s="138"/>
      <c r="O568" s="138"/>
      <c r="P568" s="149"/>
      <c r="Q568" s="140"/>
      <c r="R568" s="140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20"/>
    </row>
    <row r="569" spans="1:29" x14ac:dyDescent="0.25">
      <c r="A569" s="112"/>
      <c r="B569" s="135"/>
      <c r="C569" s="113"/>
      <c r="D569" s="113"/>
      <c r="E569" s="141"/>
      <c r="F569" s="138"/>
      <c r="G569" s="137"/>
      <c r="H569" s="114"/>
      <c r="I569" s="138"/>
      <c r="J569" s="138"/>
      <c r="K569" s="138"/>
      <c r="L569" s="138"/>
      <c r="M569" s="138"/>
      <c r="N569" s="138"/>
      <c r="O569" s="138"/>
      <c r="P569" s="149"/>
      <c r="Q569" s="140"/>
      <c r="R569" s="140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20"/>
    </row>
    <row r="570" spans="1:29" x14ac:dyDescent="0.25">
      <c r="A570" s="112"/>
      <c r="B570" s="135"/>
      <c r="C570" s="113"/>
      <c r="D570" s="113"/>
      <c r="E570" s="141"/>
      <c r="F570" s="138"/>
      <c r="G570" s="137"/>
      <c r="H570" s="114"/>
      <c r="I570" s="138"/>
      <c r="J570" s="138"/>
      <c r="K570" s="138"/>
      <c r="L570" s="138"/>
      <c r="M570" s="138"/>
      <c r="N570" s="138"/>
      <c r="O570" s="138"/>
      <c r="P570" s="149"/>
      <c r="Q570" s="140"/>
      <c r="R570" s="140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20"/>
    </row>
    <row r="571" spans="1:29" x14ac:dyDescent="0.25">
      <c r="A571" s="112"/>
      <c r="B571" s="135"/>
      <c r="C571" s="113"/>
      <c r="D571" s="113"/>
      <c r="E571" s="141"/>
      <c r="F571" s="138"/>
      <c r="G571" s="137"/>
      <c r="H571" s="114"/>
      <c r="I571" s="138"/>
      <c r="J571" s="138"/>
      <c r="K571" s="138"/>
      <c r="L571" s="138"/>
      <c r="M571" s="138"/>
      <c r="N571" s="138"/>
      <c r="O571" s="138"/>
      <c r="P571" s="149"/>
      <c r="Q571" s="140"/>
      <c r="R571" s="140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20"/>
    </row>
    <row r="572" spans="1:29" x14ac:dyDescent="0.25">
      <c r="A572" s="112"/>
      <c r="B572" s="135"/>
      <c r="C572" s="113"/>
      <c r="D572" s="113"/>
      <c r="E572" s="141"/>
      <c r="F572" s="138"/>
      <c r="G572" s="137"/>
      <c r="H572" s="114"/>
      <c r="I572" s="138"/>
      <c r="J572" s="138"/>
      <c r="K572" s="138"/>
      <c r="L572" s="138"/>
      <c r="M572" s="138"/>
      <c r="N572" s="138"/>
      <c r="O572" s="138"/>
      <c r="P572" s="149"/>
      <c r="Q572" s="140"/>
      <c r="R572" s="140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20"/>
    </row>
    <row r="573" spans="1:29" x14ac:dyDescent="0.25">
      <c r="A573" s="112"/>
      <c r="B573" s="135"/>
      <c r="C573" s="113"/>
      <c r="D573" s="113"/>
      <c r="E573" s="141"/>
      <c r="F573" s="138"/>
      <c r="G573" s="137"/>
      <c r="H573" s="114"/>
      <c r="I573" s="138"/>
      <c r="J573" s="138"/>
      <c r="K573" s="138"/>
      <c r="L573" s="138"/>
      <c r="M573" s="138"/>
      <c r="N573" s="138"/>
      <c r="O573" s="138"/>
      <c r="P573" s="149"/>
      <c r="Q573" s="140"/>
      <c r="R573" s="140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20"/>
    </row>
    <row r="574" spans="1:29" x14ac:dyDescent="0.25">
      <c r="A574" s="112"/>
      <c r="B574" s="135"/>
      <c r="C574" s="113"/>
      <c r="D574" s="113"/>
      <c r="E574" s="141"/>
      <c r="F574" s="138"/>
      <c r="G574" s="137"/>
      <c r="H574" s="114"/>
      <c r="I574" s="138"/>
      <c r="J574" s="138"/>
      <c r="K574" s="138"/>
      <c r="L574" s="138"/>
      <c r="M574" s="138"/>
      <c r="N574" s="138"/>
      <c r="O574" s="138"/>
      <c r="P574" s="149"/>
      <c r="Q574" s="140"/>
      <c r="R574" s="140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20"/>
    </row>
    <row r="575" spans="1:29" x14ac:dyDescent="0.25">
      <c r="A575" s="112"/>
      <c r="B575" s="135"/>
      <c r="C575" s="113"/>
      <c r="D575" s="113"/>
      <c r="E575" s="141"/>
      <c r="F575" s="138"/>
      <c r="G575" s="137"/>
      <c r="H575" s="114"/>
      <c r="I575" s="138"/>
      <c r="J575" s="138"/>
      <c r="K575" s="138"/>
      <c r="L575" s="138"/>
      <c r="M575" s="138"/>
      <c r="N575" s="138"/>
      <c r="O575" s="138"/>
      <c r="P575" s="149"/>
      <c r="Q575" s="140"/>
      <c r="R575" s="140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20"/>
    </row>
    <row r="576" spans="1:29" x14ac:dyDescent="0.25">
      <c r="A576" s="112"/>
      <c r="B576" s="135"/>
      <c r="C576" s="113"/>
      <c r="D576" s="113"/>
      <c r="E576" s="141"/>
      <c r="F576" s="138"/>
      <c r="G576" s="137"/>
      <c r="H576" s="114"/>
      <c r="I576" s="138"/>
      <c r="J576" s="138"/>
      <c r="K576" s="138"/>
      <c r="L576" s="138"/>
      <c r="M576" s="138"/>
      <c r="N576" s="138"/>
      <c r="O576" s="138"/>
      <c r="P576" s="149"/>
      <c r="Q576" s="140"/>
      <c r="R576" s="140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20"/>
    </row>
    <row r="577" spans="1:29" x14ac:dyDescent="0.25">
      <c r="A577" s="112"/>
      <c r="B577" s="135"/>
      <c r="C577" s="113"/>
      <c r="D577" s="113"/>
      <c r="E577" s="141"/>
      <c r="F577" s="138"/>
      <c r="G577" s="137"/>
      <c r="H577" s="114"/>
      <c r="I577" s="138"/>
      <c r="J577" s="138"/>
      <c r="K577" s="138"/>
      <c r="L577" s="138"/>
      <c r="M577" s="138"/>
      <c r="N577" s="138"/>
      <c r="O577" s="138"/>
      <c r="P577" s="149"/>
      <c r="Q577" s="140"/>
      <c r="R577" s="140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20"/>
    </row>
    <row r="578" spans="1:29" x14ac:dyDescent="0.25">
      <c r="A578" s="112"/>
      <c r="B578" s="135"/>
      <c r="C578" s="113"/>
      <c r="D578" s="113"/>
      <c r="E578" s="141"/>
      <c r="F578" s="138"/>
      <c r="G578" s="137"/>
      <c r="H578" s="114"/>
      <c r="I578" s="138"/>
      <c r="J578" s="138"/>
      <c r="K578" s="138"/>
      <c r="L578" s="138"/>
      <c r="M578" s="138"/>
      <c r="N578" s="138"/>
      <c r="O578" s="138"/>
      <c r="P578" s="149"/>
      <c r="Q578" s="140"/>
      <c r="R578" s="140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20"/>
    </row>
    <row r="579" spans="1:29" x14ac:dyDescent="0.25">
      <c r="A579" s="112"/>
      <c r="B579" s="135"/>
      <c r="C579" s="113"/>
      <c r="D579" s="113"/>
      <c r="E579" s="141"/>
      <c r="F579" s="138"/>
      <c r="G579" s="137"/>
      <c r="H579" s="114"/>
      <c r="I579" s="138"/>
      <c r="J579" s="138"/>
      <c r="K579" s="138"/>
      <c r="L579" s="138"/>
      <c r="M579" s="138"/>
      <c r="N579" s="138"/>
      <c r="O579" s="138"/>
      <c r="P579" s="149"/>
      <c r="Q579" s="140"/>
      <c r="R579" s="140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20"/>
    </row>
    <row r="580" spans="1:29" x14ac:dyDescent="0.25">
      <c r="A580" s="112"/>
      <c r="B580" s="135"/>
      <c r="C580" s="113"/>
      <c r="D580" s="113"/>
      <c r="E580" s="141"/>
      <c r="F580" s="138"/>
      <c r="G580" s="137"/>
      <c r="H580" s="114"/>
      <c r="I580" s="138"/>
      <c r="J580" s="138"/>
      <c r="K580" s="138"/>
      <c r="L580" s="138"/>
      <c r="M580" s="138"/>
      <c r="N580" s="138"/>
      <c r="O580" s="138"/>
      <c r="P580" s="149"/>
      <c r="Q580" s="140"/>
      <c r="R580" s="140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20"/>
    </row>
    <row r="581" spans="1:29" x14ac:dyDescent="0.25">
      <c r="A581" s="112"/>
      <c r="B581" s="135"/>
      <c r="C581" s="113"/>
      <c r="D581" s="113"/>
      <c r="E581" s="141"/>
      <c r="F581" s="138"/>
      <c r="G581" s="137"/>
      <c r="H581" s="114"/>
      <c r="I581" s="138"/>
      <c r="J581" s="138"/>
      <c r="K581" s="138"/>
      <c r="L581" s="138"/>
      <c r="M581" s="138"/>
      <c r="N581" s="138"/>
      <c r="O581" s="138"/>
      <c r="P581" s="149"/>
      <c r="Q581" s="140"/>
      <c r="R581" s="140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20"/>
    </row>
    <row r="582" spans="1:29" x14ac:dyDescent="0.25">
      <c r="A582" s="112"/>
      <c r="B582" s="135"/>
      <c r="C582" s="113"/>
      <c r="D582" s="113"/>
      <c r="E582" s="141"/>
      <c r="F582" s="138"/>
      <c r="G582" s="137"/>
      <c r="H582" s="114"/>
      <c r="I582" s="138"/>
      <c r="J582" s="138"/>
      <c r="K582" s="138"/>
      <c r="L582" s="138"/>
      <c r="M582" s="138"/>
      <c r="N582" s="138"/>
      <c r="O582" s="138"/>
      <c r="P582" s="149"/>
      <c r="Q582" s="140"/>
      <c r="R582" s="140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20"/>
    </row>
    <row r="583" spans="1:29" x14ac:dyDescent="0.25">
      <c r="A583" s="112"/>
      <c r="B583" s="135"/>
      <c r="C583" s="113"/>
      <c r="D583" s="113"/>
      <c r="E583" s="141"/>
      <c r="F583" s="138"/>
      <c r="G583" s="137"/>
      <c r="H583" s="114"/>
      <c r="I583" s="138"/>
      <c r="J583" s="138"/>
      <c r="K583" s="138"/>
      <c r="L583" s="138"/>
      <c r="M583" s="138"/>
      <c r="N583" s="138"/>
      <c r="O583" s="138"/>
      <c r="P583" s="149"/>
      <c r="Q583" s="140"/>
      <c r="R583" s="140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20"/>
    </row>
    <row r="584" spans="1:29" x14ac:dyDescent="0.25">
      <c r="A584" s="112"/>
      <c r="B584" s="135"/>
      <c r="C584" s="113"/>
      <c r="D584" s="113"/>
      <c r="E584" s="141"/>
      <c r="F584" s="138"/>
      <c r="G584" s="137"/>
      <c r="H584" s="114"/>
      <c r="I584" s="138"/>
      <c r="J584" s="138"/>
      <c r="K584" s="138"/>
      <c r="L584" s="138"/>
      <c r="M584" s="138"/>
      <c r="N584" s="138"/>
      <c r="O584" s="138"/>
      <c r="P584" s="149"/>
      <c r="Q584" s="140"/>
      <c r="R584" s="140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20"/>
    </row>
    <row r="585" spans="1:29" x14ac:dyDescent="0.25">
      <c r="A585" s="112"/>
      <c r="B585" s="135"/>
      <c r="C585" s="113"/>
      <c r="D585" s="113"/>
      <c r="E585" s="141"/>
      <c r="F585" s="138"/>
      <c r="G585" s="137"/>
      <c r="H585" s="114"/>
      <c r="I585" s="138"/>
      <c r="J585" s="138"/>
      <c r="K585" s="138"/>
      <c r="L585" s="138"/>
      <c r="M585" s="138"/>
      <c r="N585" s="138"/>
      <c r="O585" s="138"/>
      <c r="P585" s="149"/>
      <c r="Q585" s="140"/>
      <c r="R585" s="140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20"/>
    </row>
    <row r="586" spans="1:29" x14ac:dyDescent="0.25">
      <c r="A586" s="112"/>
      <c r="B586" s="135"/>
      <c r="C586" s="113"/>
      <c r="D586" s="113"/>
      <c r="E586" s="141"/>
      <c r="F586" s="138"/>
      <c r="G586" s="137"/>
      <c r="H586" s="114"/>
      <c r="I586" s="138"/>
      <c r="J586" s="138"/>
      <c r="K586" s="138"/>
      <c r="L586" s="138"/>
      <c r="M586" s="138"/>
      <c r="N586" s="138"/>
      <c r="O586" s="138"/>
      <c r="P586" s="149"/>
      <c r="Q586" s="140"/>
      <c r="R586" s="140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20"/>
    </row>
    <row r="587" spans="1:29" x14ac:dyDescent="0.25">
      <c r="A587" s="112"/>
      <c r="B587" s="135"/>
      <c r="C587" s="113"/>
      <c r="D587" s="113"/>
      <c r="E587" s="141"/>
      <c r="F587" s="138"/>
      <c r="G587" s="137"/>
      <c r="H587" s="114"/>
      <c r="I587" s="138"/>
      <c r="J587" s="138"/>
      <c r="K587" s="138"/>
      <c r="L587" s="138"/>
      <c r="M587" s="138"/>
      <c r="N587" s="138"/>
      <c r="O587" s="138"/>
      <c r="P587" s="149"/>
      <c r="Q587" s="140"/>
      <c r="R587" s="140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20"/>
    </row>
    <row r="588" spans="1:29" x14ac:dyDescent="0.25">
      <c r="A588" s="112"/>
      <c r="B588" s="135"/>
      <c r="C588" s="113"/>
      <c r="D588" s="113"/>
      <c r="E588" s="141"/>
      <c r="F588" s="138"/>
      <c r="G588" s="137"/>
      <c r="H588" s="114"/>
      <c r="I588" s="138"/>
      <c r="J588" s="138"/>
      <c r="K588" s="138"/>
      <c r="L588" s="138"/>
      <c r="M588" s="138"/>
      <c r="N588" s="138"/>
      <c r="O588" s="138"/>
      <c r="P588" s="149"/>
      <c r="Q588" s="140"/>
      <c r="R588" s="140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20"/>
    </row>
    <row r="589" spans="1:29" x14ac:dyDescent="0.25">
      <c r="A589" s="112"/>
      <c r="B589" s="135"/>
      <c r="C589" s="113"/>
      <c r="D589" s="113"/>
      <c r="E589" s="141"/>
      <c r="F589" s="138"/>
      <c r="G589" s="137"/>
      <c r="H589" s="114"/>
      <c r="I589" s="138"/>
      <c r="J589" s="138"/>
      <c r="K589" s="138"/>
      <c r="L589" s="138"/>
      <c r="M589" s="138"/>
      <c r="N589" s="138"/>
      <c r="O589" s="138"/>
      <c r="P589" s="149"/>
      <c r="Q589" s="140"/>
      <c r="R589" s="140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20"/>
    </row>
    <row r="590" spans="1:29" x14ac:dyDescent="0.25">
      <c r="A590" s="112"/>
      <c r="B590" s="135"/>
      <c r="C590" s="113"/>
      <c r="D590" s="113"/>
      <c r="E590" s="141"/>
      <c r="F590" s="138"/>
      <c r="G590" s="137"/>
      <c r="H590" s="114"/>
      <c r="I590" s="138"/>
      <c r="J590" s="138"/>
      <c r="K590" s="138"/>
      <c r="L590" s="138"/>
      <c r="M590" s="138"/>
      <c r="N590" s="138"/>
      <c r="O590" s="138"/>
      <c r="P590" s="149"/>
      <c r="Q590" s="140"/>
      <c r="R590" s="140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20"/>
    </row>
    <row r="591" spans="1:29" x14ac:dyDescent="0.25">
      <c r="A591" s="112"/>
      <c r="B591" s="135"/>
      <c r="C591" s="113"/>
      <c r="D591" s="113"/>
      <c r="E591" s="141"/>
      <c r="F591" s="138"/>
      <c r="G591" s="137"/>
      <c r="H591" s="114"/>
      <c r="I591" s="138"/>
      <c r="J591" s="138"/>
      <c r="K591" s="138"/>
      <c r="L591" s="138"/>
      <c r="M591" s="138"/>
      <c r="N591" s="138"/>
      <c r="O591" s="138"/>
      <c r="P591" s="149"/>
      <c r="Q591" s="140"/>
      <c r="R591" s="140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20"/>
    </row>
    <row r="592" spans="1:29" x14ac:dyDescent="0.25">
      <c r="A592" s="112"/>
      <c r="B592" s="135"/>
      <c r="C592" s="113"/>
      <c r="D592" s="113"/>
      <c r="E592" s="141"/>
      <c r="F592" s="138"/>
      <c r="G592" s="137"/>
      <c r="H592" s="114"/>
      <c r="I592" s="138"/>
      <c r="J592" s="138"/>
      <c r="K592" s="138"/>
      <c r="L592" s="138"/>
      <c r="M592" s="138"/>
      <c r="N592" s="138"/>
      <c r="O592" s="138"/>
      <c r="P592" s="149"/>
      <c r="Q592" s="140"/>
      <c r="R592" s="140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20"/>
    </row>
    <row r="593" spans="1:29" x14ac:dyDescent="0.25">
      <c r="A593" s="112"/>
      <c r="B593" s="135"/>
      <c r="C593" s="113"/>
      <c r="D593" s="113"/>
      <c r="E593" s="141"/>
      <c r="F593" s="138"/>
      <c r="G593" s="137"/>
      <c r="H593" s="114"/>
      <c r="I593" s="138"/>
      <c r="J593" s="138"/>
      <c r="K593" s="138"/>
      <c r="L593" s="138"/>
      <c r="M593" s="138"/>
      <c r="N593" s="138"/>
      <c r="O593" s="138"/>
      <c r="P593" s="149"/>
      <c r="Q593" s="140"/>
      <c r="R593" s="140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20"/>
    </row>
    <row r="594" spans="1:29" x14ac:dyDescent="0.25">
      <c r="A594" s="112"/>
      <c r="B594" s="135"/>
      <c r="C594" s="113"/>
      <c r="D594" s="113"/>
      <c r="E594" s="141"/>
      <c r="F594" s="138"/>
      <c r="G594" s="137"/>
      <c r="H594" s="114"/>
      <c r="I594" s="138"/>
      <c r="J594" s="138"/>
      <c r="K594" s="138"/>
      <c r="L594" s="138"/>
      <c r="M594" s="138"/>
      <c r="N594" s="138"/>
      <c r="O594" s="138"/>
      <c r="P594" s="149"/>
      <c r="Q594" s="140"/>
      <c r="R594" s="140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20"/>
    </row>
    <row r="595" spans="1:29" x14ac:dyDescent="0.25">
      <c r="A595" s="112"/>
      <c r="B595" s="135"/>
      <c r="C595" s="113"/>
      <c r="D595" s="113"/>
      <c r="E595" s="141"/>
      <c r="F595" s="138"/>
      <c r="G595" s="137"/>
      <c r="H595" s="114"/>
      <c r="I595" s="138"/>
      <c r="J595" s="138"/>
      <c r="K595" s="138"/>
      <c r="L595" s="138"/>
      <c r="M595" s="138"/>
      <c r="N595" s="138"/>
      <c r="O595" s="138"/>
      <c r="P595" s="149"/>
      <c r="Q595" s="140"/>
      <c r="R595" s="140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20"/>
    </row>
    <row r="596" spans="1:29" x14ac:dyDescent="0.25">
      <c r="A596" s="112"/>
      <c r="B596" s="135"/>
      <c r="C596" s="113"/>
      <c r="D596" s="113"/>
      <c r="E596" s="141"/>
      <c r="F596" s="138"/>
      <c r="G596" s="137"/>
      <c r="H596" s="114"/>
      <c r="I596" s="138"/>
      <c r="J596" s="138"/>
      <c r="K596" s="138"/>
      <c r="L596" s="138"/>
      <c r="M596" s="138"/>
      <c r="N596" s="138"/>
      <c r="O596" s="138"/>
      <c r="P596" s="149"/>
      <c r="Q596" s="140"/>
      <c r="R596" s="140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20"/>
    </row>
    <row r="597" spans="1:29" x14ac:dyDescent="0.25">
      <c r="A597" s="112"/>
      <c r="B597" s="135"/>
      <c r="C597" s="113"/>
      <c r="D597" s="113"/>
      <c r="E597" s="141"/>
      <c r="F597" s="138"/>
      <c r="G597" s="137"/>
      <c r="H597" s="114"/>
      <c r="I597" s="138"/>
      <c r="J597" s="138"/>
      <c r="K597" s="138"/>
      <c r="L597" s="138"/>
      <c r="M597" s="138"/>
      <c r="N597" s="138"/>
      <c r="O597" s="138"/>
      <c r="P597" s="149"/>
      <c r="Q597" s="140"/>
      <c r="R597" s="140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20"/>
    </row>
    <row r="598" spans="1:29" x14ac:dyDescent="0.25">
      <c r="A598" s="112"/>
      <c r="B598" s="135"/>
      <c r="C598" s="113"/>
      <c r="D598" s="113"/>
      <c r="E598" s="141"/>
      <c r="F598" s="138"/>
      <c r="G598" s="137"/>
      <c r="H598" s="114"/>
      <c r="I598" s="138"/>
      <c r="J598" s="138"/>
      <c r="K598" s="138"/>
      <c r="L598" s="138"/>
      <c r="M598" s="138"/>
      <c r="N598" s="138"/>
      <c r="O598" s="138"/>
      <c r="P598" s="149"/>
      <c r="Q598" s="140"/>
      <c r="R598" s="140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20"/>
    </row>
    <row r="599" spans="1:29" x14ac:dyDescent="0.25">
      <c r="A599" s="112"/>
      <c r="B599" s="135"/>
      <c r="C599" s="113"/>
      <c r="D599" s="113"/>
      <c r="E599" s="141"/>
      <c r="F599" s="138"/>
      <c r="G599" s="137"/>
      <c r="H599" s="114"/>
      <c r="I599" s="138"/>
      <c r="J599" s="138"/>
      <c r="K599" s="138"/>
      <c r="L599" s="138"/>
      <c r="M599" s="138"/>
      <c r="N599" s="138"/>
      <c r="O599" s="138"/>
      <c r="P599" s="149"/>
      <c r="Q599" s="140"/>
      <c r="R599" s="140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20"/>
    </row>
    <row r="600" spans="1:29" x14ac:dyDescent="0.25">
      <c r="A600" s="112"/>
      <c r="B600" s="135"/>
      <c r="C600" s="113"/>
      <c r="D600" s="113"/>
      <c r="E600" s="141"/>
      <c r="F600" s="138"/>
      <c r="G600" s="137"/>
      <c r="H600" s="114"/>
      <c r="I600" s="138"/>
      <c r="J600" s="138"/>
      <c r="K600" s="138"/>
      <c r="L600" s="138"/>
      <c r="M600" s="138"/>
      <c r="N600" s="138"/>
      <c r="O600" s="138"/>
      <c r="P600" s="149"/>
      <c r="Q600" s="140"/>
      <c r="R600" s="140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20"/>
    </row>
    <row r="601" spans="1:29" x14ac:dyDescent="0.25">
      <c r="A601" s="112"/>
      <c r="B601" s="135"/>
      <c r="C601" s="113"/>
      <c r="D601" s="113"/>
      <c r="E601" s="141"/>
      <c r="F601" s="138"/>
      <c r="G601" s="137"/>
      <c r="H601" s="114"/>
      <c r="I601" s="138"/>
      <c r="J601" s="138"/>
      <c r="K601" s="138"/>
      <c r="L601" s="138"/>
      <c r="M601" s="138"/>
      <c r="N601" s="138"/>
      <c r="O601" s="138"/>
      <c r="P601" s="149"/>
      <c r="Q601" s="140"/>
      <c r="R601" s="140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20"/>
    </row>
    <row r="602" spans="1:29" x14ac:dyDescent="0.25">
      <c r="A602" s="112"/>
      <c r="B602" s="135"/>
      <c r="C602" s="113"/>
      <c r="D602" s="113"/>
      <c r="E602" s="141"/>
      <c r="F602" s="138"/>
      <c r="G602" s="137"/>
      <c r="H602" s="114"/>
      <c r="I602" s="138"/>
      <c r="J602" s="138"/>
      <c r="K602" s="138"/>
      <c r="L602" s="138"/>
      <c r="M602" s="138"/>
      <c r="N602" s="138"/>
      <c r="O602" s="138"/>
      <c r="P602" s="149"/>
      <c r="Q602" s="140"/>
      <c r="R602" s="140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20"/>
    </row>
    <row r="603" spans="1:29" x14ac:dyDescent="0.25">
      <c r="A603" s="112"/>
      <c r="B603" s="135"/>
      <c r="C603" s="113"/>
      <c r="D603" s="113"/>
      <c r="E603" s="141"/>
      <c r="F603" s="138"/>
      <c r="G603" s="137"/>
      <c r="H603" s="114"/>
      <c r="I603" s="138"/>
      <c r="J603" s="138"/>
      <c r="K603" s="138"/>
      <c r="L603" s="138"/>
      <c r="M603" s="138"/>
      <c r="N603" s="138"/>
      <c r="O603" s="138"/>
      <c r="P603" s="149"/>
      <c r="Q603" s="140"/>
      <c r="R603" s="140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20"/>
    </row>
    <row r="604" spans="1:29" x14ac:dyDescent="0.25">
      <c r="A604" s="112"/>
      <c r="B604" s="135"/>
      <c r="C604" s="113"/>
      <c r="D604" s="113"/>
      <c r="E604" s="141"/>
      <c r="F604" s="138"/>
      <c r="G604" s="137"/>
      <c r="H604" s="114"/>
      <c r="I604" s="138"/>
      <c r="J604" s="138"/>
      <c r="K604" s="138"/>
      <c r="L604" s="138"/>
      <c r="M604" s="138"/>
      <c r="N604" s="138"/>
      <c r="O604" s="138"/>
      <c r="P604" s="149"/>
      <c r="Q604" s="140"/>
      <c r="R604" s="140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20"/>
    </row>
    <row r="605" spans="1:29" x14ac:dyDescent="0.25">
      <c r="A605" s="112"/>
      <c r="B605" s="135"/>
      <c r="C605" s="113"/>
      <c r="D605" s="113"/>
      <c r="E605" s="141"/>
      <c r="F605" s="138"/>
      <c r="G605" s="137"/>
      <c r="H605" s="114"/>
      <c r="I605" s="138"/>
      <c r="J605" s="138"/>
      <c r="K605" s="138"/>
      <c r="L605" s="138"/>
      <c r="M605" s="138"/>
      <c r="N605" s="138"/>
      <c r="O605" s="138"/>
      <c r="P605" s="149"/>
      <c r="Q605" s="140"/>
      <c r="R605" s="140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20"/>
    </row>
    <row r="606" spans="1:29" x14ac:dyDescent="0.25">
      <c r="A606" s="112"/>
      <c r="B606" s="135"/>
      <c r="C606" s="113"/>
      <c r="D606" s="113"/>
      <c r="E606" s="141"/>
      <c r="F606" s="138"/>
      <c r="G606" s="137"/>
      <c r="H606" s="114"/>
      <c r="I606" s="138"/>
      <c r="J606" s="138"/>
      <c r="K606" s="138"/>
      <c r="L606" s="138"/>
      <c r="M606" s="138"/>
      <c r="N606" s="138"/>
      <c r="O606" s="138"/>
      <c r="P606" s="149"/>
      <c r="Q606" s="140"/>
      <c r="R606" s="140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20"/>
    </row>
    <row r="607" spans="1:29" x14ac:dyDescent="0.25">
      <c r="A607" s="112"/>
      <c r="B607" s="135"/>
      <c r="C607" s="113"/>
      <c r="D607" s="113"/>
      <c r="E607" s="141"/>
      <c r="F607" s="138"/>
      <c r="G607" s="137"/>
      <c r="H607" s="114"/>
      <c r="I607" s="138"/>
      <c r="J607" s="138"/>
      <c r="K607" s="138"/>
      <c r="L607" s="138"/>
      <c r="M607" s="138"/>
      <c r="N607" s="138"/>
      <c r="O607" s="138"/>
      <c r="P607" s="149"/>
      <c r="Q607" s="140"/>
      <c r="R607" s="140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20"/>
    </row>
    <row r="608" spans="1:29" x14ac:dyDescent="0.25">
      <c r="A608" s="112"/>
      <c r="B608" s="135"/>
      <c r="C608" s="113"/>
      <c r="D608" s="113"/>
      <c r="E608" s="141"/>
      <c r="F608" s="138"/>
      <c r="G608" s="137"/>
      <c r="H608" s="114"/>
      <c r="I608" s="138"/>
      <c r="J608" s="138"/>
      <c r="K608" s="138"/>
      <c r="L608" s="138"/>
      <c r="M608" s="138"/>
      <c r="N608" s="138"/>
      <c r="O608" s="138"/>
      <c r="P608" s="149"/>
      <c r="Q608" s="140"/>
      <c r="R608" s="140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20"/>
    </row>
    <row r="609" spans="1:29" x14ac:dyDescent="0.25">
      <c r="A609" s="112"/>
      <c r="B609" s="135"/>
      <c r="C609" s="113"/>
      <c r="D609" s="113"/>
      <c r="E609" s="141"/>
      <c r="F609" s="138"/>
      <c r="G609" s="137"/>
      <c r="H609" s="114"/>
      <c r="I609" s="138"/>
      <c r="J609" s="138"/>
      <c r="K609" s="138"/>
      <c r="L609" s="138"/>
      <c r="M609" s="138"/>
      <c r="N609" s="138"/>
      <c r="O609" s="138"/>
      <c r="P609" s="149"/>
      <c r="Q609" s="140"/>
      <c r="R609" s="140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20"/>
    </row>
    <row r="610" spans="1:29" x14ac:dyDescent="0.25">
      <c r="A610" s="112"/>
      <c r="B610" s="135"/>
      <c r="C610" s="113"/>
      <c r="D610" s="113"/>
      <c r="E610" s="141"/>
      <c r="F610" s="138"/>
      <c r="G610" s="137"/>
      <c r="H610" s="114"/>
      <c r="I610" s="138"/>
      <c r="J610" s="138"/>
      <c r="K610" s="138"/>
      <c r="L610" s="138"/>
      <c r="M610" s="138"/>
      <c r="N610" s="138"/>
      <c r="O610" s="138"/>
      <c r="P610" s="149"/>
      <c r="Q610" s="140"/>
      <c r="R610" s="140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20"/>
    </row>
    <row r="611" spans="1:29" x14ac:dyDescent="0.25">
      <c r="A611" s="112"/>
      <c r="B611" s="135"/>
      <c r="C611" s="113"/>
      <c r="D611" s="113"/>
      <c r="E611" s="141"/>
      <c r="F611" s="138"/>
      <c r="G611" s="137"/>
      <c r="H611" s="114"/>
      <c r="I611" s="138"/>
      <c r="J611" s="138"/>
      <c r="K611" s="138"/>
      <c r="L611" s="138"/>
      <c r="M611" s="138"/>
      <c r="N611" s="138"/>
      <c r="O611" s="138"/>
      <c r="P611" s="149"/>
      <c r="Q611" s="140"/>
      <c r="R611" s="140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20"/>
    </row>
    <row r="612" spans="1:29" x14ac:dyDescent="0.25">
      <c r="A612" s="112"/>
      <c r="B612" s="135"/>
      <c r="C612" s="113"/>
      <c r="D612" s="113"/>
      <c r="E612" s="141"/>
      <c r="F612" s="138"/>
      <c r="G612" s="137"/>
      <c r="H612" s="114"/>
      <c r="I612" s="138"/>
      <c r="J612" s="138"/>
      <c r="K612" s="138"/>
      <c r="L612" s="138"/>
      <c r="M612" s="138"/>
      <c r="N612" s="138"/>
      <c r="O612" s="138"/>
      <c r="P612" s="149"/>
      <c r="Q612" s="140"/>
      <c r="R612" s="140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20"/>
    </row>
    <row r="613" spans="1:29" x14ac:dyDescent="0.25">
      <c r="A613" s="112"/>
      <c r="B613" s="135"/>
      <c r="C613" s="113"/>
      <c r="D613" s="113"/>
      <c r="E613" s="141"/>
      <c r="F613" s="138"/>
      <c r="G613" s="137"/>
      <c r="H613" s="114"/>
      <c r="I613" s="138"/>
      <c r="J613" s="138"/>
      <c r="K613" s="138"/>
      <c r="L613" s="138"/>
      <c r="M613" s="138"/>
      <c r="N613" s="138"/>
      <c r="O613" s="138"/>
      <c r="P613" s="149"/>
      <c r="Q613" s="140"/>
      <c r="R613" s="140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20"/>
    </row>
    <row r="614" spans="1:29" x14ac:dyDescent="0.25">
      <c r="A614" s="112"/>
      <c r="B614" s="135"/>
      <c r="C614" s="113"/>
      <c r="D614" s="113"/>
      <c r="E614" s="141"/>
      <c r="F614" s="138"/>
      <c r="G614" s="137"/>
      <c r="H614" s="114"/>
      <c r="I614" s="138"/>
      <c r="J614" s="138"/>
      <c r="K614" s="138"/>
      <c r="L614" s="138"/>
      <c r="M614" s="138"/>
      <c r="N614" s="138"/>
      <c r="O614" s="138"/>
      <c r="P614" s="149"/>
      <c r="Q614" s="140"/>
      <c r="R614" s="140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20"/>
    </row>
    <row r="615" spans="1:29" x14ac:dyDescent="0.25">
      <c r="A615" s="112"/>
      <c r="B615" s="135"/>
      <c r="C615" s="113"/>
      <c r="D615" s="113"/>
      <c r="E615" s="141"/>
      <c r="F615" s="138"/>
      <c r="G615" s="137"/>
      <c r="H615" s="114"/>
      <c r="I615" s="138"/>
      <c r="J615" s="138"/>
      <c r="K615" s="138"/>
      <c r="L615" s="138"/>
      <c r="M615" s="138"/>
      <c r="N615" s="138"/>
      <c r="O615" s="138"/>
      <c r="P615" s="149"/>
      <c r="Q615" s="140"/>
      <c r="R615" s="140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20"/>
    </row>
    <row r="616" spans="1:29" x14ac:dyDescent="0.25">
      <c r="A616" s="112"/>
      <c r="B616" s="135"/>
      <c r="C616" s="113"/>
      <c r="D616" s="113"/>
      <c r="E616" s="141"/>
      <c r="F616" s="138"/>
      <c r="G616" s="137"/>
      <c r="H616" s="114"/>
      <c r="I616" s="138"/>
      <c r="J616" s="138"/>
      <c r="K616" s="138"/>
      <c r="L616" s="138"/>
      <c r="M616" s="138"/>
      <c r="N616" s="138"/>
      <c r="O616" s="138"/>
      <c r="P616" s="149"/>
      <c r="Q616" s="140"/>
      <c r="R616" s="140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20"/>
    </row>
    <row r="617" spans="1:29" x14ac:dyDescent="0.25">
      <c r="A617" s="112"/>
      <c r="B617" s="135"/>
      <c r="C617" s="113"/>
      <c r="D617" s="113"/>
      <c r="E617" s="141"/>
      <c r="F617" s="138"/>
      <c r="G617" s="137"/>
      <c r="H617" s="114"/>
      <c r="I617" s="138"/>
      <c r="J617" s="138"/>
      <c r="K617" s="138"/>
      <c r="L617" s="138"/>
      <c r="M617" s="138"/>
      <c r="N617" s="138"/>
      <c r="O617" s="138"/>
      <c r="P617" s="149"/>
      <c r="Q617" s="140"/>
      <c r="R617" s="140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20"/>
    </row>
    <row r="618" spans="1:29" x14ac:dyDescent="0.25">
      <c r="A618" s="112"/>
      <c r="B618" s="135"/>
      <c r="C618" s="113"/>
      <c r="D618" s="113"/>
      <c r="E618" s="141"/>
      <c r="F618" s="138"/>
      <c r="G618" s="137"/>
      <c r="H618" s="114"/>
      <c r="I618" s="138"/>
      <c r="J618" s="138"/>
      <c r="K618" s="138"/>
      <c r="L618" s="138"/>
      <c r="M618" s="138"/>
      <c r="N618" s="138"/>
      <c r="O618" s="138"/>
      <c r="P618" s="149"/>
      <c r="Q618" s="140"/>
      <c r="R618" s="140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20"/>
    </row>
    <row r="619" spans="1:29" x14ac:dyDescent="0.25">
      <c r="A619" s="112"/>
      <c r="B619" s="135"/>
      <c r="C619" s="113"/>
      <c r="D619" s="113"/>
      <c r="E619" s="141"/>
      <c r="F619" s="138"/>
      <c r="G619" s="137"/>
      <c r="H619" s="114"/>
      <c r="I619" s="138"/>
      <c r="J619" s="138"/>
      <c r="K619" s="138"/>
      <c r="L619" s="138"/>
      <c r="M619" s="138"/>
      <c r="N619" s="138"/>
      <c r="O619" s="138"/>
      <c r="P619" s="149"/>
      <c r="Q619" s="140"/>
      <c r="R619" s="140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20"/>
    </row>
    <row r="620" spans="1:29" x14ac:dyDescent="0.25">
      <c r="A620" s="112"/>
      <c r="B620" s="135"/>
      <c r="C620" s="113"/>
      <c r="D620" s="113"/>
      <c r="E620" s="141"/>
      <c r="F620" s="138"/>
      <c r="G620" s="137"/>
      <c r="H620" s="114"/>
      <c r="I620" s="138"/>
      <c r="J620" s="138"/>
      <c r="K620" s="138"/>
      <c r="L620" s="138"/>
      <c r="M620" s="138"/>
      <c r="N620" s="138"/>
      <c r="O620" s="138"/>
      <c r="P620" s="149"/>
      <c r="Q620" s="140"/>
      <c r="R620" s="140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20"/>
    </row>
    <row r="621" spans="1:29" x14ac:dyDescent="0.25">
      <c r="A621" s="112"/>
      <c r="B621" s="135"/>
      <c r="C621" s="113"/>
      <c r="D621" s="113"/>
      <c r="E621" s="141"/>
      <c r="F621" s="138"/>
      <c r="G621" s="137"/>
      <c r="H621" s="114"/>
      <c r="I621" s="138"/>
      <c r="J621" s="138"/>
      <c r="K621" s="138"/>
      <c r="L621" s="138"/>
      <c r="M621" s="138"/>
      <c r="N621" s="138"/>
      <c r="O621" s="138"/>
      <c r="P621" s="149"/>
      <c r="Q621" s="140"/>
      <c r="R621" s="140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20"/>
    </row>
    <row r="622" spans="1:29" x14ac:dyDescent="0.25">
      <c r="A622" s="112"/>
      <c r="B622" s="135"/>
      <c r="C622" s="113"/>
      <c r="D622" s="113"/>
      <c r="E622" s="141"/>
      <c r="F622" s="138"/>
      <c r="G622" s="137"/>
      <c r="H622" s="114"/>
      <c r="I622" s="138"/>
      <c r="J622" s="138"/>
      <c r="K622" s="138"/>
      <c r="L622" s="138"/>
      <c r="M622" s="138"/>
      <c r="N622" s="138"/>
      <c r="O622" s="138"/>
      <c r="P622" s="149"/>
      <c r="Q622" s="140"/>
      <c r="R622" s="140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20"/>
    </row>
    <row r="623" spans="1:29" x14ac:dyDescent="0.25">
      <c r="A623" s="112"/>
      <c r="B623" s="135"/>
      <c r="C623" s="113"/>
      <c r="D623" s="113"/>
      <c r="E623" s="141"/>
      <c r="F623" s="138"/>
      <c r="G623" s="137"/>
      <c r="H623" s="114"/>
      <c r="I623" s="138"/>
      <c r="J623" s="138"/>
      <c r="K623" s="138"/>
      <c r="L623" s="138"/>
      <c r="M623" s="138"/>
      <c r="N623" s="138"/>
      <c r="O623" s="138"/>
      <c r="P623" s="149"/>
      <c r="Q623" s="140"/>
      <c r="R623" s="140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20"/>
    </row>
    <row r="624" spans="1:29" x14ac:dyDescent="0.25">
      <c r="A624" s="112"/>
      <c r="B624" s="135"/>
      <c r="C624" s="113"/>
      <c r="D624" s="113"/>
      <c r="E624" s="141"/>
      <c r="F624" s="138"/>
      <c r="G624" s="137"/>
      <c r="H624" s="114"/>
      <c r="I624" s="138"/>
      <c r="J624" s="138"/>
      <c r="K624" s="138"/>
      <c r="L624" s="138"/>
      <c r="M624" s="138"/>
      <c r="N624" s="138"/>
      <c r="O624" s="138"/>
      <c r="P624" s="149"/>
      <c r="Q624" s="140"/>
      <c r="R624" s="140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20"/>
    </row>
    <row r="625" spans="1:29" x14ac:dyDescent="0.25">
      <c r="A625" s="112"/>
      <c r="B625" s="135"/>
      <c r="C625" s="113"/>
      <c r="D625" s="113"/>
      <c r="E625" s="141"/>
      <c r="F625" s="138"/>
      <c r="G625" s="137"/>
      <c r="H625" s="114"/>
      <c r="I625" s="138"/>
      <c r="J625" s="138"/>
      <c r="K625" s="138"/>
      <c r="L625" s="138"/>
      <c r="M625" s="138"/>
      <c r="N625" s="138"/>
      <c r="O625" s="138"/>
      <c r="P625" s="149"/>
      <c r="Q625" s="140"/>
      <c r="R625" s="140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20"/>
    </row>
    <row r="626" spans="1:29" x14ac:dyDescent="0.25">
      <c r="A626" s="112"/>
      <c r="B626" s="135"/>
      <c r="C626" s="113"/>
      <c r="D626" s="113"/>
      <c r="E626" s="141"/>
      <c r="F626" s="138"/>
      <c r="G626" s="137"/>
      <c r="H626" s="114"/>
      <c r="I626" s="138"/>
      <c r="J626" s="138"/>
      <c r="K626" s="138"/>
      <c r="L626" s="138"/>
      <c r="M626" s="138"/>
      <c r="N626" s="138"/>
      <c r="O626" s="138"/>
      <c r="P626" s="149"/>
      <c r="Q626" s="140"/>
      <c r="R626" s="140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20"/>
    </row>
    <row r="627" spans="1:29" x14ac:dyDescent="0.25">
      <c r="A627" s="112"/>
      <c r="B627" s="135"/>
      <c r="C627" s="113"/>
      <c r="D627" s="113"/>
      <c r="E627" s="141"/>
      <c r="F627" s="138"/>
      <c r="G627" s="137"/>
      <c r="H627" s="114"/>
      <c r="I627" s="138"/>
      <c r="J627" s="138"/>
      <c r="K627" s="138"/>
      <c r="L627" s="138"/>
      <c r="M627" s="138"/>
      <c r="N627" s="138"/>
      <c r="O627" s="138"/>
      <c r="P627" s="149"/>
      <c r="Q627" s="140"/>
      <c r="R627" s="140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20"/>
    </row>
    <row r="628" spans="1:29" x14ac:dyDescent="0.25">
      <c r="A628" s="112"/>
      <c r="B628" s="135"/>
      <c r="C628" s="113"/>
      <c r="D628" s="113"/>
      <c r="E628" s="141"/>
      <c r="F628" s="138"/>
      <c r="G628" s="137"/>
      <c r="H628" s="114"/>
      <c r="I628" s="138"/>
      <c r="J628" s="138"/>
      <c r="K628" s="138"/>
      <c r="L628" s="138"/>
      <c r="M628" s="138"/>
      <c r="N628" s="138"/>
      <c r="O628" s="138"/>
      <c r="P628" s="149"/>
      <c r="Q628" s="140"/>
      <c r="R628" s="140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20"/>
    </row>
    <row r="629" spans="1:29" x14ac:dyDescent="0.25">
      <c r="A629" s="112"/>
      <c r="B629" s="135"/>
      <c r="C629" s="113"/>
      <c r="D629" s="113"/>
      <c r="E629" s="141"/>
      <c r="F629" s="138"/>
      <c r="G629" s="137"/>
      <c r="H629" s="114"/>
      <c r="I629" s="138"/>
      <c r="J629" s="138"/>
      <c r="K629" s="138"/>
      <c r="L629" s="138"/>
      <c r="M629" s="138"/>
      <c r="N629" s="138"/>
      <c r="O629" s="138"/>
      <c r="P629" s="149"/>
      <c r="Q629" s="140"/>
      <c r="R629" s="140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20"/>
    </row>
    <row r="630" spans="1:29" x14ac:dyDescent="0.25">
      <c r="A630" s="112"/>
      <c r="B630" s="135"/>
      <c r="C630" s="113"/>
      <c r="D630" s="113"/>
      <c r="E630" s="141"/>
      <c r="F630" s="138"/>
      <c r="G630" s="137"/>
      <c r="H630" s="114"/>
      <c r="I630" s="138"/>
      <c r="J630" s="138"/>
      <c r="K630" s="138"/>
      <c r="L630" s="138"/>
      <c r="M630" s="138"/>
      <c r="N630" s="138"/>
      <c r="O630" s="138"/>
      <c r="P630" s="149"/>
      <c r="Q630" s="140"/>
      <c r="R630" s="140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20"/>
    </row>
    <row r="631" spans="1:29" x14ac:dyDescent="0.25">
      <c r="A631" s="112"/>
      <c r="B631" s="135"/>
      <c r="C631" s="113"/>
      <c r="D631" s="113"/>
      <c r="E631" s="141"/>
      <c r="F631" s="138"/>
      <c r="G631" s="137"/>
      <c r="H631" s="114"/>
      <c r="I631" s="138"/>
      <c r="J631" s="138"/>
      <c r="K631" s="138"/>
      <c r="L631" s="138"/>
      <c r="M631" s="138"/>
      <c r="N631" s="138"/>
      <c r="O631" s="138"/>
      <c r="P631" s="149"/>
      <c r="Q631" s="140"/>
      <c r="R631" s="140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20"/>
    </row>
    <row r="632" spans="1:29" x14ac:dyDescent="0.25">
      <c r="A632" s="112"/>
      <c r="B632" s="135"/>
      <c r="C632" s="113"/>
      <c r="D632" s="113"/>
      <c r="E632" s="141"/>
      <c r="F632" s="138"/>
      <c r="G632" s="137"/>
      <c r="H632" s="114"/>
      <c r="I632" s="138"/>
      <c r="J632" s="138"/>
      <c r="K632" s="138"/>
      <c r="L632" s="138"/>
      <c r="M632" s="138"/>
      <c r="N632" s="138"/>
      <c r="O632" s="138"/>
      <c r="P632" s="149"/>
      <c r="Q632" s="140"/>
      <c r="R632" s="140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20"/>
    </row>
    <row r="633" spans="1:29" x14ac:dyDescent="0.25">
      <c r="A633" s="112"/>
      <c r="B633" s="135"/>
      <c r="C633" s="113"/>
      <c r="D633" s="113"/>
      <c r="E633" s="141"/>
      <c r="F633" s="138"/>
      <c r="G633" s="137"/>
      <c r="H633" s="114"/>
      <c r="I633" s="138"/>
      <c r="J633" s="138"/>
      <c r="K633" s="138"/>
      <c r="L633" s="138"/>
      <c r="M633" s="138"/>
      <c r="N633" s="138"/>
      <c r="O633" s="138"/>
      <c r="P633" s="149"/>
      <c r="Q633" s="140"/>
      <c r="R633" s="140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20"/>
    </row>
    <row r="634" spans="1:29" x14ac:dyDescent="0.25">
      <c r="A634" s="112"/>
      <c r="B634" s="135"/>
      <c r="C634" s="113"/>
      <c r="D634" s="113"/>
      <c r="E634" s="141"/>
      <c r="F634" s="138"/>
      <c r="G634" s="137"/>
      <c r="H634" s="114"/>
      <c r="I634" s="138"/>
      <c r="J634" s="138"/>
      <c r="K634" s="138"/>
      <c r="L634" s="138"/>
      <c r="M634" s="138"/>
      <c r="N634" s="138"/>
      <c r="O634" s="138"/>
      <c r="P634" s="149"/>
      <c r="Q634" s="140"/>
      <c r="R634" s="140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20"/>
    </row>
    <row r="635" spans="1:29" x14ac:dyDescent="0.25">
      <c r="A635" s="112"/>
      <c r="B635" s="135"/>
      <c r="C635" s="113"/>
      <c r="D635" s="113"/>
      <c r="E635" s="141"/>
      <c r="F635" s="138"/>
      <c r="G635" s="137"/>
      <c r="H635" s="114"/>
      <c r="I635" s="138"/>
      <c r="J635" s="138"/>
      <c r="K635" s="138"/>
      <c r="L635" s="138"/>
      <c r="M635" s="138"/>
      <c r="N635" s="138"/>
      <c r="O635" s="138"/>
      <c r="P635" s="149"/>
      <c r="Q635" s="140"/>
      <c r="R635" s="140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20"/>
    </row>
    <row r="636" spans="1:29" x14ac:dyDescent="0.25">
      <c r="A636" s="112"/>
      <c r="B636" s="135"/>
      <c r="C636" s="113"/>
      <c r="D636" s="113"/>
      <c r="E636" s="141"/>
      <c r="F636" s="138"/>
      <c r="G636" s="137"/>
      <c r="H636" s="114"/>
      <c r="I636" s="138"/>
      <c r="J636" s="138"/>
      <c r="K636" s="138"/>
      <c r="L636" s="138"/>
      <c r="M636" s="138"/>
      <c r="N636" s="138"/>
      <c r="O636" s="138"/>
      <c r="P636" s="149"/>
      <c r="Q636" s="140"/>
      <c r="R636" s="140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20"/>
    </row>
    <row r="637" spans="1:29" x14ac:dyDescent="0.25">
      <c r="A637" s="112"/>
      <c r="B637" s="135"/>
      <c r="C637" s="113"/>
      <c r="D637" s="113"/>
      <c r="E637" s="141"/>
      <c r="F637" s="138"/>
      <c r="G637" s="137"/>
      <c r="H637" s="114"/>
      <c r="I637" s="138"/>
      <c r="J637" s="138"/>
      <c r="K637" s="138"/>
      <c r="L637" s="138"/>
      <c r="M637" s="138"/>
      <c r="N637" s="138"/>
      <c r="O637" s="138"/>
      <c r="P637" s="149"/>
      <c r="Q637" s="140"/>
      <c r="R637" s="140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20"/>
    </row>
    <row r="638" spans="1:29" x14ac:dyDescent="0.25">
      <c r="A638" s="112"/>
      <c r="B638" s="135"/>
      <c r="C638" s="113"/>
      <c r="D638" s="113"/>
      <c r="E638" s="141"/>
      <c r="F638" s="138"/>
      <c r="G638" s="137"/>
      <c r="H638" s="114"/>
      <c r="I638" s="138"/>
      <c r="J638" s="138"/>
      <c r="K638" s="138"/>
      <c r="L638" s="138"/>
      <c r="M638" s="138"/>
      <c r="N638" s="138"/>
      <c r="O638" s="138"/>
      <c r="P638" s="149"/>
      <c r="Q638" s="140"/>
      <c r="R638" s="140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20"/>
    </row>
    <row r="639" spans="1:29" x14ac:dyDescent="0.25">
      <c r="A639" s="112"/>
      <c r="B639" s="135"/>
      <c r="C639" s="113"/>
      <c r="D639" s="113"/>
      <c r="E639" s="141"/>
      <c r="F639" s="138"/>
      <c r="G639" s="137"/>
      <c r="H639" s="114"/>
      <c r="I639" s="138"/>
      <c r="J639" s="138"/>
      <c r="K639" s="138"/>
      <c r="L639" s="138"/>
      <c r="M639" s="138"/>
      <c r="N639" s="138"/>
      <c r="O639" s="138"/>
      <c r="P639" s="149"/>
      <c r="Q639" s="140"/>
      <c r="R639" s="140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20"/>
    </row>
    <row r="640" spans="1:29" x14ac:dyDescent="0.25">
      <c r="A640" s="112"/>
      <c r="B640" s="135"/>
      <c r="C640" s="113"/>
      <c r="D640" s="113"/>
      <c r="E640" s="141"/>
      <c r="F640" s="138"/>
      <c r="G640" s="137"/>
      <c r="H640" s="114"/>
      <c r="I640" s="138"/>
      <c r="J640" s="138"/>
      <c r="K640" s="138"/>
      <c r="L640" s="138"/>
      <c r="M640" s="138"/>
      <c r="N640" s="138"/>
      <c r="O640" s="138"/>
      <c r="P640" s="149"/>
      <c r="Q640" s="140"/>
      <c r="R640" s="140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20"/>
    </row>
    <row r="641" spans="1:29" x14ac:dyDescent="0.25">
      <c r="A641" s="112"/>
      <c r="B641" s="135"/>
      <c r="C641" s="113"/>
      <c r="D641" s="113"/>
      <c r="E641" s="141"/>
      <c r="F641" s="138"/>
      <c r="G641" s="137"/>
      <c r="H641" s="114"/>
      <c r="I641" s="138"/>
      <c r="J641" s="138"/>
      <c r="K641" s="138"/>
      <c r="L641" s="138"/>
      <c r="M641" s="138"/>
      <c r="N641" s="138"/>
      <c r="O641" s="138"/>
      <c r="P641" s="149"/>
      <c r="Q641" s="140"/>
      <c r="R641" s="140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20"/>
    </row>
    <row r="642" spans="1:29" x14ac:dyDescent="0.25">
      <c r="A642" s="112"/>
      <c r="B642" s="135"/>
      <c r="C642" s="113"/>
      <c r="D642" s="113"/>
      <c r="E642" s="141"/>
      <c r="F642" s="138"/>
      <c r="G642" s="137"/>
      <c r="H642" s="114"/>
      <c r="I642" s="138"/>
      <c r="J642" s="138"/>
      <c r="K642" s="138"/>
      <c r="L642" s="138"/>
      <c r="M642" s="138"/>
      <c r="N642" s="138"/>
      <c r="O642" s="138"/>
      <c r="P642" s="149"/>
      <c r="Q642" s="140"/>
      <c r="R642" s="140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20"/>
    </row>
    <row r="643" spans="1:29" x14ac:dyDescent="0.25">
      <c r="A643" s="112"/>
      <c r="B643" s="135"/>
      <c r="C643" s="113"/>
      <c r="D643" s="113"/>
      <c r="E643" s="141"/>
      <c r="F643" s="138"/>
      <c r="G643" s="137"/>
      <c r="H643" s="114"/>
      <c r="I643" s="138"/>
      <c r="J643" s="138"/>
      <c r="K643" s="138"/>
      <c r="L643" s="138"/>
      <c r="M643" s="138"/>
      <c r="N643" s="138"/>
      <c r="O643" s="138"/>
      <c r="P643" s="149"/>
      <c r="Q643" s="140"/>
      <c r="R643" s="140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20"/>
    </row>
    <row r="644" spans="1:29" x14ac:dyDescent="0.25">
      <c r="A644" s="112"/>
      <c r="B644" s="135"/>
      <c r="C644" s="113"/>
      <c r="D644" s="113"/>
      <c r="E644" s="141"/>
      <c r="F644" s="138"/>
      <c r="G644" s="137"/>
      <c r="H644" s="114"/>
      <c r="I644" s="138"/>
      <c r="J644" s="138"/>
      <c r="K644" s="138"/>
      <c r="L644" s="138"/>
      <c r="M644" s="138"/>
      <c r="N644" s="138"/>
      <c r="O644" s="138"/>
      <c r="P644" s="149"/>
      <c r="Q644" s="140"/>
      <c r="R644" s="140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20"/>
    </row>
    <row r="645" spans="1:29" x14ac:dyDescent="0.25">
      <c r="A645" s="112"/>
      <c r="B645" s="135"/>
      <c r="C645" s="113"/>
      <c r="D645" s="113"/>
      <c r="E645" s="141"/>
      <c r="F645" s="138"/>
      <c r="G645" s="137"/>
      <c r="H645" s="114"/>
      <c r="I645" s="138"/>
      <c r="J645" s="138"/>
      <c r="K645" s="138"/>
      <c r="L645" s="138"/>
      <c r="M645" s="138"/>
      <c r="N645" s="138"/>
      <c r="O645" s="138"/>
      <c r="P645" s="149"/>
      <c r="Q645" s="140"/>
      <c r="R645" s="140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20"/>
    </row>
    <row r="646" spans="1:29" x14ac:dyDescent="0.25">
      <c r="A646" s="112"/>
      <c r="B646" s="135"/>
      <c r="C646" s="113"/>
      <c r="D646" s="113"/>
      <c r="E646" s="141"/>
      <c r="F646" s="138"/>
      <c r="G646" s="137"/>
      <c r="H646" s="114"/>
      <c r="I646" s="138"/>
      <c r="J646" s="138"/>
      <c r="K646" s="138"/>
      <c r="L646" s="138"/>
      <c r="M646" s="138"/>
      <c r="N646" s="138"/>
      <c r="O646" s="138"/>
      <c r="P646" s="149"/>
      <c r="Q646" s="140"/>
      <c r="R646" s="140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20"/>
    </row>
    <row r="647" spans="1:29" x14ac:dyDescent="0.25">
      <c r="A647" s="112"/>
      <c r="B647" s="135"/>
      <c r="C647" s="113"/>
      <c r="D647" s="113"/>
      <c r="E647" s="141"/>
      <c r="F647" s="138"/>
      <c r="G647" s="137"/>
      <c r="H647" s="114"/>
      <c r="I647" s="138"/>
      <c r="J647" s="138"/>
      <c r="K647" s="138"/>
      <c r="L647" s="138"/>
      <c r="M647" s="138"/>
      <c r="N647" s="138"/>
      <c r="O647" s="138"/>
      <c r="P647" s="149"/>
      <c r="Q647" s="140"/>
      <c r="R647" s="140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20"/>
    </row>
    <row r="648" spans="1:29" x14ac:dyDescent="0.25">
      <c r="A648" s="112"/>
      <c r="B648" s="135"/>
      <c r="C648" s="113"/>
      <c r="D648" s="113"/>
      <c r="E648" s="141"/>
      <c r="F648" s="138"/>
      <c r="G648" s="137"/>
      <c r="H648" s="114"/>
      <c r="I648" s="138"/>
      <c r="J648" s="138"/>
      <c r="K648" s="138"/>
      <c r="L648" s="138"/>
      <c r="M648" s="138"/>
      <c r="N648" s="138"/>
      <c r="O648" s="138"/>
      <c r="P648" s="149"/>
      <c r="Q648" s="140"/>
      <c r="R648" s="140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20"/>
    </row>
    <row r="649" spans="1:29" x14ac:dyDescent="0.25">
      <c r="A649" s="112"/>
      <c r="B649" s="135"/>
      <c r="C649" s="113"/>
      <c r="D649" s="113"/>
      <c r="E649" s="141"/>
      <c r="F649" s="138"/>
      <c r="G649" s="137"/>
      <c r="H649" s="114"/>
      <c r="I649" s="138"/>
      <c r="J649" s="138"/>
      <c r="K649" s="138"/>
      <c r="L649" s="138"/>
      <c r="M649" s="138"/>
      <c r="N649" s="138"/>
      <c r="O649" s="138"/>
      <c r="P649" s="149"/>
      <c r="Q649" s="140"/>
      <c r="R649" s="140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20"/>
    </row>
    <row r="650" spans="1:29" x14ac:dyDescent="0.25">
      <c r="A650" s="112"/>
      <c r="B650" s="135"/>
      <c r="C650" s="113"/>
      <c r="D650" s="113"/>
      <c r="E650" s="141"/>
      <c r="F650" s="138"/>
      <c r="G650" s="137"/>
      <c r="H650" s="114"/>
      <c r="I650" s="138"/>
      <c r="J650" s="138"/>
      <c r="K650" s="138"/>
      <c r="L650" s="138"/>
      <c r="M650" s="138"/>
      <c r="N650" s="138"/>
      <c r="O650" s="138"/>
      <c r="P650" s="149"/>
      <c r="Q650" s="140"/>
      <c r="R650" s="140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20"/>
    </row>
    <row r="651" spans="1:29" x14ac:dyDescent="0.25">
      <c r="A651" s="112"/>
      <c r="B651" s="135"/>
      <c r="C651" s="113"/>
      <c r="D651" s="113"/>
      <c r="E651" s="141"/>
      <c r="F651" s="138"/>
      <c r="G651" s="137"/>
      <c r="H651" s="114"/>
      <c r="I651" s="138"/>
      <c r="J651" s="138"/>
      <c r="K651" s="138"/>
      <c r="L651" s="138"/>
      <c r="M651" s="138"/>
      <c r="N651" s="138"/>
      <c r="O651" s="138"/>
      <c r="P651" s="149"/>
      <c r="Q651" s="140"/>
      <c r="R651" s="140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20"/>
    </row>
    <row r="652" spans="1:29" x14ac:dyDescent="0.25">
      <c r="A652" s="112"/>
      <c r="B652" s="135"/>
      <c r="C652" s="113"/>
      <c r="D652" s="113"/>
      <c r="E652" s="141"/>
      <c r="F652" s="138"/>
      <c r="G652" s="137"/>
      <c r="H652" s="114"/>
      <c r="I652" s="138"/>
      <c r="J652" s="138"/>
      <c r="K652" s="138"/>
      <c r="L652" s="138"/>
      <c r="M652" s="138"/>
      <c r="N652" s="138"/>
      <c r="O652" s="138"/>
      <c r="P652" s="149"/>
      <c r="Q652" s="140"/>
      <c r="R652" s="140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20"/>
    </row>
    <row r="653" spans="1:29" x14ac:dyDescent="0.25">
      <c r="A653" s="112"/>
      <c r="B653" s="135"/>
      <c r="C653" s="113"/>
      <c r="D653" s="113"/>
      <c r="E653" s="141"/>
      <c r="F653" s="138"/>
      <c r="G653" s="137"/>
      <c r="H653" s="114"/>
      <c r="I653" s="138"/>
      <c r="J653" s="138"/>
      <c r="K653" s="138"/>
      <c r="L653" s="138"/>
      <c r="M653" s="138"/>
      <c r="N653" s="138"/>
      <c r="O653" s="138"/>
      <c r="P653" s="149"/>
      <c r="Q653" s="140"/>
      <c r="R653" s="140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20"/>
    </row>
  </sheetData>
  <autoFilter ref="A1:AC170">
    <filterColumn colId="6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9" showButton="0"/>
    <filterColumn colId="20" showButton="0"/>
    <filterColumn colId="21" showButton="0"/>
    <filterColumn colId="22" showButton="0"/>
    <filterColumn colId="23" showButton="0"/>
    <filterColumn colId="25" showButton="0"/>
    <filterColumn colId="26" showButton="0"/>
  </autoFilter>
  <mergeCells count="15">
    <mergeCell ref="T1:Y1"/>
    <mergeCell ref="Z1:AB1"/>
    <mergeCell ref="AC1:AC2"/>
    <mergeCell ref="G1:H1"/>
    <mergeCell ref="I1:I2"/>
    <mergeCell ref="J1:J2"/>
    <mergeCell ref="K1:K2"/>
    <mergeCell ref="L1:L2"/>
    <mergeCell ref="M1:S1"/>
    <mergeCell ref="F1:F2"/>
    <mergeCell ref="A1:A2"/>
    <mergeCell ref="B1:B2"/>
    <mergeCell ref="C1:C2"/>
    <mergeCell ref="D1:D2"/>
    <mergeCell ref="E1:E2"/>
  </mergeCells>
  <conditionalFormatting sqref="E130">
    <cfRule type="duplicateValues" dxfId="16" priority="5" stopIfTrue="1"/>
  </conditionalFormatting>
  <conditionalFormatting sqref="E1:E159 E162:E164 E166:E168 E171:E65536">
    <cfRule type="duplicateValues" dxfId="15" priority="4" stopIfTrue="1"/>
  </conditionalFormatting>
  <conditionalFormatting sqref="E1:E1048576">
    <cfRule type="duplicateValues" dxfId="14" priority="1" stopIfTrue="1"/>
    <cfRule type="duplicateValues" dxfId="13" priority="2" stopIfTrue="1"/>
  </conditionalFormatting>
  <pageMargins left="0.2" right="0.22" top="0.5" bottom="0.5" header="0.3" footer="0.3"/>
  <pageSetup scale="6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B25" sqref="B25"/>
    </sheetView>
  </sheetViews>
  <sheetFormatPr defaultRowHeight="15" x14ac:dyDescent="0.25"/>
  <cols>
    <col min="1" max="1" width="18.28515625" style="44" bestFit="1" customWidth="1"/>
    <col min="2" max="2" width="40.5703125" bestFit="1" customWidth="1"/>
    <col min="6" max="6" width="24.42578125" style="45" customWidth="1"/>
    <col min="7" max="7" width="8.85546875" customWidth="1"/>
    <col min="8" max="8" width="25.5703125" customWidth="1"/>
    <col min="10" max="10" width="25.5703125" customWidth="1"/>
  </cols>
  <sheetData>
    <row r="1" spans="1:10" x14ac:dyDescent="0.25">
      <c r="B1" s="45" t="s">
        <v>431</v>
      </c>
      <c r="F1" s="45" t="s">
        <v>416</v>
      </c>
      <c r="H1" s="45" t="s">
        <v>427</v>
      </c>
      <c r="J1" s="45" t="s">
        <v>417</v>
      </c>
    </row>
    <row r="2" spans="1:10" x14ac:dyDescent="0.25">
      <c r="A2" s="44" t="s">
        <v>405</v>
      </c>
      <c r="B2" t="s">
        <v>459</v>
      </c>
      <c r="F2" t="s">
        <v>428</v>
      </c>
      <c r="H2" t="s">
        <v>428</v>
      </c>
      <c r="J2" t="s">
        <v>415</v>
      </c>
    </row>
    <row r="3" spans="1:10" x14ac:dyDescent="0.25">
      <c r="A3" s="44" t="s">
        <v>388</v>
      </c>
      <c r="B3" s="47" t="s">
        <v>458</v>
      </c>
      <c r="F3" s="47" t="s">
        <v>429</v>
      </c>
      <c r="H3" s="47" t="s">
        <v>429</v>
      </c>
      <c r="J3" s="47" t="s">
        <v>414</v>
      </c>
    </row>
    <row r="4" spans="1:10" x14ac:dyDescent="0.25">
      <c r="A4" s="44" t="s">
        <v>389</v>
      </c>
      <c r="B4" s="53" t="s">
        <v>390</v>
      </c>
      <c r="F4" s="53" t="s">
        <v>390</v>
      </c>
      <c r="H4" s="53" t="s">
        <v>390</v>
      </c>
      <c r="J4" s="53" t="s">
        <v>390</v>
      </c>
    </row>
    <row r="5" spans="1:10" x14ac:dyDescent="0.25">
      <c r="A5" s="44" t="s">
        <v>385</v>
      </c>
      <c r="B5" s="45" t="str">
        <f>CONCATENATE(B3,".",B4)</f>
        <v>DVN-FP-3330-180404(MOF08+SP08-2018).xls</v>
      </c>
      <c r="F5" s="45" t="str">
        <f>CONCATENATE(F3,".",F4)</f>
        <v>DVN-FP3330-150705(SPP &amp; MOF 11).xls</v>
      </c>
      <c r="H5" s="45" t="str">
        <f>CONCATENATE(H3,".",H4)</f>
        <v>DVN-FP3330-150705(SPP &amp; MOF 11).xls</v>
      </c>
      <c r="J5" s="45" t="str">
        <f>CONCATENATE(J3,".",J4)</f>
        <v>31.PO 141201-MOF04.xls</v>
      </c>
    </row>
    <row r="6" spans="1:10" x14ac:dyDescent="0.25">
      <c r="A6" s="44" t="s">
        <v>386</v>
      </c>
      <c r="B6" s="53" t="s">
        <v>457</v>
      </c>
      <c r="F6" s="53" t="s">
        <v>387</v>
      </c>
      <c r="H6" s="53" t="s">
        <v>422</v>
      </c>
      <c r="J6" s="53"/>
    </row>
    <row r="7" spans="1:10" x14ac:dyDescent="0.25">
      <c r="A7" s="44" t="s">
        <v>396</v>
      </c>
      <c r="B7" s="53">
        <v>21</v>
      </c>
      <c r="F7" s="53">
        <v>23</v>
      </c>
      <c r="H7" s="53">
        <v>22</v>
      </c>
      <c r="J7" s="53">
        <v>21</v>
      </c>
    </row>
    <row r="8" spans="1:10" x14ac:dyDescent="0.25">
      <c r="A8" s="44" t="s">
        <v>391</v>
      </c>
      <c r="B8" s="53" t="s">
        <v>393</v>
      </c>
      <c r="F8" s="53" t="s">
        <v>393</v>
      </c>
      <c r="H8" s="53" t="s">
        <v>412</v>
      </c>
      <c r="J8" s="53" t="s">
        <v>411</v>
      </c>
    </row>
    <row r="9" spans="1:10" x14ac:dyDescent="0.25">
      <c r="B9" s="53" t="str">
        <f>"$"&amp;B8&amp;$B$7&amp;":$"&amp;B8&amp;"2000"</f>
        <v>$E21:$E2000</v>
      </c>
      <c r="F9" s="53" t="str">
        <f>"$"&amp;F8&amp;$B$7&amp;":$"&amp;F8&amp;"1000"</f>
        <v>$E21:$E1000</v>
      </c>
      <c r="H9" s="53" t="str">
        <f>"$"&amp;H8&amp;$B$7&amp;":$"&amp;H8&amp;"1000"</f>
        <v>$F21:$F1000</v>
      </c>
      <c r="J9" s="53" t="str">
        <f>"$"&amp;J8&amp;$B$7&amp;":$"&amp;J8&amp;"1000"</f>
        <v>$D21:$D1000</v>
      </c>
    </row>
    <row r="10" spans="1:10" x14ac:dyDescent="0.25">
      <c r="A10" s="44" t="s">
        <v>392</v>
      </c>
      <c r="B10" s="53" t="s">
        <v>394</v>
      </c>
      <c r="F10" s="53" t="s">
        <v>394</v>
      </c>
      <c r="H10" s="53" t="s">
        <v>397</v>
      </c>
      <c r="J10" s="53" t="s">
        <v>412</v>
      </c>
    </row>
    <row r="11" spans="1:10" x14ac:dyDescent="0.25">
      <c r="B11" s="53" t="str">
        <f>"$"&amp;B10&amp;$B$7&amp;":$"&amp;B10&amp;"2000"</f>
        <v>$G21:$G2000</v>
      </c>
      <c r="F11" s="53" t="str">
        <f>"$"&amp;F10&amp;$B$7&amp;":$"&amp;F10&amp;"1000"</f>
        <v>$G21:$G1000</v>
      </c>
      <c r="H11" s="53" t="str">
        <f>"$"&amp;H10&amp;$B$7&amp;":$"&amp;H10&amp;"1000"</f>
        <v>$H21:$H1000</v>
      </c>
      <c r="J11" s="53" t="str">
        <f>"$"&amp;J10&amp;$B$7&amp;":$"&amp;J10&amp;"1000"</f>
        <v>$F21:$F1000</v>
      </c>
    </row>
    <row r="12" spans="1:10" x14ac:dyDescent="0.25">
      <c r="A12" s="44" t="s">
        <v>395</v>
      </c>
      <c r="B12" s="53" t="s">
        <v>397</v>
      </c>
      <c r="F12" s="53" t="s">
        <v>397</v>
      </c>
      <c r="H12" s="53" t="s">
        <v>413</v>
      </c>
      <c r="J12" s="53" t="s">
        <v>394</v>
      </c>
    </row>
    <row r="13" spans="1:10" ht="17.25" customHeight="1" x14ac:dyDescent="0.25">
      <c r="B13" s="53" t="str">
        <f>"$"&amp;B12&amp;$B$7&amp;":$"&amp;B12&amp;"2000"</f>
        <v>$H21:$H2000</v>
      </c>
      <c r="F13" s="53" t="str">
        <f>"$"&amp;F12&amp;$B$7&amp;":$"&amp;F12&amp;"1000"</f>
        <v>$H21:$H1000</v>
      </c>
      <c r="H13" s="53" t="str">
        <f>"$"&amp;H12&amp;$B$7&amp;":$"&amp;H12&amp;"1000"</f>
        <v>$I21:$I1000</v>
      </c>
      <c r="J13" s="53" t="str">
        <f>"$"&amp;J12&amp;$B$7&amp;":$"&amp;J12&amp;"1000"</f>
        <v>$G21:$G1000</v>
      </c>
    </row>
    <row r="14" spans="1:10" x14ac:dyDescent="0.25">
      <c r="A14" s="44" t="s">
        <v>400</v>
      </c>
      <c r="B14" s="53" t="s">
        <v>401</v>
      </c>
      <c r="F14" s="53" t="s">
        <v>401</v>
      </c>
      <c r="H14" s="53" t="s">
        <v>424</v>
      </c>
      <c r="J14" s="53" t="s">
        <v>413</v>
      </c>
    </row>
    <row r="15" spans="1:10" x14ac:dyDescent="0.25">
      <c r="B15" s="45" t="str">
        <f>"$"&amp;B14&amp;$B$7&amp;":$"&amp;B14&amp;"2000"</f>
        <v>$J21:$J2000</v>
      </c>
      <c r="F15" s="45" t="str">
        <f>"$"&amp;F14&amp;$B$7&amp;":$"&amp;F14&amp;"1000"</f>
        <v>$J21:$J1000</v>
      </c>
      <c r="H15" s="45" t="str">
        <f>"$"&amp;H14&amp;$B$7&amp;":$"&amp;H14&amp;"1000"</f>
        <v>$K21:$K1000</v>
      </c>
      <c r="J15" s="45" t="str">
        <f>"$"&amp;J14&amp;$B$7&amp;":$"&amp;J14&amp;"1000"</f>
        <v>$I21:$I1000</v>
      </c>
    </row>
    <row r="16" spans="1:10" x14ac:dyDescent="0.25">
      <c r="A16" s="44" t="s">
        <v>402</v>
      </c>
      <c r="B16" s="81">
        <v>43221</v>
      </c>
      <c r="F16" s="49">
        <v>42217</v>
      </c>
      <c r="H16" s="49">
        <v>42217</v>
      </c>
      <c r="J16" s="49">
        <v>41974</v>
      </c>
    </row>
    <row r="17" spans="1:10" hidden="1" x14ac:dyDescent="0.25">
      <c r="A17" s="44" t="s">
        <v>398</v>
      </c>
      <c r="B17" s="82">
        <f>B16</f>
        <v>43221</v>
      </c>
      <c r="F17" s="48">
        <f>F16</f>
        <v>42217</v>
      </c>
      <c r="H17" s="48">
        <f>H16</f>
        <v>42217</v>
      </c>
      <c r="J17" s="48">
        <f>J16</f>
        <v>41974</v>
      </c>
    </row>
    <row r="18" spans="1:10" hidden="1" x14ac:dyDescent="0.25">
      <c r="A18" s="44" t="s">
        <v>399</v>
      </c>
      <c r="B18" s="82">
        <f>DATE(YEAR(B17),MONTH(B17)+1,0)</f>
        <v>43251</v>
      </c>
      <c r="F18" s="48">
        <f>DATE(YEAR(F17),MONTH(F17)+1,0)</f>
        <v>42247</v>
      </c>
      <c r="H18" s="48">
        <f>DATE(YEAR(H17),MONTH(H17)+1,0)</f>
        <v>42247</v>
      </c>
      <c r="J18" s="48">
        <f>DATE(YEAR(J17),MONTH(J17)+1,0)</f>
        <v>42004</v>
      </c>
    </row>
    <row r="19" spans="1:10" x14ac:dyDescent="0.25">
      <c r="A19" s="44" t="s">
        <v>403</v>
      </c>
      <c r="B19" s="83">
        <v>43252</v>
      </c>
      <c r="F19" s="49">
        <v>42248</v>
      </c>
      <c r="H19" s="49">
        <v>42248</v>
      </c>
      <c r="J19" s="49">
        <v>42005</v>
      </c>
    </row>
    <row r="20" spans="1:10" ht="23.25" hidden="1" customHeight="1" x14ac:dyDescent="0.25">
      <c r="A20" s="44" t="s">
        <v>398</v>
      </c>
      <c r="B20" s="84">
        <f>B19</f>
        <v>43252</v>
      </c>
      <c r="F20" s="48">
        <f>F19</f>
        <v>42248</v>
      </c>
      <c r="H20" s="48">
        <f>H19</f>
        <v>42248</v>
      </c>
      <c r="J20" s="48">
        <f>J19</f>
        <v>42005</v>
      </c>
    </row>
    <row r="21" spans="1:10" hidden="1" x14ac:dyDescent="0.25">
      <c r="A21" s="44" t="s">
        <v>399</v>
      </c>
      <c r="B21" s="84">
        <f>DATE(YEAR(B20),MONTH(B20)+1,0)</f>
        <v>43281</v>
      </c>
      <c r="F21" s="48">
        <f>DATE(YEAR(F20),MONTH(F20)+1,0)</f>
        <v>42277</v>
      </c>
      <c r="H21" s="48">
        <f>DATE(YEAR(H20),MONTH(H20)+1,0)</f>
        <v>42277</v>
      </c>
      <c r="J21" s="48">
        <f>DATE(YEAR(J20),MONTH(J20)+1,0)</f>
        <v>42035</v>
      </c>
    </row>
    <row r="22" spans="1:10" x14ac:dyDescent="0.25">
      <c r="A22" s="44" t="s">
        <v>404</v>
      </c>
      <c r="B22" s="83">
        <v>43282</v>
      </c>
      <c r="F22" s="49">
        <v>42278</v>
      </c>
      <c r="H22" s="49">
        <v>42278</v>
      </c>
      <c r="J22" s="49">
        <v>42064</v>
      </c>
    </row>
    <row r="23" spans="1:10" hidden="1" x14ac:dyDescent="0.25">
      <c r="A23" s="44" t="s">
        <v>398</v>
      </c>
      <c r="B23" s="48">
        <f>B22</f>
        <v>43282</v>
      </c>
      <c r="F23" s="48">
        <f>F22</f>
        <v>42278</v>
      </c>
      <c r="H23" s="48">
        <f>H22</f>
        <v>42278</v>
      </c>
      <c r="J23" s="48">
        <f>J22</f>
        <v>42064</v>
      </c>
    </row>
    <row r="24" spans="1:10" hidden="1" x14ac:dyDescent="0.25">
      <c r="A24" s="44" t="s">
        <v>399</v>
      </c>
      <c r="B24" s="48">
        <f>DATE(YEAR(B23),MONTH(B23)+1,0)</f>
        <v>43312</v>
      </c>
      <c r="F24" s="48">
        <f>DATE(YEAR(F23),MONTH(F23)+1,0)</f>
        <v>42308</v>
      </c>
      <c r="H24" s="48">
        <f>DATE(YEAR(H23),MONTH(H23)+1,0)</f>
        <v>42308</v>
      </c>
      <c r="J24" s="48">
        <f>DATE(YEAR(J23),MONTH(J23)+1,0)</f>
        <v>42094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356"/>
  <sheetViews>
    <sheetView tabSelected="1" zoomScaleNormal="100" workbookViewId="0">
      <pane ySplit="2" topLeftCell="A215" activePane="bottomLeft" state="frozen"/>
      <selection activeCell="G213" sqref="G213:H307"/>
      <selection pane="bottomLeft" activeCell="H3" sqref="H3:H227"/>
    </sheetView>
  </sheetViews>
  <sheetFormatPr defaultRowHeight="15" x14ac:dyDescent="0.25"/>
  <cols>
    <col min="1" max="1" width="5" bestFit="1" customWidth="1"/>
    <col min="2" max="2" width="21.140625" style="169" customWidth="1"/>
    <col min="3" max="3" width="13.7109375" style="46" customWidth="1"/>
    <col min="4" max="4" width="16" style="45" customWidth="1"/>
    <col min="5" max="7" width="13.7109375" style="59" customWidth="1"/>
    <col min="8" max="8" width="15.7109375" style="96" customWidth="1"/>
    <col min="9" max="9" width="15.5703125" customWidth="1"/>
    <col min="12" max="12" width="11.42578125" bestFit="1" customWidth="1"/>
    <col min="13" max="13" width="10.140625" bestFit="1" customWidth="1"/>
  </cols>
  <sheetData>
    <row r="1" spans="1:13" ht="26.25" customHeight="1" x14ac:dyDescent="0.25">
      <c r="A1" s="92" t="s">
        <v>469</v>
      </c>
      <c r="B1" s="167" t="s">
        <v>468</v>
      </c>
      <c r="C1" s="89" t="s">
        <v>463</v>
      </c>
      <c r="D1" s="91" t="s">
        <v>382</v>
      </c>
      <c r="E1" s="89" t="s">
        <v>464</v>
      </c>
      <c r="F1" s="89" t="s">
        <v>465</v>
      </c>
      <c r="G1" s="90" t="s">
        <v>466</v>
      </c>
      <c r="H1" s="93" t="s">
        <v>467</v>
      </c>
      <c r="I1" t="s">
        <v>470</v>
      </c>
    </row>
    <row r="2" spans="1:13" s="65" customFormat="1" ht="31.5" customHeight="1" x14ac:dyDescent="0.25">
      <c r="B2" s="168"/>
      <c r="C2" s="66"/>
      <c r="D2" s="67"/>
      <c r="E2" s="174">
        <f t="shared" ref="E2" ca="1" si="0">SUM(E3:E500)</f>
        <v>24500</v>
      </c>
      <c r="F2" s="174"/>
      <c r="G2" s="155">
        <f ca="1">SUM(G3:G500)</f>
        <v>12760.746000000003</v>
      </c>
      <c r="H2" s="94"/>
      <c r="I2" s="71"/>
      <c r="M2" s="65" t="s">
        <v>471</v>
      </c>
    </row>
    <row r="3" spans="1:13" x14ac:dyDescent="0.25">
      <c r="A3" s="1">
        <v>1</v>
      </c>
      <c r="B3" s="175" t="str">
        <f ca="1">IFERROR( VLOOKUP(A3, INDIRECT( $I$1&amp;"!$A$4:$C$2000"),3,0),"")</f>
        <v>VB02373</v>
      </c>
      <c r="C3" s="88">
        <f ca="1">IF(B3="","",VLOOKUP(A3, INDIRECT( $I$1&amp;"!$A$4:$E$2000"),5,0))</f>
        <v>742513200</v>
      </c>
      <c r="D3" s="56" t="str">
        <f ca="1">IF(C3="","",IFERROR(VLOOKUP(C3,'[1]BẢNG MÃ RING'!$A$2:$C$322,2,0),0))</f>
        <v>7425-17-14.95</v>
      </c>
      <c r="E3" s="60">
        <f t="shared" ref="E3:E66" ca="1" si="1">IF(B3="","",VLOOKUP(A3, INDIRECT( $I$1&amp;"!$A$4:$G$2000"),7,0))</f>
        <v>40</v>
      </c>
      <c r="F3" s="60">
        <f ca="1">IF(B3="","",VLOOKUP(A3, INDIRECT( $I$1&amp;"!$A$4:$H$2000"),8,0))</f>
        <v>0.48299999999999998</v>
      </c>
      <c r="G3" s="60">
        <f ca="1">F3*E3</f>
        <v>19.32</v>
      </c>
      <c r="H3" s="95">
        <f ca="1">VLOOKUP(C3,data!E4:J106,6,0)</f>
        <v>44539</v>
      </c>
      <c r="I3">
        <f ca="1">COUNTIF($D$3:$D$208,D3)</f>
        <v>2</v>
      </c>
      <c r="K3" s="208"/>
    </row>
    <row r="4" spans="1:13" x14ac:dyDescent="0.25">
      <c r="A4" s="1">
        <f t="shared" ref="A4:A67" si="2">IF(A3="",1,A3+1)</f>
        <v>2</v>
      </c>
      <c r="B4" s="175" t="str">
        <f t="shared" ref="B4:B67" ca="1" si="3">IFERROR( VLOOKUP(A4, INDIRECT( $I$1&amp;"!$A$4:$C$2000"),3,0),"")</f>
        <v>VB02374</v>
      </c>
      <c r="C4" s="88">
        <f t="shared" ref="C4:C66" ca="1" si="4">IF(B4="","",VLOOKUP(A4, INDIRECT( $I$1&amp;"!$A$4:$E$2000"),5,0))</f>
        <v>742513200</v>
      </c>
      <c r="D4" s="56" t="str">
        <f ca="1">IF(C4="","",IFERROR(VLOOKUP(C4,'[1]BẢNG MÃ RING'!$A$2:$C$322,2,0),0))</f>
        <v>7425-17-14.95</v>
      </c>
      <c r="E4" s="60">
        <f t="shared" ca="1" si="1"/>
        <v>110</v>
      </c>
      <c r="F4" s="60">
        <f t="shared" ref="F4:F66" ca="1" si="5">IF(B4="","",VLOOKUP(A4, INDIRECT( $I$1&amp;"!$A$4:$H$2000"),8,0))</f>
        <v>0.48299999999999998</v>
      </c>
      <c r="G4" s="60">
        <f t="shared" ref="G4:G67" ca="1" si="6">F4*E4</f>
        <v>53.129999999999995</v>
      </c>
      <c r="H4" s="95">
        <f ca="1">VLOOKUP(C4,data!E5:J107,6,0)</f>
        <v>44539</v>
      </c>
      <c r="I4">
        <f t="shared" ref="I4:I66" ca="1" si="7">COUNTIF($D$3:$D$208,D4)</f>
        <v>2</v>
      </c>
      <c r="K4" s="208"/>
    </row>
    <row r="5" spans="1:13" x14ac:dyDescent="0.25">
      <c r="A5" s="1">
        <f t="shared" si="2"/>
        <v>3</v>
      </c>
      <c r="B5" s="175" t="str">
        <f t="shared" ca="1" si="3"/>
        <v>VB02373</v>
      </c>
      <c r="C5" s="88">
        <f t="shared" ca="1" si="4"/>
        <v>742513300</v>
      </c>
      <c r="D5" s="56" t="str">
        <f ca="1">IF(C5="","",IFERROR(VLOOKUP(C5,'[1]BẢNG MÃ RING'!$A$2:$C$322,2,0),0))</f>
        <v>7425-26.8-24.8</v>
      </c>
      <c r="E5" s="60">
        <f t="shared" ca="1" si="1"/>
        <v>80</v>
      </c>
      <c r="F5" s="60">
        <f t="shared" ca="1" si="5"/>
        <v>0.5635</v>
      </c>
      <c r="G5" s="60">
        <f t="shared" ca="1" si="6"/>
        <v>45.08</v>
      </c>
      <c r="H5" s="95">
        <f ca="1">VLOOKUP(C5,data!E6:J108,6,0)</f>
        <v>44539</v>
      </c>
      <c r="I5">
        <f t="shared" ca="1" si="7"/>
        <v>2</v>
      </c>
      <c r="K5" s="208"/>
    </row>
    <row r="6" spans="1:13" x14ac:dyDescent="0.25">
      <c r="A6" s="1">
        <f t="shared" si="2"/>
        <v>4</v>
      </c>
      <c r="B6" s="175" t="str">
        <f t="shared" ca="1" si="3"/>
        <v>VB02374</v>
      </c>
      <c r="C6" s="88">
        <f t="shared" ca="1" si="4"/>
        <v>742513300</v>
      </c>
      <c r="D6" s="56" t="str">
        <f ca="1">IF(C6="","",IFERROR(VLOOKUP(C6,'[1]BẢNG MÃ RING'!$A$2:$C$322,2,0),0))</f>
        <v>7425-26.8-24.8</v>
      </c>
      <c r="E6" s="60">
        <f t="shared" ca="1" si="1"/>
        <v>110</v>
      </c>
      <c r="F6" s="60">
        <f t="shared" ca="1" si="5"/>
        <v>0.5635</v>
      </c>
      <c r="G6" s="60">
        <f t="shared" ca="1" si="6"/>
        <v>61.984999999999999</v>
      </c>
      <c r="H6" s="95">
        <f ca="1">VLOOKUP(C6,data!E7:J109,6,0)</f>
        <v>44539</v>
      </c>
      <c r="I6">
        <f t="shared" ca="1" si="7"/>
        <v>2</v>
      </c>
      <c r="K6" s="208"/>
    </row>
    <row r="7" spans="1:13" x14ac:dyDescent="0.25">
      <c r="A7" s="1">
        <f t="shared" si="2"/>
        <v>5</v>
      </c>
      <c r="B7" s="175" t="str">
        <f t="shared" ca="1" si="3"/>
        <v>VB02373</v>
      </c>
      <c r="C7" s="88">
        <f t="shared" ca="1" si="4"/>
        <v>742513400</v>
      </c>
      <c r="D7" s="56" t="str">
        <f ca="1">IF(C7="","",IFERROR(VLOOKUP(C7,'[1]BẢNG MÃ RING'!$A$2:$C$322,2,0),0))</f>
        <v>7425-26-17.1</v>
      </c>
      <c r="E7" s="60">
        <f t="shared" ca="1" si="1"/>
        <v>80</v>
      </c>
      <c r="F7" s="60">
        <f t="shared" ca="1" si="5"/>
        <v>0.5</v>
      </c>
      <c r="G7" s="60">
        <f t="shared" ca="1" si="6"/>
        <v>40</v>
      </c>
      <c r="H7" s="95">
        <f ca="1">VLOOKUP(C7,data!E8:J110,6,0)</f>
        <v>44539</v>
      </c>
      <c r="I7">
        <f t="shared" ca="1" si="7"/>
        <v>2</v>
      </c>
      <c r="K7" s="208"/>
    </row>
    <row r="8" spans="1:13" x14ac:dyDescent="0.25">
      <c r="A8" s="1">
        <f t="shared" si="2"/>
        <v>6</v>
      </c>
      <c r="B8" s="175" t="str">
        <f t="shared" ca="1" si="3"/>
        <v>VB02374</v>
      </c>
      <c r="C8" s="88">
        <f t="shared" ca="1" si="4"/>
        <v>742513400</v>
      </c>
      <c r="D8" s="56" t="str">
        <f ca="1">IF(C8="","",IFERROR(VLOOKUP(C8,'[1]BẢNG MÃ RING'!$A$2:$C$322,2,0),0))</f>
        <v>7425-26-17.1</v>
      </c>
      <c r="E8" s="60">
        <f t="shared" ca="1" si="1"/>
        <v>110</v>
      </c>
      <c r="F8" s="60">
        <f t="shared" ca="1" si="5"/>
        <v>0.5</v>
      </c>
      <c r="G8" s="60">
        <f t="shared" ca="1" si="6"/>
        <v>55</v>
      </c>
      <c r="H8" s="95">
        <f ca="1">VLOOKUP(C8,data!E9:J111,6,0)</f>
        <v>44539</v>
      </c>
      <c r="I8">
        <f t="shared" ca="1" si="7"/>
        <v>2</v>
      </c>
      <c r="K8" s="208"/>
    </row>
    <row r="9" spans="1:13" x14ac:dyDescent="0.25">
      <c r="A9" s="1">
        <f t="shared" si="2"/>
        <v>7</v>
      </c>
      <c r="B9" s="175" t="str">
        <f t="shared" ca="1" si="3"/>
        <v>VB02373</v>
      </c>
      <c r="C9" s="88">
        <f t="shared" ca="1" si="4"/>
        <v>742513500</v>
      </c>
      <c r="D9" s="56" t="str">
        <f ca="1">IF(C9="","",IFERROR(VLOOKUP(C9,'[1]BẢNG MÃ RING'!$A$2:$C$322,2,0),0))</f>
        <v>7425-17.5-14.95</v>
      </c>
      <c r="E9" s="60">
        <f t="shared" ca="1" si="1"/>
        <v>160</v>
      </c>
      <c r="F9" s="60">
        <f t="shared" ca="1" si="5"/>
        <v>0.33</v>
      </c>
      <c r="G9" s="60">
        <f t="shared" ca="1" si="6"/>
        <v>52.800000000000004</v>
      </c>
      <c r="H9" s="95">
        <f ca="1">VLOOKUP(C9,data!E10:J112,6,0)</f>
        <v>44539</v>
      </c>
      <c r="I9">
        <f t="shared" ca="1" si="7"/>
        <v>2</v>
      </c>
      <c r="K9" s="208"/>
    </row>
    <row r="10" spans="1:13" x14ac:dyDescent="0.25">
      <c r="A10" s="1">
        <f t="shared" si="2"/>
        <v>8</v>
      </c>
      <c r="B10" s="175" t="str">
        <f t="shared" ca="1" si="3"/>
        <v>VB02374</v>
      </c>
      <c r="C10" s="88">
        <f t="shared" ca="1" si="4"/>
        <v>742513500</v>
      </c>
      <c r="D10" s="56" t="str">
        <f ca="1">IF(C10="","",IFERROR(VLOOKUP(C10,'[1]BẢNG MÃ RING'!$A$2:$C$322,2,0),0))</f>
        <v>7425-17.5-14.95</v>
      </c>
      <c r="E10" s="60">
        <f t="shared" ca="1" si="1"/>
        <v>220</v>
      </c>
      <c r="F10" s="60">
        <f t="shared" ca="1" si="5"/>
        <v>0.33</v>
      </c>
      <c r="G10" s="60">
        <f t="shared" ca="1" si="6"/>
        <v>72.600000000000009</v>
      </c>
      <c r="H10" s="95">
        <f ca="1">VLOOKUP(C10,data!E11:J113,6,0)</f>
        <v>44539</v>
      </c>
      <c r="I10">
        <f t="shared" ca="1" si="7"/>
        <v>2</v>
      </c>
      <c r="K10" s="208"/>
    </row>
    <row r="11" spans="1:13" x14ac:dyDescent="0.25">
      <c r="A11" s="1">
        <f t="shared" si="2"/>
        <v>9</v>
      </c>
      <c r="B11" s="175" t="str">
        <f t="shared" ca="1" si="3"/>
        <v>VB02375</v>
      </c>
      <c r="C11" s="88">
        <f t="shared" ca="1" si="4"/>
        <v>742514400</v>
      </c>
      <c r="D11" s="56" t="str">
        <f ca="1">IF(C11="","",IFERROR(VLOOKUP(C11,'[1]BẢNG MÃ RING'!$A$2:$C$322,2,0),0))</f>
        <v>7425-16.5-12</v>
      </c>
      <c r="E11" s="60">
        <f t="shared" ca="1" si="1"/>
        <v>90</v>
      </c>
      <c r="F11" s="60">
        <f t="shared" ca="1" si="5"/>
        <v>0.45</v>
      </c>
      <c r="G11" s="60">
        <f t="shared" ca="1" si="6"/>
        <v>40.5</v>
      </c>
      <c r="H11" s="95">
        <f ca="1">VLOOKUP(C11,data!E12:J114,6,0)</f>
        <v>44539</v>
      </c>
      <c r="I11">
        <f t="shared" ca="1" si="7"/>
        <v>1</v>
      </c>
      <c r="K11" s="208"/>
    </row>
    <row r="12" spans="1:13" x14ac:dyDescent="0.25">
      <c r="A12" s="1">
        <f t="shared" si="2"/>
        <v>10</v>
      </c>
      <c r="B12" s="175" t="str">
        <f t="shared" ca="1" si="3"/>
        <v>VB02375</v>
      </c>
      <c r="C12" s="88">
        <f t="shared" ca="1" si="4"/>
        <v>742514500</v>
      </c>
      <c r="D12" s="56" t="str">
        <f ca="1">IF(C12="","",IFERROR(VLOOKUP(C12,'[1]BẢNG MÃ RING'!$A$2:$C$322,2,0),0))</f>
        <v>7425-22-20.6</v>
      </c>
      <c r="E12" s="60">
        <f t="shared" ca="1" si="1"/>
        <v>80</v>
      </c>
      <c r="F12" s="60">
        <f t="shared" ca="1" si="5"/>
        <v>0.4</v>
      </c>
      <c r="G12" s="60">
        <f t="shared" ca="1" si="6"/>
        <v>32</v>
      </c>
      <c r="H12" s="95">
        <f ca="1">VLOOKUP(C12,data!E13:J115,6,0)</f>
        <v>44539</v>
      </c>
      <c r="I12">
        <f t="shared" ca="1" si="7"/>
        <v>1</v>
      </c>
      <c r="K12" s="208"/>
    </row>
    <row r="13" spans="1:13" x14ac:dyDescent="0.25">
      <c r="A13" s="1">
        <f t="shared" si="2"/>
        <v>11</v>
      </c>
      <c r="B13" s="175" t="str">
        <f t="shared" ca="1" si="3"/>
        <v>VB02393</v>
      </c>
      <c r="C13" s="88">
        <f t="shared" ca="1" si="4"/>
        <v>742517000</v>
      </c>
      <c r="D13" s="56" t="str">
        <f ca="1">IF(C13="","",IFERROR(VLOOKUP(C13,'[1]BẢNG MÃ RING'!$A$2:$C$322,2,0),0))</f>
        <v>7425-19.5-17.05</v>
      </c>
      <c r="E13" s="60">
        <f t="shared" ca="1" si="1"/>
        <v>10</v>
      </c>
      <c r="F13" s="60">
        <f t="shared" ca="1" si="5"/>
        <v>0.49</v>
      </c>
      <c r="G13" s="60">
        <f t="shared" ca="1" si="6"/>
        <v>4.9000000000000004</v>
      </c>
      <c r="H13" s="95">
        <f ca="1">VLOOKUP(C13,data!E14:J116,6,0)</f>
        <v>44560</v>
      </c>
      <c r="I13">
        <f t="shared" ca="1" si="7"/>
        <v>4</v>
      </c>
      <c r="K13" s="208"/>
    </row>
    <row r="14" spans="1:13" x14ac:dyDescent="0.25">
      <c r="A14" s="1">
        <f t="shared" si="2"/>
        <v>12</v>
      </c>
      <c r="B14" s="175" t="str">
        <f t="shared" ca="1" si="3"/>
        <v>VB02394</v>
      </c>
      <c r="C14" s="88">
        <f t="shared" ca="1" si="4"/>
        <v>742517000</v>
      </c>
      <c r="D14" s="56" t="str">
        <f ca="1">IF(C14="","",IFERROR(VLOOKUP(C14,'[1]BẢNG MÃ RING'!$A$2:$C$322,2,0),0))</f>
        <v>7425-19.5-17.05</v>
      </c>
      <c r="E14" s="60">
        <f t="shared" ca="1" si="1"/>
        <v>220</v>
      </c>
      <c r="F14" s="60">
        <f t="shared" ca="1" si="5"/>
        <v>0.49</v>
      </c>
      <c r="G14" s="60">
        <f t="shared" ca="1" si="6"/>
        <v>107.8</v>
      </c>
      <c r="H14" s="95">
        <f ca="1">VLOOKUP(C14,data!E15:J117,6,0)</f>
        <v>44560</v>
      </c>
      <c r="I14">
        <f ca="1">COUNTIF($D$3:$D$208,D14)</f>
        <v>4</v>
      </c>
      <c r="K14" s="208"/>
    </row>
    <row r="15" spans="1:13" x14ac:dyDescent="0.25">
      <c r="A15" s="1">
        <f t="shared" si="2"/>
        <v>13</v>
      </c>
      <c r="B15" s="175" t="str">
        <f t="shared" ca="1" si="3"/>
        <v>VB02395</v>
      </c>
      <c r="C15" s="88">
        <f t="shared" ca="1" si="4"/>
        <v>742517000</v>
      </c>
      <c r="D15" s="56" t="str">
        <f ca="1">IF(C15="","",IFERROR(VLOOKUP(C15,'[1]BẢNG MÃ RING'!$A$2:$C$322,2,0),0))</f>
        <v>7425-19.5-17.05</v>
      </c>
      <c r="E15" s="60">
        <f t="shared" ca="1" si="1"/>
        <v>110</v>
      </c>
      <c r="F15" s="60">
        <f t="shared" ca="1" si="5"/>
        <v>0.49</v>
      </c>
      <c r="G15" s="60">
        <f t="shared" ca="1" si="6"/>
        <v>53.9</v>
      </c>
      <c r="H15" s="95">
        <f ca="1">VLOOKUP(C15,data!E16:J118,6,0)</f>
        <v>44560</v>
      </c>
      <c r="I15">
        <f t="shared" ca="1" si="7"/>
        <v>4</v>
      </c>
      <c r="K15" s="208"/>
    </row>
    <row r="16" spans="1:13" x14ac:dyDescent="0.25">
      <c r="A16" s="1">
        <f t="shared" si="2"/>
        <v>14</v>
      </c>
      <c r="B16" s="175" t="str">
        <f t="shared" ca="1" si="3"/>
        <v>VB02396</v>
      </c>
      <c r="C16" s="88">
        <f t="shared" ca="1" si="4"/>
        <v>742517000</v>
      </c>
      <c r="D16" s="56" t="str">
        <f ca="1">IF(C16="","",IFERROR(VLOOKUP(C16,'[1]BẢNG MÃ RING'!$A$2:$C$322,2,0),0))</f>
        <v>7425-19.5-17.05</v>
      </c>
      <c r="E16" s="60">
        <f t="shared" ca="1" si="1"/>
        <v>110</v>
      </c>
      <c r="F16" s="60">
        <f t="shared" ca="1" si="5"/>
        <v>0.49</v>
      </c>
      <c r="G16" s="60">
        <f t="shared" ca="1" si="6"/>
        <v>53.9</v>
      </c>
      <c r="H16" s="95">
        <f ca="1">VLOOKUP(C16,data!E17:J119,6,0)</f>
        <v>44560</v>
      </c>
      <c r="I16">
        <f t="shared" ca="1" si="7"/>
        <v>4</v>
      </c>
      <c r="K16" s="208"/>
    </row>
    <row r="17" spans="1:11" x14ac:dyDescent="0.25">
      <c r="A17" s="1">
        <f t="shared" si="2"/>
        <v>15</v>
      </c>
      <c r="B17" s="175" t="str">
        <f t="shared" ca="1" si="3"/>
        <v>VB02394</v>
      </c>
      <c r="C17" s="88">
        <f t="shared" ca="1" si="4"/>
        <v>742517010</v>
      </c>
      <c r="D17" s="56" t="str">
        <f ca="1">IF(C17="","",IFERROR(VLOOKUP(C17,'[1]BẢNG MÃ RING'!$A$2:$C$322,2,0),0))</f>
        <v>7425-19.5-16.95</v>
      </c>
      <c r="E17" s="60">
        <f t="shared" ca="1" si="1"/>
        <v>70</v>
      </c>
      <c r="F17" s="60">
        <f t="shared" ca="1" si="5"/>
        <v>0.49</v>
      </c>
      <c r="G17" s="60">
        <f t="shared" ca="1" si="6"/>
        <v>34.299999999999997</v>
      </c>
      <c r="H17" s="95">
        <f ca="1">VLOOKUP(C17,data!E18:J120,6,0)</f>
        <v>44560</v>
      </c>
      <c r="I17">
        <f t="shared" ca="1" si="7"/>
        <v>3</v>
      </c>
      <c r="K17" s="208"/>
    </row>
    <row r="18" spans="1:11" x14ac:dyDescent="0.25">
      <c r="A18" s="1">
        <f t="shared" si="2"/>
        <v>16</v>
      </c>
      <c r="B18" s="175" t="str">
        <f t="shared" ca="1" si="3"/>
        <v>VB02395</v>
      </c>
      <c r="C18" s="88">
        <f t="shared" ca="1" si="4"/>
        <v>742517010</v>
      </c>
      <c r="D18" s="56" t="str">
        <f ca="1">IF(C18="","",IFERROR(VLOOKUP(C18,'[1]BẢNG MÃ RING'!$A$2:$C$322,2,0),0))</f>
        <v>7425-19.5-16.95</v>
      </c>
      <c r="E18" s="60">
        <f t="shared" ca="1" si="1"/>
        <v>110</v>
      </c>
      <c r="F18" s="60">
        <f t="shared" ca="1" si="5"/>
        <v>0.49</v>
      </c>
      <c r="G18" s="60">
        <f t="shared" ca="1" si="6"/>
        <v>53.9</v>
      </c>
      <c r="H18" s="95">
        <f ca="1">VLOOKUP(C18,data!E19:J121,6,0)</f>
        <v>44560</v>
      </c>
      <c r="I18">
        <f t="shared" ca="1" si="7"/>
        <v>3</v>
      </c>
      <c r="K18" s="208"/>
    </row>
    <row r="19" spans="1:11" x14ac:dyDescent="0.25">
      <c r="A19" s="1">
        <f t="shared" si="2"/>
        <v>17</v>
      </c>
      <c r="B19" s="175" t="str">
        <f t="shared" ca="1" si="3"/>
        <v>VB02396</v>
      </c>
      <c r="C19" s="88">
        <f t="shared" ca="1" si="4"/>
        <v>742517010</v>
      </c>
      <c r="D19" s="56" t="str">
        <f ca="1">IF(C19="","",IFERROR(VLOOKUP(C19,'[1]BẢNG MÃ RING'!$A$2:$C$322,2,0),0))</f>
        <v>7425-19.5-16.95</v>
      </c>
      <c r="E19" s="60">
        <f t="shared" ca="1" si="1"/>
        <v>110</v>
      </c>
      <c r="F19" s="60">
        <f t="shared" ca="1" si="5"/>
        <v>0.49</v>
      </c>
      <c r="G19" s="60">
        <f t="shared" ca="1" si="6"/>
        <v>53.9</v>
      </c>
      <c r="H19" s="95">
        <f ca="1">VLOOKUP(C19,data!E20:J122,6,0)</f>
        <v>44560</v>
      </c>
      <c r="I19">
        <f t="shared" ca="1" si="7"/>
        <v>3</v>
      </c>
      <c r="K19" s="208"/>
    </row>
    <row r="20" spans="1:11" x14ac:dyDescent="0.25">
      <c r="A20" s="1">
        <f t="shared" si="2"/>
        <v>18</v>
      </c>
      <c r="B20" s="175" t="str">
        <f t="shared" ca="1" si="3"/>
        <v>VB02393</v>
      </c>
      <c r="C20" s="88">
        <f t="shared" ca="1" si="4"/>
        <v>742517200</v>
      </c>
      <c r="D20" s="56" t="str">
        <f ca="1">IF(C20="","",IFERROR(VLOOKUP(C20,'[1]BẢNG MÃ RING'!$A$2:$C$322,2,0),0))</f>
        <v>7425-19.4-17.05</v>
      </c>
      <c r="E20" s="60">
        <f t="shared" ca="1" si="1"/>
        <v>110</v>
      </c>
      <c r="F20" s="60">
        <f t="shared" ca="1" si="5"/>
        <v>0.52</v>
      </c>
      <c r="G20" s="60">
        <f t="shared" ca="1" si="6"/>
        <v>57.2</v>
      </c>
      <c r="H20" s="95">
        <f ca="1">VLOOKUP(C20,data!E21:J123,6,0)</f>
        <v>44560</v>
      </c>
      <c r="I20">
        <f t="shared" ca="1" si="7"/>
        <v>4</v>
      </c>
      <c r="K20" s="208"/>
    </row>
    <row r="21" spans="1:11" x14ac:dyDescent="0.25">
      <c r="A21" s="1">
        <f t="shared" si="2"/>
        <v>19</v>
      </c>
      <c r="B21" s="175" t="str">
        <f t="shared" ca="1" si="3"/>
        <v>VB02394</v>
      </c>
      <c r="C21" s="88">
        <f t="shared" ca="1" si="4"/>
        <v>742517200</v>
      </c>
      <c r="D21" s="56" t="str">
        <f ca="1">IF(C21="","",IFERROR(VLOOKUP(C21,'[1]BẢNG MÃ RING'!$A$2:$C$322,2,0),0))</f>
        <v>7425-19.4-17.05</v>
      </c>
      <c r="E21" s="60">
        <f t="shared" ca="1" si="1"/>
        <v>220</v>
      </c>
      <c r="F21" s="60">
        <f t="shared" ca="1" si="5"/>
        <v>0.52</v>
      </c>
      <c r="G21" s="60">
        <f t="shared" ca="1" si="6"/>
        <v>114.4</v>
      </c>
      <c r="H21" s="95">
        <f ca="1">VLOOKUP(C21,data!E22:J124,6,0)</f>
        <v>44560</v>
      </c>
      <c r="I21">
        <f t="shared" ca="1" si="7"/>
        <v>4</v>
      </c>
      <c r="K21" s="208"/>
    </row>
    <row r="22" spans="1:11" x14ac:dyDescent="0.25">
      <c r="A22" s="1">
        <f t="shared" si="2"/>
        <v>20</v>
      </c>
      <c r="B22" s="175" t="str">
        <f t="shared" ca="1" si="3"/>
        <v>VB02395</v>
      </c>
      <c r="C22" s="88">
        <f t="shared" ca="1" si="4"/>
        <v>742517200</v>
      </c>
      <c r="D22" s="56" t="str">
        <f ca="1">IF(C22="","",IFERROR(VLOOKUP(C22,'[1]BẢNG MÃ RING'!$A$2:$C$322,2,0),0))</f>
        <v>7425-19.4-17.05</v>
      </c>
      <c r="E22" s="60">
        <f t="shared" ca="1" si="1"/>
        <v>110</v>
      </c>
      <c r="F22" s="60">
        <f t="shared" ca="1" si="5"/>
        <v>0.52</v>
      </c>
      <c r="G22" s="60">
        <f t="shared" ca="1" si="6"/>
        <v>57.2</v>
      </c>
      <c r="H22" s="95">
        <f ca="1">VLOOKUP(C22,data!E23:J125,6,0)</f>
        <v>44560</v>
      </c>
      <c r="I22">
        <f t="shared" ca="1" si="7"/>
        <v>4</v>
      </c>
      <c r="K22" s="208"/>
    </row>
    <row r="23" spans="1:11" x14ac:dyDescent="0.25">
      <c r="A23" s="1">
        <f t="shared" si="2"/>
        <v>21</v>
      </c>
      <c r="B23" s="175" t="str">
        <f t="shared" ca="1" si="3"/>
        <v>VB02396</v>
      </c>
      <c r="C23" s="88">
        <f t="shared" ca="1" si="4"/>
        <v>742517200</v>
      </c>
      <c r="D23" s="56" t="str">
        <f ca="1">IF(C23="","",IFERROR(VLOOKUP(C23,'[1]BẢNG MÃ RING'!$A$2:$C$322,2,0),0))</f>
        <v>7425-19.4-17.05</v>
      </c>
      <c r="E23" s="60">
        <f t="shared" ca="1" si="1"/>
        <v>110</v>
      </c>
      <c r="F23" s="60">
        <f t="shared" ca="1" si="5"/>
        <v>0.52</v>
      </c>
      <c r="G23" s="60">
        <f t="shared" ca="1" si="6"/>
        <v>57.2</v>
      </c>
      <c r="H23" s="95">
        <f ca="1">VLOOKUP(C23,data!E24:J126,6,0)</f>
        <v>44560</v>
      </c>
      <c r="I23">
        <f t="shared" ca="1" si="7"/>
        <v>4</v>
      </c>
      <c r="K23" s="208"/>
    </row>
    <row r="24" spans="1:11" x14ac:dyDescent="0.25">
      <c r="A24" s="1">
        <f t="shared" si="2"/>
        <v>22</v>
      </c>
      <c r="B24" s="175" t="str">
        <f t="shared" ca="1" si="3"/>
        <v>VB02394</v>
      </c>
      <c r="C24" s="88">
        <f t="shared" ca="1" si="4"/>
        <v>742517300</v>
      </c>
      <c r="D24" s="56" t="str">
        <f ca="1">IF(C24="","",IFERROR(VLOOKUP(C24,'[1]BẢNG MÃ RING'!$A$2:$C$322,2,0),0))</f>
        <v>7425-26.5-21.95</v>
      </c>
      <c r="E24" s="60">
        <f t="shared" ca="1" si="1"/>
        <v>190</v>
      </c>
      <c r="F24" s="60">
        <f t="shared" ca="1" si="5"/>
        <v>0.5</v>
      </c>
      <c r="G24" s="60">
        <f t="shared" ca="1" si="6"/>
        <v>95</v>
      </c>
      <c r="H24" s="95">
        <f ca="1">VLOOKUP(C24,data!E25:J127,6,0)</f>
        <v>44560</v>
      </c>
      <c r="I24">
        <f t="shared" ca="1" si="7"/>
        <v>3</v>
      </c>
      <c r="K24" s="208"/>
    </row>
    <row r="25" spans="1:11" x14ac:dyDescent="0.25">
      <c r="A25" s="1">
        <f t="shared" si="2"/>
        <v>23</v>
      </c>
      <c r="B25" s="175" t="str">
        <f t="shared" ca="1" si="3"/>
        <v>VB02395</v>
      </c>
      <c r="C25" s="88">
        <f t="shared" ca="1" si="4"/>
        <v>742517300</v>
      </c>
      <c r="D25" s="56" t="str">
        <f ca="1">IF(C25="","",IFERROR(VLOOKUP(C25,'[1]BẢNG MÃ RING'!$A$2:$C$322,2,0),0))</f>
        <v>7425-26.5-21.95</v>
      </c>
      <c r="E25" s="60">
        <f t="shared" ca="1" si="1"/>
        <v>110</v>
      </c>
      <c r="F25" s="60">
        <f t="shared" ca="1" si="5"/>
        <v>0.5</v>
      </c>
      <c r="G25" s="60">
        <f t="shared" ca="1" si="6"/>
        <v>55</v>
      </c>
      <c r="H25" s="95">
        <f ca="1">VLOOKUP(C25,data!E26:J128,6,0)</f>
        <v>44560</v>
      </c>
      <c r="I25">
        <f t="shared" ca="1" si="7"/>
        <v>3</v>
      </c>
      <c r="K25" s="208"/>
    </row>
    <row r="26" spans="1:11" x14ac:dyDescent="0.25">
      <c r="A26" s="1">
        <f t="shared" si="2"/>
        <v>24</v>
      </c>
      <c r="B26" s="175" t="str">
        <f t="shared" ca="1" si="3"/>
        <v>VB02396</v>
      </c>
      <c r="C26" s="88">
        <f t="shared" ca="1" si="4"/>
        <v>742517300</v>
      </c>
      <c r="D26" s="56" t="str">
        <f ca="1">IF(C26="","",IFERROR(VLOOKUP(C26,'[1]BẢNG MÃ RING'!$A$2:$C$322,2,0),0))</f>
        <v>7425-26.5-21.95</v>
      </c>
      <c r="E26" s="60">
        <f t="shared" ca="1" si="1"/>
        <v>110</v>
      </c>
      <c r="F26" s="60">
        <f t="shared" ca="1" si="5"/>
        <v>0.5</v>
      </c>
      <c r="G26" s="60">
        <f t="shared" ca="1" si="6"/>
        <v>55</v>
      </c>
      <c r="H26" s="95">
        <f ca="1">VLOOKUP(C26,data!E27:J129,6,0)</f>
        <v>44560</v>
      </c>
      <c r="I26">
        <f t="shared" ca="1" si="7"/>
        <v>3</v>
      </c>
      <c r="K26" s="208"/>
    </row>
    <row r="27" spans="1:11" x14ac:dyDescent="0.25">
      <c r="A27" s="1">
        <f t="shared" si="2"/>
        <v>25</v>
      </c>
      <c r="B27" s="175" t="str">
        <f t="shared" ca="1" si="3"/>
        <v>VB02585</v>
      </c>
      <c r="C27" s="88">
        <f t="shared" ca="1" si="4"/>
        <v>742529300</v>
      </c>
      <c r="D27" s="56" t="str">
        <f ca="1">IF(C27="","",IFERROR(VLOOKUP(C27,'[1]BẢNG MÃ RING'!$A$2:$C$322,2,0),0))</f>
        <v>7425-26.9-24.7</v>
      </c>
      <c r="E27" s="60">
        <f t="shared" ca="1" si="1"/>
        <v>70</v>
      </c>
      <c r="F27" s="60">
        <f t="shared" ca="1" si="5"/>
        <v>0.48</v>
      </c>
      <c r="G27" s="60">
        <f t="shared" ca="1" si="6"/>
        <v>33.6</v>
      </c>
      <c r="H27" s="95">
        <f ca="1">VLOOKUP(C27,data!E28:J130,6,0)</f>
        <v>44560</v>
      </c>
      <c r="I27">
        <f t="shared" ca="1" si="7"/>
        <v>1</v>
      </c>
      <c r="K27" s="208"/>
    </row>
    <row r="28" spans="1:11" x14ac:dyDescent="0.25">
      <c r="A28" s="1">
        <f t="shared" si="2"/>
        <v>26</v>
      </c>
      <c r="B28" s="175" t="str">
        <f t="shared" ca="1" si="3"/>
        <v>VB02664</v>
      </c>
      <c r="C28" s="88">
        <f t="shared" ca="1" si="4"/>
        <v>742535100</v>
      </c>
      <c r="D28" s="56" t="str">
        <f ca="1">IF(C28="","",IFERROR(VLOOKUP(C28,'[1]BẢNG MÃ RING'!$A$2:$C$322,2,0),0))</f>
        <v>7425-14.4-13</v>
      </c>
      <c r="E28" s="60">
        <f t="shared" ca="1" si="1"/>
        <v>110</v>
      </c>
      <c r="F28" s="60">
        <f t="shared" ca="1" si="5"/>
        <v>0.28999999999999998</v>
      </c>
      <c r="G28" s="60">
        <f t="shared" ca="1" si="6"/>
        <v>31.9</v>
      </c>
      <c r="H28" s="95">
        <f ca="1">VLOOKUP(C28,data!E29:J131,6,0)</f>
        <v>44546</v>
      </c>
      <c r="I28">
        <f t="shared" ca="1" si="7"/>
        <v>2</v>
      </c>
      <c r="K28" s="208"/>
    </row>
    <row r="29" spans="1:11" x14ac:dyDescent="0.25">
      <c r="A29" s="1">
        <f t="shared" si="2"/>
        <v>27</v>
      </c>
      <c r="B29" s="175" t="str">
        <f t="shared" ca="1" si="3"/>
        <v>VK02C50</v>
      </c>
      <c r="C29" s="88">
        <f t="shared" ca="1" si="4"/>
        <v>742535100</v>
      </c>
      <c r="D29" s="56" t="str">
        <f ca="1">IF(C29="","",IFERROR(VLOOKUP(C29,'[1]BẢNG MÃ RING'!$A$2:$C$322,2,0),0))</f>
        <v>7425-14.4-13</v>
      </c>
      <c r="E29" s="60">
        <f t="shared" ca="1" si="1"/>
        <v>60</v>
      </c>
      <c r="F29" s="60">
        <f t="shared" ca="1" si="5"/>
        <v>0.28999999999999998</v>
      </c>
      <c r="G29" s="60">
        <f t="shared" ca="1" si="6"/>
        <v>17.399999999999999</v>
      </c>
      <c r="H29" s="95">
        <f ca="1">VLOOKUP(C29,data!E30:J132,6,0)</f>
        <v>44560</v>
      </c>
      <c r="I29">
        <f t="shared" ca="1" si="7"/>
        <v>2</v>
      </c>
      <c r="K29" s="208"/>
    </row>
    <row r="30" spans="1:11" x14ac:dyDescent="0.25">
      <c r="A30" s="1">
        <f t="shared" si="2"/>
        <v>28</v>
      </c>
      <c r="B30" s="175" t="str">
        <f t="shared" ca="1" si="3"/>
        <v>VB02401</v>
      </c>
      <c r="C30" s="88">
        <f t="shared" ca="1" si="4"/>
        <v>742535700</v>
      </c>
      <c r="D30" s="56" t="str">
        <f ca="1">IF(C30="","",IFERROR(VLOOKUP(C30,'[1]BẢNG MÃ RING'!$A$2:$C$322,2,0),0))</f>
        <v>7425-19-13.55</v>
      </c>
      <c r="E30" s="60">
        <f t="shared" ca="1" si="1"/>
        <v>220</v>
      </c>
      <c r="F30" s="60">
        <f t="shared" ca="1" si="5"/>
        <v>0.49</v>
      </c>
      <c r="G30" s="60">
        <f t="shared" ca="1" si="6"/>
        <v>107.8</v>
      </c>
      <c r="H30" s="95">
        <f ca="1">VLOOKUP(C30,data!E31:J133,6,0)</f>
        <v>44546</v>
      </c>
      <c r="I30">
        <f t="shared" ca="1" si="7"/>
        <v>3</v>
      </c>
      <c r="K30" s="208"/>
    </row>
    <row r="31" spans="1:11" x14ac:dyDescent="0.25">
      <c r="A31" s="1">
        <f t="shared" si="2"/>
        <v>29</v>
      </c>
      <c r="B31" s="175" t="str">
        <f t="shared" ca="1" si="3"/>
        <v>VB02402</v>
      </c>
      <c r="C31" s="88">
        <f t="shared" ca="1" si="4"/>
        <v>742535700</v>
      </c>
      <c r="D31" s="56" t="str">
        <f ca="1">IF(C31="","",IFERROR(VLOOKUP(C31,'[1]BẢNG MÃ RING'!$A$2:$C$322,2,0),0))</f>
        <v>7425-19-13.55</v>
      </c>
      <c r="E31" s="60">
        <f t="shared" ca="1" si="1"/>
        <v>220</v>
      </c>
      <c r="F31" s="60">
        <f t="shared" ca="1" si="5"/>
        <v>0.49</v>
      </c>
      <c r="G31" s="60">
        <f t="shared" ca="1" si="6"/>
        <v>107.8</v>
      </c>
      <c r="H31" s="95">
        <f ca="1">VLOOKUP(C31,data!E32:J134,6,0)</f>
        <v>44546</v>
      </c>
      <c r="I31">
        <f t="shared" ca="1" si="7"/>
        <v>3</v>
      </c>
      <c r="K31" s="208"/>
    </row>
    <row r="32" spans="1:11" x14ac:dyDescent="0.25">
      <c r="A32" s="1">
        <f t="shared" si="2"/>
        <v>30</v>
      </c>
      <c r="B32" s="175" t="str">
        <f t="shared" ca="1" si="3"/>
        <v>VB02403</v>
      </c>
      <c r="C32" s="88">
        <f t="shared" ca="1" si="4"/>
        <v>742535700</v>
      </c>
      <c r="D32" s="56" t="str">
        <f ca="1">IF(C32="","",IFERROR(VLOOKUP(C32,'[1]BẢNG MÃ RING'!$A$2:$C$322,2,0),0))</f>
        <v>7425-19-13.55</v>
      </c>
      <c r="E32" s="60">
        <f t="shared" ca="1" si="1"/>
        <v>110</v>
      </c>
      <c r="F32" s="60">
        <f t="shared" ca="1" si="5"/>
        <v>0.49</v>
      </c>
      <c r="G32" s="60">
        <f t="shared" ca="1" si="6"/>
        <v>53.9</v>
      </c>
      <c r="H32" s="95">
        <f ca="1">VLOOKUP(C32,data!E33:J135,6,0)</f>
        <v>44546</v>
      </c>
      <c r="I32">
        <f t="shared" ca="1" si="7"/>
        <v>3</v>
      </c>
      <c r="K32" s="208"/>
    </row>
    <row r="33" spans="1:12" x14ac:dyDescent="0.25">
      <c r="A33" s="1">
        <f t="shared" si="2"/>
        <v>31</v>
      </c>
      <c r="B33" s="175" t="str">
        <f t="shared" ca="1" si="3"/>
        <v>VB02398</v>
      </c>
      <c r="C33" s="88">
        <f t="shared" ca="1" si="4"/>
        <v>742535710</v>
      </c>
      <c r="D33" s="56" t="str">
        <f ca="1">IF(C33="","",IFERROR(VLOOKUP(C33,'[1]BẢNG MÃ RING'!$A$2:$C$322,2,0),0))</f>
        <v>7425-19-12.55</v>
      </c>
      <c r="E33" s="60">
        <f t="shared" ca="1" si="1"/>
        <v>90</v>
      </c>
      <c r="F33" s="60">
        <f t="shared" ca="1" si="5"/>
        <v>0.49</v>
      </c>
      <c r="G33" s="60">
        <f t="shared" ca="1" si="6"/>
        <v>44.1</v>
      </c>
      <c r="H33" s="95">
        <f ca="1">VLOOKUP(C33,data!E34:J136,6,0)</f>
        <v>44546</v>
      </c>
      <c r="I33">
        <f t="shared" ca="1" si="7"/>
        <v>2</v>
      </c>
      <c r="K33" s="208"/>
    </row>
    <row r="34" spans="1:12" x14ac:dyDescent="0.25">
      <c r="A34" s="1">
        <f t="shared" si="2"/>
        <v>32</v>
      </c>
      <c r="B34" s="175" t="str">
        <f t="shared" ca="1" si="3"/>
        <v>VB02399</v>
      </c>
      <c r="C34" s="88">
        <f t="shared" ca="1" si="4"/>
        <v>742535710</v>
      </c>
      <c r="D34" s="56" t="str">
        <f ca="1">IF(C34="","",IFERROR(VLOOKUP(C34,'[1]BẢNG MÃ RING'!$A$2:$C$322,2,0),0))</f>
        <v>7425-19-12.55</v>
      </c>
      <c r="E34" s="60">
        <f t="shared" ca="1" si="1"/>
        <v>110</v>
      </c>
      <c r="F34" s="60">
        <f t="shared" ca="1" si="5"/>
        <v>0.49</v>
      </c>
      <c r="G34" s="60">
        <f t="shared" ca="1" si="6"/>
        <v>53.9</v>
      </c>
      <c r="H34" s="95">
        <f ca="1">VLOOKUP(C34,data!E35:J137,6,0)</f>
        <v>44546</v>
      </c>
      <c r="I34">
        <f t="shared" ca="1" si="7"/>
        <v>2</v>
      </c>
      <c r="K34" s="208"/>
    </row>
    <row r="35" spans="1:12" x14ac:dyDescent="0.25">
      <c r="A35" s="1">
        <f t="shared" si="2"/>
        <v>33</v>
      </c>
      <c r="B35" s="175" t="str">
        <f t="shared" ca="1" si="3"/>
        <v>VB02400</v>
      </c>
      <c r="C35" s="88">
        <f t="shared" ca="1" si="4"/>
        <v>742535720</v>
      </c>
      <c r="D35" s="56" t="str">
        <f ca="1">IF(C35="","",IFERROR(VLOOKUP(C35,'[1]BẢNG MÃ RING'!$A$2:$C$322,2,0),0))</f>
        <v>7425-19-13.05</v>
      </c>
      <c r="E35" s="60">
        <f t="shared" ca="1" si="1"/>
        <v>200</v>
      </c>
      <c r="F35" s="60">
        <f t="shared" ca="1" si="5"/>
        <v>0.49</v>
      </c>
      <c r="G35" s="60">
        <f t="shared" ca="1" si="6"/>
        <v>98</v>
      </c>
      <c r="H35" s="95">
        <f ca="1">VLOOKUP(C35,data!E36:J138,6,0)</f>
        <v>44546</v>
      </c>
      <c r="I35">
        <f t="shared" ca="1" si="7"/>
        <v>1</v>
      </c>
      <c r="K35" s="208"/>
    </row>
    <row r="36" spans="1:12" x14ac:dyDescent="0.25">
      <c r="A36" s="1">
        <f t="shared" si="2"/>
        <v>34</v>
      </c>
      <c r="B36" s="175" t="str">
        <f t="shared" ca="1" si="3"/>
        <v>VB02405</v>
      </c>
      <c r="C36" s="88">
        <f t="shared" ca="1" si="4"/>
        <v>742535730</v>
      </c>
      <c r="D36" s="56" t="str">
        <f ca="1">IF(C36="","",IFERROR(VLOOKUP(C36,'[1]BẢNG MÃ RING'!$A$2:$C$322,2,0),0))</f>
        <v>7425-19-14.05</v>
      </c>
      <c r="E36" s="60">
        <f t="shared" ca="1" si="1"/>
        <v>180</v>
      </c>
      <c r="F36" s="60">
        <f t="shared" ca="1" si="5"/>
        <v>0.49</v>
      </c>
      <c r="G36" s="60">
        <f t="shared" ca="1" si="6"/>
        <v>88.2</v>
      </c>
      <c r="H36" s="95">
        <f ca="1">VLOOKUP(C36,data!E37:J139,6,0)</f>
        <v>44546</v>
      </c>
      <c r="I36">
        <f t="shared" ca="1" si="7"/>
        <v>2</v>
      </c>
      <c r="K36" s="208"/>
      <c r="L36" s="189"/>
    </row>
    <row r="37" spans="1:12" x14ac:dyDescent="0.25">
      <c r="A37" s="1">
        <f t="shared" si="2"/>
        <v>35</v>
      </c>
      <c r="B37" s="175" t="str">
        <f t="shared" ca="1" si="3"/>
        <v>VB02407</v>
      </c>
      <c r="C37" s="88">
        <f t="shared" ca="1" si="4"/>
        <v>742535730</v>
      </c>
      <c r="D37" s="56" t="str">
        <f ca="1">IF(C37="","",IFERROR(VLOOKUP(C37,'[1]BẢNG MÃ RING'!$A$2:$C$322,2,0),0))</f>
        <v>7425-19-14.05</v>
      </c>
      <c r="E37" s="60">
        <f t="shared" ca="1" si="1"/>
        <v>110</v>
      </c>
      <c r="F37" s="60">
        <f t="shared" ca="1" si="5"/>
        <v>0.49</v>
      </c>
      <c r="G37" s="60">
        <f t="shared" ca="1" si="6"/>
        <v>53.9</v>
      </c>
      <c r="H37" s="95">
        <f ca="1">VLOOKUP(C37,data!E38:J140,6,0)</f>
        <v>44546</v>
      </c>
      <c r="I37">
        <f t="shared" ca="1" si="7"/>
        <v>2</v>
      </c>
      <c r="K37" s="208"/>
    </row>
    <row r="38" spans="1:12" x14ac:dyDescent="0.25">
      <c r="A38" s="1">
        <f t="shared" si="2"/>
        <v>36</v>
      </c>
      <c r="B38" s="175" t="str">
        <f t="shared" ca="1" si="3"/>
        <v>VB02397</v>
      </c>
      <c r="C38" s="88">
        <f t="shared" ca="1" si="4"/>
        <v>742535740</v>
      </c>
      <c r="D38" s="56" t="str">
        <f ca="1">IF(C38="","",IFERROR(VLOOKUP(C38,'[1]BẢNG MÃ RING'!$A$2:$C$322,2,0),0))</f>
        <v>7425-19-12.05</v>
      </c>
      <c r="E38" s="60">
        <f t="shared" ca="1" si="1"/>
        <v>220</v>
      </c>
      <c r="F38" s="60">
        <f t="shared" ca="1" si="5"/>
        <v>0.49</v>
      </c>
      <c r="G38" s="60">
        <f t="shared" ca="1" si="6"/>
        <v>107.8</v>
      </c>
      <c r="H38" s="95">
        <f ca="1">VLOOKUP(C38,data!E39:J141,6,0)</f>
        <v>44546</v>
      </c>
      <c r="I38">
        <f t="shared" ca="1" si="7"/>
        <v>1</v>
      </c>
      <c r="K38" s="208"/>
    </row>
    <row r="39" spans="1:12" x14ac:dyDescent="0.25">
      <c r="A39" s="1">
        <f t="shared" si="2"/>
        <v>37</v>
      </c>
      <c r="B39" s="175" t="str">
        <f t="shared" ca="1" si="3"/>
        <v>VB02406</v>
      </c>
      <c r="C39" s="88">
        <f t="shared" ca="1" si="4"/>
        <v>742535750</v>
      </c>
      <c r="D39" s="56" t="str">
        <f ca="1">IF(C39="","",IFERROR(VLOOKUP(C39,'[1]BẢNG MÃ RING'!$A$2:$C$322,2,0),0))</f>
        <v>7425-19-15.05</v>
      </c>
      <c r="E39" s="60">
        <f t="shared" ca="1" si="1"/>
        <v>110</v>
      </c>
      <c r="F39" s="60">
        <f t="shared" ca="1" si="5"/>
        <v>0.49</v>
      </c>
      <c r="G39" s="60">
        <f t="shared" ca="1" si="6"/>
        <v>53.9</v>
      </c>
      <c r="H39" s="95">
        <f ca="1">VLOOKUP(C39,data!E40:J142,6,0)</f>
        <v>44546</v>
      </c>
      <c r="I39">
        <f t="shared" ca="1" si="7"/>
        <v>1</v>
      </c>
      <c r="K39" s="208"/>
    </row>
    <row r="40" spans="1:12" x14ac:dyDescent="0.25">
      <c r="A40" s="1">
        <f t="shared" si="2"/>
        <v>38</v>
      </c>
      <c r="B40" s="175" t="str">
        <f t="shared" ca="1" si="3"/>
        <v>VB02426</v>
      </c>
      <c r="C40" s="88">
        <f t="shared" ca="1" si="4"/>
        <v>742542400</v>
      </c>
      <c r="D40" s="56" t="str">
        <f ca="1">IF(C40="","",IFERROR(VLOOKUP(C40,'[1]BẢNG MÃ RING'!$A$2:$C$322,2,0),0))</f>
        <v>7425-21-18</v>
      </c>
      <c r="E40" s="60">
        <f t="shared" ca="1" si="1"/>
        <v>50</v>
      </c>
      <c r="F40" s="60">
        <f t="shared" ca="1" si="5"/>
        <v>0.52</v>
      </c>
      <c r="G40" s="60">
        <f t="shared" ca="1" si="6"/>
        <v>26</v>
      </c>
      <c r="H40" s="95">
        <f ca="1">VLOOKUP(C40,data!E41:J143,6,0)</f>
        <v>44560</v>
      </c>
      <c r="I40">
        <f t="shared" ca="1" si="7"/>
        <v>1</v>
      </c>
      <c r="K40" s="208"/>
    </row>
    <row r="41" spans="1:12" x14ac:dyDescent="0.25">
      <c r="A41" s="1">
        <f t="shared" si="2"/>
        <v>39</v>
      </c>
      <c r="B41" s="175" t="str">
        <f t="shared" ca="1" si="3"/>
        <v>VB02429</v>
      </c>
      <c r="C41" s="88">
        <f t="shared" ca="1" si="4"/>
        <v>742545700</v>
      </c>
      <c r="D41" s="56" t="str">
        <f ca="1">IF(C41="","",IFERROR(VLOOKUP(C41,'[1]BẢNG MÃ RING'!$A$2:$C$322,2,0),0))</f>
        <v>7425-21.6-17.9</v>
      </c>
      <c r="E41" s="60">
        <f t="shared" ca="1" si="1"/>
        <v>60</v>
      </c>
      <c r="F41" s="60">
        <f t="shared" ca="1" si="5"/>
        <v>0.44</v>
      </c>
      <c r="G41" s="60">
        <f t="shared" ca="1" si="6"/>
        <v>26.4</v>
      </c>
      <c r="H41" s="95">
        <f ca="1">VLOOKUP(C41,data!E42:J144,6,0)</f>
        <v>44560</v>
      </c>
      <c r="I41">
        <f t="shared" ca="1" si="7"/>
        <v>2</v>
      </c>
      <c r="K41" s="208"/>
    </row>
    <row r="42" spans="1:12" x14ac:dyDescent="0.25">
      <c r="A42" s="1">
        <f t="shared" si="2"/>
        <v>40</v>
      </c>
      <c r="B42" s="175" t="str">
        <f t="shared" ca="1" si="3"/>
        <v>VK02C12</v>
      </c>
      <c r="C42" s="88">
        <f t="shared" ca="1" si="4"/>
        <v>742545700</v>
      </c>
      <c r="D42" s="56" t="str">
        <f ca="1">IF(C42="","",IFERROR(VLOOKUP(C42,'[1]BẢNG MÃ RING'!$A$2:$C$322,2,0),0))</f>
        <v>7425-21.6-17.9</v>
      </c>
      <c r="E42" s="60">
        <f t="shared" ca="1" si="1"/>
        <v>60</v>
      </c>
      <c r="F42" s="60">
        <f t="shared" ca="1" si="5"/>
        <v>0.44</v>
      </c>
      <c r="G42" s="60">
        <f t="shared" ca="1" si="6"/>
        <v>26.4</v>
      </c>
      <c r="H42" s="95">
        <f ca="1">VLOOKUP(C42,data!E43:J145,6,0)</f>
        <v>44560</v>
      </c>
      <c r="I42">
        <f t="shared" ca="1" si="7"/>
        <v>2</v>
      </c>
      <c r="K42" s="208"/>
    </row>
    <row r="43" spans="1:12" x14ac:dyDescent="0.25">
      <c r="A43" s="1">
        <f t="shared" si="2"/>
        <v>41</v>
      </c>
      <c r="B43" s="175" t="str">
        <f t="shared" ca="1" si="3"/>
        <v>VB02430</v>
      </c>
      <c r="C43" s="88">
        <f t="shared" ca="1" si="4"/>
        <v>742546001</v>
      </c>
      <c r="D43" s="56" t="str">
        <f ca="1">IF(C43="","",IFERROR(VLOOKUP(C43,'[1]BẢNG MÃ RING'!$A$2:$C$322,2,0),0))</f>
        <v>7425-26.4-24.2</v>
      </c>
      <c r="E43" s="60">
        <f t="shared" ca="1" si="1"/>
        <v>200</v>
      </c>
      <c r="F43" s="60">
        <f t="shared" ca="1" si="5"/>
        <v>0.59</v>
      </c>
      <c r="G43" s="60">
        <f t="shared" ca="1" si="6"/>
        <v>118</v>
      </c>
      <c r="H43" s="95">
        <f ca="1">VLOOKUP(C43,data!E44:J146,6,0)</f>
        <v>44546</v>
      </c>
      <c r="I43">
        <f t="shared" ca="1" si="7"/>
        <v>12</v>
      </c>
      <c r="K43" s="208"/>
    </row>
    <row r="44" spans="1:12" x14ac:dyDescent="0.25">
      <c r="A44" s="1">
        <f t="shared" si="2"/>
        <v>42</v>
      </c>
      <c r="B44" s="175" t="str">
        <f t="shared" ca="1" si="3"/>
        <v>VB02431</v>
      </c>
      <c r="C44" s="88">
        <f t="shared" ca="1" si="4"/>
        <v>742546001</v>
      </c>
      <c r="D44" s="56" t="str">
        <f ca="1">IF(C44="","",IFERROR(VLOOKUP(C44,'[1]BẢNG MÃ RING'!$A$2:$C$322,2,0),0))</f>
        <v>7425-26.4-24.2</v>
      </c>
      <c r="E44" s="60">
        <f t="shared" ca="1" si="1"/>
        <v>220</v>
      </c>
      <c r="F44" s="60">
        <f t="shared" ca="1" si="5"/>
        <v>0.59</v>
      </c>
      <c r="G44" s="60">
        <f t="shared" ca="1" si="6"/>
        <v>129.79999999999998</v>
      </c>
      <c r="H44" s="95">
        <f ca="1">VLOOKUP(C44,data!E45:J147,6,0)</f>
        <v>44546</v>
      </c>
      <c r="I44">
        <f t="shared" ca="1" si="7"/>
        <v>12</v>
      </c>
      <c r="K44" s="208"/>
    </row>
    <row r="45" spans="1:12" x14ac:dyDescent="0.25">
      <c r="A45" s="1">
        <f t="shared" si="2"/>
        <v>43</v>
      </c>
      <c r="B45" s="175" t="str">
        <f t="shared" ca="1" si="3"/>
        <v>VB02432</v>
      </c>
      <c r="C45" s="88">
        <f t="shared" ca="1" si="4"/>
        <v>742546001</v>
      </c>
      <c r="D45" s="56" t="str">
        <f ca="1">IF(C45="","",IFERROR(VLOOKUP(C45,'[1]BẢNG MÃ RING'!$A$2:$C$322,2,0),0))</f>
        <v>7425-26.4-24.2</v>
      </c>
      <c r="E45" s="60">
        <f t="shared" ca="1" si="1"/>
        <v>110</v>
      </c>
      <c r="F45" s="60">
        <f t="shared" ca="1" si="5"/>
        <v>0.59</v>
      </c>
      <c r="G45" s="60">
        <f t="shared" ca="1" si="6"/>
        <v>64.899999999999991</v>
      </c>
      <c r="H45" s="95">
        <f ca="1">VLOOKUP(C45,data!E46:J148,6,0)</f>
        <v>44546</v>
      </c>
      <c r="I45">
        <f t="shared" ca="1" si="7"/>
        <v>12</v>
      </c>
      <c r="K45" s="208"/>
    </row>
    <row r="46" spans="1:12" x14ac:dyDescent="0.25">
      <c r="A46" s="1">
        <f t="shared" si="2"/>
        <v>44</v>
      </c>
      <c r="B46" s="175" t="str">
        <f t="shared" ca="1" si="3"/>
        <v>VB02433</v>
      </c>
      <c r="C46" s="88">
        <f t="shared" ca="1" si="4"/>
        <v>742546001</v>
      </c>
      <c r="D46" s="56" t="str">
        <f ca="1">IF(C46="","",IFERROR(VLOOKUP(C46,'[1]BẢNG MÃ RING'!$A$2:$C$322,2,0),0))</f>
        <v>7425-26.4-24.2</v>
      </c>
      <c r="E46" s="60">
        <f t="shared" ca="1" si="1"/>
        <v>220</v>
      </c>
      <c r="F46" s="60">
        <f t="shared" ca="1" si="5"/>
        <v>0.59</v>
      </c>
      <c r="G46" s="60">
        <f t="shared" ca="1" si="6"/>
        <v>129.79999999999998</v>
      </c>
      <c r="H46" s="95">
        <f ca="1">VLOOKUP(C46,data!E47:J149,6,0)</f>
        <v>44546</v>
      </c>
      <c r="I46">
        <f t="shared" ca="1" si="7"/>
        <v>12</v>
      </c>
      <c r="K46" s="208"/>
    </row>
    <row r="47" spans="1:12" x14ac:dyDescent="0.25">
      <c r="A47" s="1">
        <f t="shared" si="2"/>
        <v>45</v>
      </c>
      <c r="B47" s="175" t="str">
        <f t="shared" ca="1" si="3"/>
        <v>VB02434</v>
      </c>
      <c r="C47" s="88">
        <f t="shared" ca="1" si="4"/>
        <v>742546001</v>
      </c>
      <c r="D47" s="56" t="str">
        <f ca="1">IF(C47="","",IFERROR(VLOOKUP(C47,'[1]BẢNG MÃ RING'!$A$2:$C$322,2,0),0))</f>
        <v>7425-26.4-24.2</v>
      </c>
      <c r="E47" s="60">
        <f t="shared" ca="1" si="1"/>
        <v>220</v>
      </c>
      <c r="F47" s="60">
        <f t="shared" ca="1" si="5"/>
        <v>0.59</v>
      </c>
      <c r="G47" s="60">
        <f t="shared" ca="1" si="6"/>
        <v>129.79999999999998</v>
      </c>
      <c r="H47" s="95">
        <f ca="1">VLOOKUP(C47,data!E48:J150,6,0)</f>
        <v>44546</v>
      </c>
      <c r="I47">
        <f t="shared" ca="1" si="7"/>
        <v>12</v>
      </c>
      <c r="K47" s="208"/>
    </row>
    <row r="48" spans="1:12" x14ac:dyDescent="0.25">
      <c r="A48" s="1">
        <f t="shared" si="2"/>
        <v>46</v>
      </c>
      <c r="B48" s="175" t="str">
        <f t="shared" ca="1" si="3"/>
        <v>VB02435</v>
      </c>
      <c r="C48" s="88">
        <f t="shared" ca="1" si="4"/>
        <v>742546001</v>
      </c>
      <c r="D48" s="56" t="str">
        <f ca="1">IF(C48="","",IFERROR(VLOOKUP(C48,'[1]BẢNG MÃ RING'!$A$2:$C$322,2,0),0))</f>
        <v>7425-26.4-24.2</v>
      </c>
      <c r="E48" s="60">
        <f t="shared" ca="1" si="1"/>
        <v>220</v>
      </c>
      <c r="F48" s="60">
        <f t="shared" ca="1" si="5"/>
        <v>0.59</v>
      </c>
      <c r="G48" s="60">
        <f t="shared" ca="1" si="6"/>
        <v>129.79999999999998</v>
      </c>
      <c r="H48" s="95">
        <f ca="1">VLOOKUP(C48,data!E49:J151,6,0)</f>
        <v>44546</v>
      </c>
      <c r="I48">
        <f t="shared" ca="1" si="7"/>
        <v>12</v>
      </c>
      <c r="K48" s="208"/>
    </row>
    <row r="49" spans="1:11" x14ac:dyDescent="0.25">
      <c r="A49" s="1">
        <f t="shared" si="2"/>
        <v>47</v>
      </c>
      <c r="B49" s="175" t="str">
        <f t="shared" ca="1" si="3"/>
        <v>VB02436</v>
      </c>
      <c r="C49" s="88">
        <f t="shared" ca="1" si="4"/>
        <v>742546001</v>
      </c>
      <c r="D49" s="56" t="str">
        <f ca="1">IF(C49="","",IFERROR(VLOOKUP(C49,'[1]BẢNG MÃ RING'!$A$2:$C$322,2,0),0))</f>
        <v>7425-26.4-24.2</v>
      </c>
      <c r="E49" s="60">
        <f t="shared" ca="1" si="1"/>
        <v>220</v>
      </c>
      <c r="F49" s="60">
        <f t="shared" ca="1" si="5"/>
        <v>0.59</v>
      </c>
      <c r="G49" s="60">
        <f t="shared" ca="1" si="6"/>
        <v>129.79999999999998</v>
      </c>
      <c r="H49" s="95">
        <f ca="1">VLOOKUP(C49,data!E50:J152,6,0)</f>
        <v>44546</v>
      </c>
      <c r="I49">
        <f t="shared" ca="1" si="7"/>
        <v>12</v>
      </c>
      <c r="K49" s="208"/>
    </row>
    <row r="50" spans="1:11" x14ac:dyDescent="0.25">
      <c r="A50" s="1">
        <f t="shared" si="2"/>
        <v>48</v>
      </c>
      <c r="B50" s="175" t="str">
        <f t="shared" ca="1" si="3"/>
        <v>VB02437</v>
      </c>
      <c r="C50" s="88">
        <f t="shared" ca="1" si="4"/>
        <v>742546001</v>
      </c>
      <c r="D50" s="56" t="str">
        <f ca="1">IF(C50="","",IFERROR(VLOOKUP(C50,'[1]BẢNG MÃ RING'!$A$2:$C$322,2,0),0))</f>
        <v>7425-26.4-24.2</v>
      </c>
      <c r="E50" s="60">
        <f t="shared" ca="1" si="1"/>
        <v>110</v>
      </c>
      <c r="F50" s="60">
        <f t="shared" ca="1" si="5"/>
        <v>0.59</v>
      </c>
      <c r="G50" s="60">
        <f t="shared" ca="1" si="6"/>
        <v>64.899999999999991</v>
      </c>
      <c r="H50" s="95">
        <f ca="1">VLOOKUP(C50,data!E51:J153,6,0)</f>
        <v>44546</v>
      </c>
      <c r="I50">
        <f t="shared" ca="1" si="7"/>
        <v>12</v>
      </c>
      <c r="K50" s="208"/>
    </row>
    <row r="51" spans="1:11" x14ac:dyDescent="0.25">
      <c r="A51" s="1">
        <f t="shared" si="2"/>
        <v>49</v>
      </c>
      <c r="B51" s="175" t="str">
        <f t="shared" ca="1" si="3"/>
        <v>VK02C28</v>
      </c>
      <c r="C51" s="88">
        <f t="shared" ca="1" si="4"/>
        <v>742546001</v>
      </c>
      <c r="D51" s="56" t="str">
        <f ca="1">IF(C51="","",IFERROR(VLOOKUP(C51,'[1]BẢNG MÃ RING'!$A$2:$C$322,2,0),0))</f>
        <v>7425-26.4-24.2</v>
      </c>
      <c r="E51" s="60">
        <f t="shared" ca="1" si="1"/>
        <v>60</v>
      </c>
      <c r="F51" s="60">
        <f t="shared" ca="1" si="5"/>
        <v>0.59</v>
      </c>
      <c r="G51" s="60">
        <f t="shared" ca="1" si="6"/>
        <v>35.4</v>
      </c>
      <c r="H51" s="95">
        <f ca="1">VLOOKUP(C51,data!E52:J154,6,0)</f>
        <v>44546</v>
      </c>
      <c r="I51">
        <f t="shared" ca="1" si="7"/>
        <v>12</v>
      </c>
      <c r="K51" s="208"/>
    </row>
    <row r="52" spans="1:11" x14ac:dyDescent="0.25">
      <c r="A52" s="1">
        <f t="shared" si="2"/>
        <v>50</v>
      </c>
      <c r="B52" s="175" t="str">
        <f t="shared" ca="1" si="3"/>
        <v>VK02C29</v>
      </c>
      <c r="C52" s="88">
        <f t="shared" ca="1" si="4"/>
        <v>742546001</v>
      </c>
      <c r="D52" s="56" t="str">
        <f ca="1">IF(C52="","",IFERROR(VLOOKUP(C52,'[1]BẢNG MÃ RING'!$A$2:$C$322,2,0),0))</f>
        <v>7425-26.4-24.2</v>
      </c>
      <c r="E52" s="60">
        <f t="shared" ca="1" si="1"/>
        <v>110</v>
      </c>
      <c r="F52" s="60">
        <f t="shared" ca="1" si="5"/>
        <v>0.59</v>
      </c>
      <c r="G52" s="60">
        <f t="shared" ca="1" si="6"/>
        <v>64.899999999999991</v>
      </c>
      <c r="H52" s="95">
        <f ca="1">VLOOKUP(C52,data!E53:J155,6,0)</f>
        <v>44546</v>
      </c>
      <c r="I52">
        <f t="shared" ca="1" si="7"/>
        <v>12</v>
      </c>
      <c r="K52" s="208"/>
    </row>
    <row r="53" spans="1:11" x14ac:dyDescent="0.25">
      <c r="A53" s="1">
        <f t="shared" si="2"/>
        <v>51</v>
      </c>
      <c r="B53" s="175" t="str">
        <f t="shared" ca="1" si="3"/>
        <v>VK02C30</v>
      </c>
      <c r="C53" s="88">
        <f t="shared" ca="1" si="4"/>
        <v>742546001</v>
      </c>
      <c r="D53" s="56" t="str">
        <f ca="1">IF(C53="","",IFERROR(VLOOKUP(C53,'[1]BẢNG MÃ RING'!$A$2:$C$322,2,0),0))</f>
        <v>7425-26.4-24.2</v>
      </c>
      <c r="E53" s="60">
        <f t="shared" ca="1" si="1"/>
        <v>170</v>
      </c>
      <c r="F53" s="60">
        <f t="shared" ca="1" si="5"/>
        <v>0.59</v>
      </c>
      <c r="G53" s="60">
        <f t="shared" ca="1" si="6"/>
        <v>100.3</v>
      </c>
      <c r="H53" s="95">
        <f ca="1">VLOOKUP(C53,data!E54:J156,6,0)</f>
        <v>44546</v>
      </c>
      <c r="I53">
        <f t="shared" ca="1" si="7"/>
        <v>12</v>
      </c>
      <c r="K53" s="208"/>
    </row>
    <row r="54" spans="1:11" x14ac:dyDescent="0.25">
      <c r="A54" s="1">
        <f t="shared" si="2"/>
        <v>52</v>
      </c>
      <c r="B54" s="175" t="str">
        <f t="shared" ca="1" si="3"/>
        <v>VK02C31</v>
      </c>
      <c r="C54" s="88">
        <f t="shared" ca="1" si="4"/>
        <v>742546001</v>
      </c>
      <c r="D54" s="56" t="str">
        <f ca="1">IF(C54="","",IFERROR(VLOOKUP(C54,'[1]BẢNG MÃ RING'!$A$2:$C$322,2,0),0))</f>
        <v>7425-26.4-24.2</v>
      </c>
      <c r="E54" s="60">
        <f t="shared" ca="1" si="1"/>
        <v>60</v>
      </c>
      <c r="F54" s="60">
        <f t="shared" ca="1" si="5"/>
        <v>0.59</v>
      </c>
      <c r="G54" s="60">
        <f t="shared" ca="1" si="6"/>
        <v>35.4</v>
      </c>
      <c r="H54" s="95">
        <f ca="1">VLOOKUP(C54,data!E55:J157,6,0)</f>
        <v>44546</v>
      </c>
      <c r="I54">
        <f t="shared" ca="1" si="7"/>
        <v>12</v>
      </c>
      <c r="K54" s="208"/>
    </row>
    <row r="55" spans="1:11" x14ac:dyDescent="0.25">
      <c r="A55" s="1">
        <f t="shared" si="2"/>
        <v>53</v>
      </c>
      <c r="B55" s="175" t="str">
        <f t="shared" ca="1" si="3"/>
        <v>VB02438</v>
      </c>
      <c r="C55" s="88">
        <f t="shared" ca="1" si="4"/>
        <v>742548001</v>
      </c>
      <c r="D55" s="56" t="str">
        <f ca="1">IF(C55="","",IFERROR(VLOOKUP(C55,'[1]BẢNG MÃ RING'!$A$2:$C$322,2,0),0))</f>
        <v>7425-23.5-20.6</v>
      </c>
      <c r="E55" s="60">
        <f t="shared" ca="1" si="1"/>
        <v>220</v>
      </c>
      <c r="F55" s="60">
        <f t="shared" ca="1" si="5"/>
        <v>0.59</v>
      </c>
      <c r="G55" s="60">
        <f t="shared" ca="1" si="6"/>
        <v>129.79999999999998</v>
      </c>
      <c r="H55" s="95">
        <f ca="1">VLOOKUP(C55,data!E56:J158,6,0)</f>
        <v>44546</v>
      </c>
      <c r="I55">
        <f t="shared" ca="1" si="7"/>
        <v>7</v>
      </c>
      <c r="K55" s="208"/>
    </row>
    <row r="56" spans="1:11" x14ac:dyDescent="0.25">
      <c r="A56" s="1">
        <f t="shared" si="2"/>
        <v>54</v>
      </c>
      <c r="B56" s="175" t="str">
        <f t="shared" ca="1" si="3"/>
        <v>VB02439</v>
      </c>
      <c r="C56" s="88">
        <f t="shared" ca="1" si="4"/>
        <v>742548001</v>
      </c>
      <c r="D56" s="56" t="str">
        <f ca="1">IF(C56="","",IFERROR(VLOOKUP(C56,'[1]BẢNG MÃ RING'!$A$2:$C$322,2,0),0))</f>
        <v>7425-23.5-20.6</v>
      </c>
      <c r="E56" s="60">
        <f t="shared" ca="1" si="1"/>
        <v>220</v>
      </c>
      <c r="F56" s="60">
        <f t="shared" ca="1" si="5"/>
        <v>0.59</v>
      </c>
      <c r="G56" s="60">
        <f t="shared" ca="1" si="6"/>
        <v>129.79999999999998</v>
      </c>
      <c r="H56" s="95">
        <f ca="1">VLOOKUP(C56,data!E57:J159,6,0)</f>
        <v>44546</v>
      </c>
      <c r="I56">
        <f t="shared" ca="1" si="7"/>
        <v>7</v>
      </c>
      <c r="K56" s="208"/>
    </row>
    <row r="57" spans="1:11" x14ac:dyDescent="0.25">
      <c r="A57" s="1">
        <f t="shared" si="2"/>
        <v>55</v>
      </c>
      <c r="B57" s="175" t="str">
        <f t="shared" ca="1" si="3"/>
        <v>VB02440</v>
      </c>
      <c r="C57" s="88">
        <f t="shared" ca="1" si="4"/>
        <v>742548001</v>
      </c>
      <c r="D57" s="56" t="str">
        <f ca="1">IF(C57="","",IFERROR(VLOOKUP(C57,'[1]BẢNG MÃ RING'!$A$2:$C$322,2,0),0))</f>
        <v>7425-23.5-20.6</v>
      </c>
      <c r="E57" s="60">
        <f t="shared" ca="1" si="1"/>
        <v>220</v>
      </c>
      <c r="F57" s="60">
        <f t="shared" ca="1" si="5"/>
        <v>0.59</v>
      </c>
      <c r="G57" s="60">
        <f t="shared" ca="1" si="6"/>
        <v>129.79999999999998</v>
      </c>
      <c r="H57" s="95">
        <f ca="1">VLOOKUP(C57,data!E58:J160,6,0)</f>
        <v>44546</v>
      </c>
      <c r="I57">
        <f t="shared" ca="1" si="7"/>
        <v>7</v>
      </c>
      <c r="K57" s="208"/>
    </row>
    <row r="58" spans="1:11" x14ac:dyDescent="0.25">
      <c r="A58" s="1">
        <f t="shared" si="2"/>
        <v>56</v>
      </c>
      <c r="B58" s="175" t="str">
        <f t="shared" ca="1" si="3"/>
        <v>VB02441</v>
      </c>
      <c r="C58" s="88">
        <f t="shared" ca="1" si="4"/>
        <v>742548001</v>
      </c>
      <c r="D58" s="56" t="str">
        <f ca="1">IF(C58="","",IFERROR(VLOOKUP(C58,'[1]BẢNG MÃ RING'!$A$2:$C$322,2,0),0))</f>
        <v>7425-23.5-20.6</v>
      </c>
      <c r="E58" s="60">
        <f t="shared" ca="1" si="1"/>
        <v>220</v>
      </c>
      <c r="F58" s="60">
        <f t="shared" ca="1" si="5"/>
        <v>0.59</v>
      </c>
      <c r="G58" s="60">
        <f t="shared" ca="1" si="6"/>
        <v>129.79999999999998</v>
      </c>
      <c r="H58" s="95">
        <f ca="1">VLOOKUP(C58,data!E59:J161,6,0)</f>
        <v>44553</v>
      </c>
      <c r="I58">
        <f t="shared" ca="1" si="7"/>
        <v>7</v>
      </c>
      <c r="K58" s="208"/>
    </row>
    <row r="59" spans="1:11" x14ac:dyDescent="0.25">
      <c r="A59" s="1">
        <f t="shared" si="2"/>
        <v>57</v>
      </c>
      <c r="B59" s="175" t="str">
        <f t="shared" ca="1" si="3"/>
        <v>VB02442</v>
      </c>
      <c r="C59" s="88">
        <f t="shared" ca="1" si="4"/>
        <v>742548001</v>
      </c>
      <c r="D59" s="56" t="str">
        <f ca="1">IF(C59="","",IFERROR(VLOOKUP(C59,'[1]BẢNG MÃ RING'!$A$2:$C$322,2,0),0))</f>
        <v>7425-23.5-20.6</v>
      </c>
      <c r="E59" s="60">
        <f t="shared" ca="1" si="1"/>
        <v>220</v>
      </c>
      <c r="F59" s="60">
        <f t="shared" ca="1" si="5"/>
        <v>0.59</v>
      </c>
      <c r="G59" s="60">
        <f t="shared" ca="1" si="6"/>
        <v>129.79999999999998</v>
      </c>
      <c r="H59" s="95">
        <f ca="1">VLOOKUP(C59,data!E60:J162,6,0)</f>
        <v>44553</v>
      </c>
      <c r="I59">
        <f t="shared" ca="1" si="7"/>
        <v>7</v>
      </c>
      <c r="K59" s="208"/>
    </row>
    <row r="60" spans="1:11" x14ac:dyDescent="0.25">
      <c r="A60" s="1">
        <f t="shared" si="2"/>
        <v>58</v>
      </c>
      <c r="B60" s="175" t="str">
        <f t="shared" ca="1" si="3"/>
        <v>VK02C32</v>
      </c>
      <c r="C60" s="88">
        <f t="shared" ca="1" si="4"/>
        <v>742548001</v>
      </c>
      <c r="D60" s="56" t="str">
        <f ca="1">IF(C60="","",IFERROR(VLOOKUP(C60,'[1]BẢNG MÃ RING'!$A$2:$C$322,2,0),0))</f>
        <v>7425-23.5-20.6</v>
      </c>
      <c r="E60" s="60">
        <f t="shared" ca="1" si="1"/>
        <v>170</v>
      </c>
      <c r="F60" s="60">
        <f t="shared" ca="1" si="5"/>
        <v>0.59</v>
      </c>
      <c r="G60" s="60">
        <f t="shared" ca="1" si="6"/>
        <v>100.3</v>
      </c>
      <c r="H60" s="95">
        <f ca="1">VLOOKUP(C60,data!E61:J163,6,0)</f>
        <v>44546</v>
      </c>
      <c r="I60">
        <f t="shared" ca="1" si="7"/>
        <v>7</v>
      </c>
      <c r="K60" s="208"/>
    </row>
    <row r="61" spans="1:11" x14ac:dyDescent="0.25">
      <c r="A61" s="1">
        <f t="shared" si="2"/>
        <v>59</v>
      </c>
      <c r="B61" s="175" t="str">
        <f t="shared" ca="1" si="3"/>
        <v>VK02C33</v>
      </c>
      <c r="C61" s="88">
        <f t="shared" ca="1" si="4"/>
        <v>742548001</v>
      </c>
      <c r="D61" s="56" t="str">
        <f ca="1">IF(C61="","",IFERROR(VLOOKUP(C61,'[1]BẢNG MÃ RING'!$A$2:$C$322,2,0),0))</f>
        <v>7425-23.5-20.6</v>
      </c>
      <c r="E61" s="60">
        <f t="shared" ca="1" si="1"/>
        <v>110</v>
      </c>
      <c r="F61" s="60">
        <f t="shared" ca="1" si="5"/>
        <v>0.59</v>
      </c>
      <c r="G61" s="60">
        <f t="shared" ca="1" si="6"/>
        <v>64.899999999999991</v>
      </c>
      <c r="H61" s="95">
        <f ca="1">VLOOKUP(C61,data!E62:J164,6,0)</f>
        <v>44546</v>
      </c>
      <c r="I61">
        <f t="shared" ca="1" si="7"/>
        <v>7</v>
      </c>
      <c r="K61" s="208"/>
    </row>
    <row r="62" spans="1:11" x14ac:dyDescent="0.25">
      <c r="A62" s="1">
        <f t="shared" si="2"/>
        <v>60</v>
      </c>
      <c r="B62" s="175" t="str">
        <f t="shared" ca="1" si="3"/>
        <v>VB02443</v>
      </c>
      <c r="C62" s="88">
        <f t="shared" ca="1" si="4"/>
        <v>742548011</v>
      </c>
      <c r="D62" s="56" t="str">
        <f ca="1">IF(C62="","",IFERROR(VLOOKUP(C62,'[1]BẢNG MÃ RING'!$A$2:$C$322,2,0),0))</f>
        <v>7425-23.5-20.6-1</v>
      </c>
      <c r="E62" s="60">
        <f t="shared" ca="1" si="1"/>
        <v>70</v>
      </c>
      <c r="F62" s="60">
        <f t="shared" ca="1" si="5"/>
        <v>0.59</v>
      </c>
      <c r="G62" s="60">
        <f t="shared" ca="1" si="6"/>
        <v>41.3</v>
      </c>
      <c r="H62" s="95">
        <f ca="1">VLOOKUP(C62,data!E63:J165,6,0)</f>
        <v>44560</v>
      </c>
      <c r="I62">
        <f t="shared" ca="1" si="7"/>
        <v>7</v>
      </c>
      <c r="K62" s="208"/>
    </row>
    <row r="63" spans="1:11" x14ac:dyDescent="0.25">
      <c r="A63" s="1">
        <f t="shared" si="2"/>
        <v>61</v>
      </c>
      <c r="B63" s="175" t="str">
        <f t="shared" ca="1" si="3"/>
        <v>VB02444</v>
      </c>
      <c r="C63" s="88">
        <f t="shared" ca="1" si="4"/>
        <v>742548011</v>
      </c>
      <c r="D63" s="56" t="str">
        <f ca="1">IF(C63="","",IFERROR(VLOOKUP(C63,'[1]BẢNG MÃ RING'!$A$2:$C$322,2,0),0))</f>
        <v>7425-23.5-20.6-1</v>
      </c>
      <c r="E63" s="60">
        <f t="shared" ca="1" si="1"/>
        <v>110</v>
      </c>
      <c r="F63" s="60">
        <f t="shared" ca="1" si="5"/>
        <v>0.59</v>
      </c>
      <c r="G63" s="60">
        <f t="shared" ca="1" si="6"/>
        <v>64.899999999999991</v>
      </c>
      <c r="H63" s="95">
        <f ca="1">VLOOKUP(C63,data!E64:J166,6,0)</f>
        <v>44560</v>
      </c>
      <c r="I63">
        <f t="shared" ca="1" si="7"/>
        <v>7</v>
      </c>
      <c r="K63" s="208"/>
    </row>
    <row r="64" spans="1:11" x14ac:dyDescent="0.25">
      <c r="A64" s="1">
        <f t="shared" si="2"/>
        <v>62</v>
      </c>
      <c r="B64" s="175" t="str">
        <f t="shared" ca="1" si="3"/>
        <v>VB02445</v>
      </c>
      <c r="C64" s="88">
        <f t="shared" ca="1" si="4"/>
        <v>742548011</v>
      </c>
      <c r="D64" s="56" t="str">
        <f ca="1">IF(C64="","",IFERROR(VLOOKUP(C64,'[1]BẢNG MÃ RING'!$A$2:$C$322,2,0),0))</f>
        <v>7425-23.5-20.6-1</v>
      </c>
      <c r="E64" s="60">
        <f t="shared" ca="1" si="1"/>
        <v>110</v>
      </c>
      <c r="F64" s="60">
        <f t="shared" ca="1" si="5"/>
        <v>0.59</v>
      </c>
      <c r="G64" s="60">
        <f t="shared" ca="1" si="6"/>
        <v>64.899999999999991</v>
      </c>
      <c r="H64" s="95">
        <f ca="1">VLOOKUP(C64,data!E65:J167,6,0)</f>
        <v>44560</v>
      </c>
      <c r="I64">
        <f t="shared" ca="1" si="7"/>
        <v>7</v>
      </c>
      <c r="K64" s="208"/>
    </row>
    <row r="65" spans="1:11" x14ac:dyDescent="0.25">
      <c r="A65" s="1">
        <f t="shared" si="2"/>
        <v>63</v>
      </c>
      <c r="B65" s="175" t="str">
        <f t="shared" ca="1" si="3"/>
        <v>VK02C34</v>
      </c>
      <c r="C65" s="88">
        <f t="shared" ca="1" si="4"/>
        <v>742548011</v>
      </c>
      <c r="D65" s="56" t="str">
        <f ca="1">IF(C65="","",IFERROR(VLOOKUP(C65,'[1]BẢNG MÃ RING'!$A$2:$C$322,2,0),0))</f>
        <v>7425-23.5-20.6-1</v>
      </c>
      <c r="E65" s="60">
        <f t="shared" ca="1" si="1"/>
        <v>110</v>
      </c>
      <c r="F65" s="60">
        <f t="shared" ca="1" si="5"/>
        <v>0.59</v>
      </c>
      <c r="G65" s="60">
        <f t="shared" ca="1" si="6"/>
        <v>64.899999999999991</v>
      </c>
      <c r="H65" s="95">
        <f ca="1">VLOOKUP(C65,data!E66:J168,6,0)</f>
        <v>44560</v>
      </c>
      <c r="I65">
        <f t="shared" ca="1" si="7"/>
        <v>7</v>
      </c>
      <c r="K65" s="208"/>
    </row>
    <row r="66" spans="1:11" x14ac:dyDescent="0.25">
      <c r="A66" s="1">
        <f t="shared" si="2"/>
        <v>64</v>
      </c>
      <c r="B66" s="175" t="str">
        <f t="shared" ca="1" si="3"/>
        <v>VK02C35</v>
      </c>
      <c r="C66" s="88">
        <f t="shared" ca="1" si="4"/>
        <v>742548011</v>
      </c>
      <c r="D66" s="56" t="str">
        <f ca="1">IF(C66="","",IFERROR(VLOOKUP(C66,'[1]BẢNG MÃ RING'!$A$2:$C$322,2,0),0))</f>
        <v>7425-23.5-20.6-1</v>
      </c>
      <c r="E66" s="60">
        <f t="shared" ca="1" si="1"/>
        <v>220</v>
      </c>
      <c r="F66" s="60">
        <f t="shared" ca="1" si="5"/>
        <v>0.59</v>
      </c>
      <c r="G66" s="60">
        <f t="shared" ca="1" si="6"/>
        <v>129.79999999999998</v>
      </c>
      <c r="H66" s="95">
        <f ca="1">VLOOKUP(C66,data!E67:J169,6,0)</f>
        <v>44560</v>
      </c>
      <c r="I66">
        <f t="shared" ca="1" si="7"/>
        <v>7</v>
      </c>
      <c r="K66" s="208"/>
    </row>
    <row r="67" spans="1:11" x14ac:dyDescent="0.25">
      <c r="A67" s="1">
        <f t="shared" si="2"/>
        <v>65</v>
      </c>
      <c r="B67" s="175" t="str">
        <f t="shared" ca="1" si="3"/>
        <v>VK02C36</v>
      </c>
      <c r="C67" s="88">
        <f t="shared" ref="C67:C130" ca="1" si="8">IF(B67="","",VLOOKUP(A67, INDIRECT( $I$1&amp;"!$A$4:$E$2000"),5,0))</f>
        <v>742548011</v>
      </c>
      <c r="D67" s="56" t="str">
        <f ca="1">IF(C67="","",IFERROR(VLOOKUP(C67,'[1]BẢNG MÃ RING'!$A$2:$C$322,2,0),0))</f>
        <v>7425-23.5-20.6-1</v>
      </c>
      <c r="E67" s="60">
        <f t="shared" ref="E67:E130" ca="1" si="9">IF(B67="","",VLOOKUP(A67, INDIRECT( $I$1&amp;"!$A$4:$G$2000"),7,0))</f>
        <v>220</v>
      </c>
      <c r="F67" s="60">
        <f t="shared" ref="F67:F130" ca="1" si="10">IF(B67="","",VLOOKUP(A67, INDIRECT( $I$1&amp;"!$A$4:$H$2000"),8,0))</f>
        <v>0.59</v>
      </c>
      <c r="G67" s="60">
        <f t="shared" ca="1" si="6"/>
        <v>129.79999999999998</v>
      </c>
      <c r="H67" s="95">
        <f ca="1">VLOOKUP(C67,data!E68:J170,6,0)</f>
        <v>44560</v>
      </c>
      <c r="I67">
        <f t="shared" ref="I67:I130" ca="1" si="11">COUNTIF($D$3:$D$208,D67)</f>
        <v>7</v>
      </c>
      <c r="K67" s="208"/>
    </row>
    <row r="68" spans="1:11" x14ac:dyDescent="0.25">
      <c r="A68" s="1">
        <f t="shared" ref="A68:A131" si="12">IF(A67="",1,A67+1)</f>
        <v>66</v>
      </c>
      <c r="B68" s="175" t="str">
        <f t="shared" ref="B68:B131" ca="1" si="13">IFERROR( VLOOKUP(A68, INDIRECT( $I$1&amp;"!$A$4:$C$2000"),3,0),"")</f>
        <v>VK02C37</v>
      </c>
      <c r="C68" s="88">
        <f t="shared" ca="1" si="8"/>
        <v>742548011</v>
      </c>
      <c r="D68" s="56" t="str">
        <f ca="1">IF(C68="","",IFERROR(VLOOKUP(C68,'[1]BẢNG MÃ RING'!$A$2:$C$322,2,0),0))</f>
        <v>7425-23.5-20.6-1</v>
      </c>
      <c r="E68" s="60">
        <f t="shared" ca="1" si="9"/>
        <v>60</v>
      </c>
      <c r="F68" s="60">
        <f t="shared" ca="1" si="10"/>
        <v>0.59</v>
      </c>
      <c r="G68" s="60">
        <f t="shared" ref="G68:G131" ca="1" si="14">F68*E68</f>
        <v>35.4</v>
      </c>
      <c r="H68" s="95">
        <f ca="1">VLOOKUP(C68,data!E69:J171,6,0)</f>
        <v>44560</v>
      </c>
      <c r="I68">
        <f t="shared" ca="1" si="11"/>
        <v>7</v>
      </c>
      <c r="K68" s="208"/>
    </row>
    <row r="69" spans="1:11" x14ac:dyDescent="0.25">
      <c r="A69" s="1">
        <f t="shared" si="12"/>
        <v>67</v>
      </c>
      <c r="B69" s="175" t="str">
        <f t="shared" ca="1" si="13"/>
        <v>VB02587</v>
      </c>
      <c r="C69" s="88">
        <f t="shared" ca="1" si="8"/>
        <v>742549000</v>
      </c>
      <c r="D69" s="56" t="str">
        <f ca="1">IF(C69="","",IFERROR(VLOOKUP(C69,'[1]BẢNG MÃ RING'!$A$2:$C$322,2,0),0))</f>
        <v>7425-21.85-19.8</v>
      </c>
      <c r="E69" s="60">
        <f t="shared" ca="1" si="9"/>
        <v>100</v>
      </c>
      <c r="F69" s="60">
        <f t="shared" ca="1" si="10"/>
        <v>0.44</v>
      </c>
      <c r="G69" s="60">
        <f t="shared" ca="1" si="14"/>
        <v>44</v>
      </c>
      <c r="H69" s="95">
        <f ca="1">VLOOKUP(C69,data!E70:J172,6,0)</f>
        <v>44560</v>
      </c>
      <c r="I69">
        <f t="shared" ca="1" si="11"/>
        <v>1</v>
      </c>
      <c r="K69" s="208"/>
    </row>
    <row r="70" spans="1:11" x14ac:dyDescent="0.25">
      <c r="A70" s="1">
        <f t="shared" si="12"/>
        <v>68</v>
      </c>
      <c r="B70" s="175" t="str">
        <f t="shared" ca="1" si="13"/>
        <v>VE04052</v>
      </c>
      <c r="C70" s="88" t="str">
        <f t="shared" ca="1" si="8"/>
        <v>3V0010200</v>
      </c>
      <c r="D70" s="56" t="str">
        <f ca="1">IF(C70="","",IFERROR(VLOOKUP(C70,'[1]BẢNG MÃ RING'!$A$2:$C$322,2,0),0))</f>
        <v>3V00-23-10.2</v>
      </c>
      <c r="E70" s="60">
        <f t="shared" ca="1" si="9"/>
        <v>100</v>
      </c>
      <c r="F70" s="60">
        <f t="shared" ca="1" si="10"/>
        <v>0.52</v>
      </c>
      <c r="G70" s="60">
        <f t="shared" ca="1" si="14"/>
        <v>52</v>
      </c>
      <c r="H70" s="95">
        <f ca="1">VLOOKUP(C70,data!E71:J173,6,0)</f>
        <v>44581</v>
      </c>
      <c r="I70">
        <f t="shared" ca="1" si="11"/>
        <v>2</v>
      </c>
      <c r="K70" s="208"/>
    </row>
    <row r="71" spans="1:11" x14ac:dyDescent="0.25">
      <c r="A71" s="1">
        <f t="shared" si="12"/>
        <v>69</v>
      </c>
      <c r="B71" s="175" t="str">
        <f t="shared" ca="1" si="13"/>
        <v>VE04058</v>
      </c>
      <c r="C71" s="88" t="str">
        <f t="shared" ca="1" si="8"/>
        <v>3V0010200</v>
      </c>
      <c r="D71" s="56" t="str">
        <f ca="1">IF(C71="","",IFERROR(VLOOKUP(C71,'[1]BẢNG MÃ RING'!$A$2:$C$322,2,0),0))</f>
        <v>3V00-23-10.2</v>
      </c>
      <c r="E71" s="60">
        <f t="shared" ca="1" si="9"/>
        <v>100</v>
      </c>
      <c r="F71" s="60">
        <f t="shared" ca="1" si="10"/>
        <v>0.52</v>
      </c>
      <c r="G71" s="60">
        <f t="shared" ca="1" si="14"/>
        <v>52</v>
      </c>
      <c r="H71" s="95">
        <f ca="1">VLOOKUP(C71,data!E72:J174,6,0)</f>
        <v>44581</v>
      </c>
      <c r="I71">
        <f t="shared" ca="1" si="11"/>
        <v>2</v>
      </c>
      <c r="K71" s="208"/>
    </row>
    <row r="72" spans="1:11" x14ac:dyDescent="0.25">
      <c r="A72" s="1">
        <f t="shared" si="12"/>
        <v>70</v>
      </c>
      <c r="B72" s="175" t="str">
        <f t="shared" ca="1" si="13"/>
        <v>VE04053</v>
      </c>
      <c r="C72" s="88" t="str">
        <f t="shared" ca="1" si="8"/>
        <v>3V0010210</v>
      </c>
      <c r="D72" s="56" t="str">
        <f ca="1">IF(C72="","",IFERROR(VLOOKUP(C72,'[1]BẢNG MÃ RING'!$A$2:$C$322,2,0),0))</f>
        <v>3V00-23-10.8</v>
      </c>
      <c r="E72" s="60">
        <f t="shared" ca="1" si="9"/>
        <v>100</v>
      </c>
      <c r="F72" s="60">
        <f t="shared" ca="1" si="10"/>
        <v>0.52</v>
      </c>
      <c r="G72" s="60">
        <f t="shared" ca="1" si="14"/>
        <v>52</v>
      </c>
      <c r="H72" s="95">
        <f ca="1">VLOOKUP(C72,data!E73:J175,6,0)</f>
        <v>44581</v>
      </c>
      <c r="I72">
        <f t="shared" ca="1" si="11"/>
        <v>2</v>
      </c>
      <c r="K72" s="208"/>
    </row>
    <row r="73" spans="1:11" x14ac:dyDescent="0.25">
      <c r="A73" s="1">
        <f t="shared" si="12"/>
        <v>71</v>
      </c>
      <c r="B73" s="175" t="str">
        <f t="shared" ca="1" si="13"/>
        <v>VE04059</v>
      </c>
      <c r="C73" s="88" t="str">
        <f t="shared" ca="1" si="8"/>
        <v>3V0010210</v>
      </c>
      <c r="D73" s="56" t="str">
        <f ca="1">IF(C73="","",IFERROR(VLOOKUP(C73,'[1]BẢNG MÃ RING'!$A$2:$C$322,2,0),0))</f>
        <v>3V00-23-10.8</v>
      </c>
      <c r="E73" s="60">
        <f t="shared" ca="1" si="9"/>
        <v>100</v>
      </c>
      <c r="F73" s="60">
        <f t="shared" ca="1" si="10"/>
        <v>0.52</v>
      </c>
      <c r="G73" s="60">
        <f t="shared" ca="1" si="14"/>
        <v>52</v>
      </c>
      <c r="H73" s="95">
        <f ca="1">VLOOKUP(C73,data!E74:J176,6,0)</f>
        <v>44581</v>
      </c>
      <c r="I73">
        <f t="shared" ca="1" si="11"/>
        <v>2</v>
      </c>
      <c r="K73" s="208"/>
    </row>
    <row r="74" spans="1:11" x14ac:dyDescent="0.25">
      <c r="A74" s="1">
        <f t="shared" si="12"/>
        <v>72</v>
      </c>
      <c r="B74" s="175" t="str">
        <f t="shared" ca="1" si="13"/>
        <v>VE04054</v>
      </c>
      <c r="C74" s="88" t="str">
        <f t="shared" ca="1" si="8"/>
        <v>3V0010220</v>
      </c>
      <c r="D74" s="56" t="str">
        <f ca="1">IF(C74="","",IFERROR(VLOOKUP(C74,'[1]BẢNG MÃ RING'!$A$2:$C$322,2,0),0))</f>
        <v>3V00-23-11.1</v>
      </c>
      <c r="E74" s="60">
        <f t="shared" ca="1" si="9"/>
        <v>100</v>
      </c>
      <c r="F74" s="60">
        <f t="shared" ca="1" si="10"/>
        <v>0.52</v>
      </c>
      <c r="G74" s="60">
        <f t="shared" ca="1" si="14"/>
        <v>52</v>
      </c>
      <c r="H74" s="95">
        <f ca="1">VLOOKUP(C74,data!E75:J177,6,0)</f>
        <v>44581</v>
      </c>
      <c r="I74">
        <f t="shared" ca="1" si="11"/>
        <v>2</v>
      </c>
      <c r="K74" s="208"/>
    </row>
    <row r="75" spans="1:11" x14ac:dyDescent="0.25">
      <c r="A75" s="1">
        <f t="shared" si="12"/>
        <v>73</v>
      </c>
      <c r="B75" s="175" t="str">
        <f t="shared" ca="1" si="13"/>
        <v>VE04060</v>
      </c>
      <c r="C75" s="88" t="str">
        <f t="shared" ca="1" si="8"/>
        <v>3V0010220</v>
      </c>
      <c r="D75" s="56" t="str">
        <f ca="1">IF(C75="","",IFERROR(VLOOKUP(C75,'[1]BẢNG MÃ RING'!$A$2:$C$322,2,0),0))</f>
        <v>3V00-23-11.1</v>
      </c>
      <c r="E75" s="60">
        <f t="shared" ca="1" si="9"/>
        <v>100</v>
      </c>
      <c r="F75" s="60">
        <f t="shared" ca="1" si="10"/>
        <v>0.52</v>
      </c>
      <c r="G75" s="60">
        <f t="shared" ca="1" si="14"/>
        <v>52</v>
      </c>
      <c r="H75" s="95">
        <f ca="1">VLOOKUP(C75,data!E76:J178,6,0)</f>
        <v>44581</v>
      </c>
      <c r="I75">
        <f t="shared" ca="1" si="11"/>
        <v>2</v>
      </c>
      <c r="K75" s="208"/>
    </row>
    <row r="76" spans="1:11" x14ac:dyDescent="0.25">
      <c r="A76" s="1">
        <f t="shared" si="12"/>
        <v>74</v>
      </c>
      <c r="B76" s="175" t="str">
        <f t="shared" ca="1" si="13"/>
        <v>VA04189</v>
      </c>
      <c r="C76" s="88" t="str">
        <f t="shared" ca="1" si="8"/>
        <v>3V0047005</v>
      </c>
      <c r="D76" s="56" t="str">
        <f ca="1">IF(C76="","",IFERROR(VLOOKUP(C76,'[1]BẢNG MÃ RING'!$A$2:$C$322,2,0),0))</f>
        <v>3V0047005</v>
      </c>
      <c r="E76" s="60">
        <f t="shared" ca="1" si="9"/>
        <v>210</v>
      </c>
      <c r="F76" s="60">
        <f t="shared" ca="1" si="10"/>
        <v>0.28710000000000002</v>
      </c>
      <c r="G76" s="60">
        <f t="shared" ca="1" si="14"/>
        <v>60.291000000000004</v>
      </c>
      <c r="H76" s="95">
        <f ca="1">VLOOKUP(C76,data!E77:J179,6,0)</f>
        <v>44581</v>
      </c>
      <c r="I76">
        <f t="shared" ca="1" si="11"/>
        <v>3</v>
      </c>
      <c r="K76" s="208"/>
    </row>
    <row r="77" spans="1:11" x14ac:dyDescent="0.25">
      <c r="A77" s="1">
        <f t="shared" si="12"/>
        <v>75</v>
      </c>
      <c r="B77" s="175" t="str">
        <f t="shared" ca="1" si="13"/>
        <v>VA04190</v>
      </c>
      <c r="C77" s="88" t="str">
        <f t="shared" ca="1" si="8"/>
        <v>3V0047005</v>
      </c>
      <c r="D77" s="56" t="str">
        <f ca="1">IF(C77="","",IFERROR(VLOOKUP(C77,'[1]BẢNG MÃ RING'!$A$2:$C$322,2,0),0))</f>
        <v>3V0047005</v>
      </c>
      <c r="E77" s="60">
        <f t="shared" ca="1" si="9"/>
        <v>110</v>
      </c>
      <c r="F77" s="60">
        <f t="shared" ca="1" si="10"/>
        <v>0.28710000000000002</v>
      </c>
      <c r="G77" s="60">
        <f t="shared" ca="1" si="14"/>
        <v>31.581000000000003</v>
      </c>
      <c r="H77" s="95">
        <f ca="1">VLOOKUP(C77,data!E78:J180,6,0)</f>
        <v>44581</v>
      </c>
      <c r="I77">
        <f t="shared" ca="1" si="11"/>
        <v>3</v>
      </c>
      <c r="K77" s="208"/>
    </row>
    <row r="78" spans="1:11" x14ac:dyDescent="0.25">
      <c r="A78" s="1">
        <f t="shared" si="12"/>
        <v>76</v>
      </c>
      <c r="B78" s="175" t="str">
        <f t="shared" ca="1" si="13"/>
        <v>VK04220</v>
      </c>
      <c r="C78" s="88" t="str">
        <f t="shared" ca="1" si="8"/>
        <v>3V0047005</v>
      </c>
      <c r="D78" s="56" t="str">
        <f ca="1">IF(C78="","",IFERROR(VLOOKUP(C78,'[1]BẢNG MÃ RING'!$A$2:$C$322,2,0),0))</f>
        <v>3V0047005</v>
      </c>
      <c r="E78" s="60">
        <f t="shared" ca="1" si="9"/>
        <v>60</v>
      </c>
      <c r="F78" s="60">
        <f t="shared" ca="1" si="10"/>
        <v>0.28710000000000002</v>
      </c>
      <c r="G78" s="60">
        <f t="shared" ca="1" si="14"/>
        <v>17.226000000000003</v>
      </c>
      <c r="H78" s="95">
        <f ca="1">VLOOKUP(C78,data!E79:J181,6,0)</f>
        <v>44581</v>
      </c>
      <c r="I78">
        <f t="shared" ca="1" si="11"/>
        <v>3</v>
      </c>
      <c r="K78" s="208"/>
    </row>
    <row r="79" spans="1:11" x14ac:dyDescent="0.25">
      <c r="A79" s="1">
        <f t="shared" si="12"/>
        <v>77</v>
      </c>
      <c r="B79" s="175" t="str">
        <f t="shared" ca="1" si="13"/>
        <v>VE03256</v>
      </c>
      <c r="C79" s="88" t="str">
        <f t="shared" ca="1" si="8"/>
        <v>3V0047010</v>
      </c>
      <c r="D79" s="56" t="str">
        <f ca="1">IF(C79="","",IFERROR(VLOOKUP(C79,'[1]BẢNG MÃ RING'!$A$2:$C$322,2,0),0))</f>
        <v>3V00-15.5-13.55-1</v>
      </c>
      <c r="E79" s="60">
        <f t="shared" ca="1" si="9"/>
        <v>110</v>
      </c>
      <c r="F79" s="60">
        <f t="shared" ca="1" si="10"/>
        <v>0.28710000000000002</v>
      </c>
      <c r="G79" s="60">
        <f t="shared" ca="1" si="14"/>
        <v>31.581000000000003</v>
      </c>
      <c r="H79" s="95">
        <f ca="1">VLOOKUP(C79,data!E80:J182,6,0)</f>
        <v>44560</v>
      </c>
      <c r="I79">
        <f t="shared" ca="1" si="11"/>
        <v>2</v>
      </c>
      <c r="K79" s="208"/>
    </row>
    <row r="80" spans="1:11" x14ac:dyDescent="0.25">
      <c r="A80" s="1">
        <f t="shared" si="12"/>
        <v>78</v>
      </c>
      <c r="B80" s="175" t="str">
        <f t="shared" ca="1" si="13"/>
        <v>VE03264</v>
      </c>
      <c r="C80" s="88" t="str">
        <f t="shared" ca="1" si="8"/>
        <v>3V0047010</v>
      </c>
      <c r="D80" s="56" t="str">
        <f ca="1">IF(C80="","",IFERROR(VLOOKUP(C80,'[1]BẢNG MÃ RING'!$A$2:$C$322,2,0),0))</f>
        <v>3V00-15.5-13.55-1</v>
      </c>
      <c r="E80" s="60">
        <f t="shared" ca="1" si="9"/>
        <v>110</v>
      </c>
      <c r="F80" s="60">
        <f t="shared" ca="1" si="10"/>
        <v>0.28710000000000002</v>
      </c>
      <c r="G80" s="60">
        <f t="shared" ca="1" si="14"/>
        <v>31.581000000000003</v>
      </c>
      <c r="H80" s="95">
        <f ca="1">VLOOKUP(C80,data!E81:J183,6,0)</f>
        <v>44560</v>
      </c>
      <c r="I80">
        <f t="shared" ca="1" si="11"/>
        <v>2</v>
      </c>
      <c r="K80" s="208"/>
    </row>
    <row r="81" spans="1:13" x14ac:dyDescent="0.25">
      <c r="A81" s="1">
        <f t="shared" si="12"/>
        <v>79</v>
      </c>
      <c r="B81" s="175" t="str">
        <f t="shared" ca="1" si="13"/>
        <v>VA04187</v>
      </c>
      <c r="C81" s="88" t="str">
        <f t="shared" ca="1" si="8"/>
        <v>3V0047015</v>
      </c>
      <c r="D81" s="56" t="str">
        <f ca="1">IF(C81="","",IFERROR(VLOOKUP(C81,'[1]BẢNG MÃ RING'!$A$2:$C$322,2,0),0))</f>
        <v>3V00-15.5-13.55</v>
      </c>
      <c r="E81" s="60">
        <f t="shared" ca="1" si="9"/>
        <v>210</v>
      </c>
      <c r="F81" s="60">
        <f t="shared" ca="1" si="10"/>
        <v>0.28710000000000002</v>
      </c>
      <c r="G81" s="60">
        <f t="shared" ca="1" si="14"/>
        <v>60.291000000000004</v>
      </c>
      <c r="H81" s="95">
        <f ca="1">VLOOKUP(C81,data!E82:J184,6,0)</f>
        <v>44581</v>
      </c>
      <c r="I81">
        <f t="shared" ca="1" si="11"/>
        <v>2</v>
      </c>
      <c r="K81" s="208"/>
    </row>
    <row r="82" spans="1:13" x14ac:dyDescent="0.25">
      <c r="A82" s="1">
        <f t="shared" si="12"/>
        <v>80</v>
      </c>
      <c r="B82" s="175" t="str">
        <f t="shared" ca="1" si="13"/>
        <v>VA04188</v>
      </c>
      <c r="C82" s="88" t="str">
        <f t="shared" ca="1" si="8"/>
        <v>3V0047015</v>
      </c>
      <c r="D82" s="56" t="str">
        <f ca="1">IF(C82="","",IFERROR(VLOOKUP(C82,'[1]BẢNG MÃ RING'!$A$2:$C$322,2,0),0))</f>
        <v>3V00-15.5-13.55</v>
      </c>
      <c r="E82" s="60">
        <f t="shared" ca="1" si="9"/>
        <v>110</v>
      </c>
      <c r="F82" s="60">
        <f t="shared" ca="1" si="10"/>
        <v>0.28710000000000002</v>
      </c>
      <c r="G82" s="60">
        <f t="shared" ca="1" si="14"/>
        <v>31.581000000000003</v>
      </c>
      <c r="H82" s="95">
        <f ca="1">VLOOKUP(C82,data!E83:J185,6,0)</f>
        <v>44581</v>
      </c>
      <c r="I82">
        <f t="shared" ca="1" si="11"/>
        <v>2</v>
      </c>
      <c r="K82" s="208"/>
    </row>
    <row r="83" spans="1:13" x14ac:dyDescent="0.25">
      <c r="A83" s="1">
        <f t="shared" si="12"/>
        <v>81</v>
      </c>
      <c r="B83" s="175" t="str">
        <f t="shared" ca="1" si="13"/>
        <v>VA03259</v>
      </c>
      <c r="C83" s="88" t="str">
        <f t="shared" ca="1" si="8"/>
        <v>3V0047045</v>
      </c>
      <c r="D83" s="56" t="str">
        <f ca="1">IF(C83="","",IFERROR(VLOOKUP(C83,'[1]BẢNG MÃ RING'!$A$2:$C$322,2,0),0))</f>
        <v>3V00-15.5-11.05</v>
      </c>
      <c r="E83" s="60">
        <f t="shared" ca="1" si="9"/>
        <v>330</v>
      </c>
      <c r="F83" s="60">
        <f t="shared" ca="1" si="10"/>
        <v>0.28710000000000002</v>
      </c>
      <c r="G83" s="60">
        <f t="shared" ca="1" si="14"/>
        <v>94.743000000000009</v>
      </c>
      <c r="H83" s="95">
        <f ca="1">VLOOKUP(C83,data!E84:J186,6,0)</f>
        <v>44560</v>
      </c>
      <c r="I83">
        <f t="shared" ca="1" si="11"/>
        <v>2</v>
      </c>
      <c r="K83" s="208"/>
    </row>
    <row r="84" spans="1:13" x14ac:dyDescent="0.25">
      <c r="A84" s="1">
        <f t="shared" si="12"/>
        <v>82</v>
      </c>
      <c r="B84" s="175" t="str">
        <f t="shared" ca="1" si="13"/>
        <v>VK03138</v>
      </c>
      <c r="C84" s="88" t="str">
        <f t="shared" ca="1" si="8"/>
        <v>3V0047045</v>
      </c>
      <c r="D84" s="56" t="str">
        <f ca="1">IF(C84="","",IFERROR(VLOOKUP(C84,'[1]BẢNG MÃ RING'!$A$2:$C$322,2,0),0))</f>
        <v>3V00-15.5-11.05</v>
      </c>
      <c r="E84" s="60">
        <f t="shared" ca="1" si="9"/>
        <v>220</v>
      </c>
      <c r="F84" s="60">
        <f t="shared" ca="1" si="10"/>
        <v>0.28710000000000002</v>
      </c>
      <c r="G84" s="60">
        <f t="shared" ca="1" si="14"/>
        <v>63.162000000000006</v>
      </c>
      <c r="H84" s="95">
        <f ca="1">VLOOKUP(C84,data!E85:J187,6,0)</f>
        <v>44560</v>
      </c>
      <c r="I84">
        <f t="shared" ca="1" si="11"/>
        <v>2</v>
      </c>
      <c r="K84" s="208"/>
    </row>
    <row r="85" spans="1:13" x14ac:dyDescent="0.25">
      <c r="A85" s="1">
        <f t="shared" si="12"/>
        <v>83</v>
      </c>
      <c r="B85" s="175" t="str">
        <f t="shared" ca="1" si="13"/>
        <v>VA03262</v>
      </c>
      <c r="C85" s="88" t="str">
        <f t="shared" ca="1" si="8"/>
        <v>3V0047095</v>
      </c>
      <c r="D85" s="56" t="str">
        <f ca="1">IF(C85="","",IFERROR(VLOOKUP(C85,'[1]BẢNG MÃ RING'!$A$2:$C$322,2,0),0))</f>
        <v>3V00-15.5-9.8</v>
      </c>
      <c r="E85" s="60">
        <f t="shared" ca="1" si="9"/>
        <v>330</v>
      </c>
      <c r="F85" s="60">
        <f t="shared" ca="1" si="10"/>
        <v>0.28710000000000002</v>
      </c>
      <c r="G85" s="60">
        <f t="shared" ca="1" si="14"/>
        <v>94.743000000000009</v>
      </c>
      <c r="H85" s="95">
        <f ca="1">VLOOKUP(C85,data!E86:J188,6,0)</f>
        <v>44560</v>
      </c>
      <c r="I85">
        <f t="shared" ca="1" si="11"/>
        <v>3</v>
      </c>
      <c r="K85" s="208"/>
    </row>
    <row r="86" spans="1:13" x14ac:dyDescent="0.25">
      <c r="A86" s="1">
        <f t="shared" si="12"/>
        <v>84</v>
      </c>
      <c r="B86" s="175" t="str">
        <f t="shared" ca="1" si="13"/>
        <v>VK03136</v>
      </c>
      <c r="C86" s="88" t="str">
        <f t="shared" ca="1" si="8"/>
        <v>3V0047095</v>
      </c>
      <c r="D86" s="56" t="str">
        <f ca="1">IF(C86="","",IFERROR(VLOOKUP(C86,'[1]BẢNG MÃ RING'!$A$2:$C$322,2,0),0))</f>
        <v>3V00-15.5-9.8</v>
      </c>
      <c r="E86" s="60">
        <f t="shared" ca="1" si="9"/>
        <v>220</v>
      </c>
      <c r="F86" s="60">
        <f t="shared" ca="1" si="10"/>
        <v>0.28710000000000002</v>
      </c>
      <c r="G86" s="60">
        <f t="shared" ca="1" si="14"/>
        <v>63.162000000000006</v>
      </c>
      <c r="H86" s="95">
        <f ca="1">VLOOKUP(C86,data!E87:J189,6,0)</f>
        <v>44560</v>
      </c>
      <c r="I86">
        <f t="shared" ca="1" si="11"/>
        <v>3</v>
      </c>
      <c r="K86" s="208"/>
    </row>
    <row r="87" spans="1:13" x14ac:dyDescent="0.25">
      <c r="A87" s="1">
        <f t="shared" si="12"/>
        <v>85</v>
      </c>
      <c r="B87" s="175" t="str">
        <f t="shared" ca="1" si="13"/>
        <v>VK03137</v>
      </c>
      <c r="C87" s="88" t="str">
        <f t="shared" ca="1" si="8"/>
        <v>3V0047095</v>
      </c>
      <c r="D87" s="56" t="str">
        <f ca="1">IF(C87="","",IFERROR(VLOOKUP(C87,'[1]BẢNG MÃ RING'!$A$2:$C$322,2,0),0))</f>
        <v>3V00-15.5-9.8</v>
      </c>
      <c r="E87" s="60">
        <f t="shared" ca="1" si="9"/>
        <v>220</v>
      </c>
      <c r="F87" s="60">
        <f t="shared" ca="1" si="10"/>
        <v>0.28710000000000002</v>
      </c>
      <c r="G87" s="60">
        <f t="shared" ca="1" si="14"/>
        <v>63.162000000000006</v>
      </c>
      <c r="H87" s="95">
        <f ca="1">VLOOKUP(C87,data!E88:J190,6,0)</f>
        <v>44560</v>
      </c>
      <c r="I87">
        <f t="shared" ca="1" si="11"/>
        <v>3</v>
      </c>
      <c r="K87" s="208"/>
    </row>
    <row r="88" spans="1:13" x14ac:dyDescent="0.25">
      <c r="A88" s="1">
        <f t="shared" si="12"/>
        <v>86</v>
      </c>
      <c r="B88" s="175" t="str">
        <f t="shared" ca="1" si="13"/>
        <v>VA03260</v>
      </c>
      <c r="C88" s="88" t="str">
        <f t="shared" ca="1" si="8"/>
        <v>3V00470A5</v>
      </c>
      <c r="D88" s="56" t="str">
        <f ca="1">IF(C88="","",IFERROR(VLOOKUP(C88,'[1]BẢNG MÃ RING'!$A$2:$C$322,2,0),0))</f>
        <v>3V00-15.5-11.75</v>
      </c>
      <c r="E88" s="60">
        <f t="shared" ca="1" si="9"/>
        <v>220</v>
      </c>
      <c r="F88" s="60">
        <f t="shared" ca="1" si="10"/>
        <v>0.28710000000000002</v>
      </c>
      <c r="G88" s="60">
        <f t="shared" ca="1" si="14"/>
        <v>63.162000000000006</v>
      </c>
      <c r="H88" s="95">
        <f ca="1">VLOOKUP(C88,data!E89:J191,6,0)</f>
        <v>44560</v>
      </c>
      <c r="I88">
        <f t="shared" ca="1" si="11"/>
        <v>1</v>
      </c>
      <c r="K88" s="208"/>
    </row>
    <row r="89" spans="1:13" x14ac:dyDescent="0.25">
      <c r="A89" s="1">
        <f t="shared" si="12"/>
        <v>87</v>
      </c>
      <c r="B89" s="175" t="str">
        <f t="shared" ca="1" si="13"/>
        <v>VA03261</v>
      </c>
      <c r="C89" s="88" t="str">
        <f t="shared" ca="1" si="8"/>
        <v>3V00470B5</v>
      </c>
      <c r="D89" s="56" t="str">
        <f ca="1">IF(C89="","",IFERROR(VLOOKUP(C89,'[1]BẢNG MÃ RING'!$A$2:$C$322,2,0),0))</f>
        <v>3V00-15.5-12.75</v>
      </c>
      <c r="E89" s="60">
        <f t="shared" ca="1" si="9"/>
        <v>220</v>
      </c>
      <c r="F89" s="60">
        <f t="shared" ca="1" si="10"/>
        <v>0.28710000000000002</v>
      </c>
      <c r="G89" s="60">
        <f t="shared" ca="1" si="14"/>
        <v>63.162000000000006</v>
      </c>
      <c r="H89" s="95">
        <f ca="1">VLOOKUP(C89,data!E90:J192,6,0)</f>
        <v>44560</v>
      </c>
      <c r="I89">
        <f t="shared" ca="1" si="11"/>
        <v>1</v>
      </c>
      <c r="K89" s="208"/>
    </row>
    <row r="90" spans="1:13" x14ac:dyDescent="0.25">
      <c r="A90" s="1">
        <f t="shared" si="12"/>
        <v>88</v>
      </c>
      <c r="B90" s="175" t="str">
        <f t="shared" ca="1" si="13"/>
        <v>VE03260</v>
      </c>
      <c r="C90" s="88" t="str">
        <f t="shared" ca="1" si="8"/>
        <v>3V00470M0</v>
      </c>
      <c r="D90" s="56" t="str">
        <f ca="1">IF(C90="","",IFERROR(VLOOKUP(C90,'[1]BẢNG MÃ RING'!$A$2:$C$322,2,0),0))</f>
        <v>3V00-15.5-8</v>
      </c>
      <c r="E90" s="60">
        <f t="shared" ca="1" si="9"/>
        <v>60</v>
      </c>
      <c r="F90" s="60">
        <f t="shared" ca="1" si="10"/>
        <v>0.28710000000000002</v>
      </c>
      <c r="G90" s="60">
        <f t="shared" ca="1" si="14"/>
        <v>17.226000000000003</v>
      </c>
      <c r="H90" s="95">
        <f ca="1">VLOOKUP(C90,data!E91:J193,6,0)</f>
        <v>44560</v>
      </c>
      <c r="I90">
        <f t="shared" ca="1" si="11"/>
        <v>3</v>
      </c>
      <c r="K90" s="208"/>
    </row>
    <row r="91" spans="1:13" x14ac:dyDescent="0.25">
      <c r="A91" s="1">
        <f t="shared" si="12"/>
        <v>89</v>
      </c>
      <c r="B91" s="175" t="str">
        <f t="shared" ca="1" si="13"/>
        <v>VE03268</v>
      </c>
      <c r="C91" s="88" t="str">
        <f t="shared" ca="1" si="8"/>
        <v>3V00470M0</v>
      </c>
      <c r="D91" s="56" t="str">
        <f ca="1">IF(C91="","",IFERROR(VLOOKUP(C91,'[1]BẢNG MÃ RING'!$A$2:$C$322,2,0),0))</f>
        <v>3V00-15.5-8</v>
      </c>
      <c r="E91" s="60">
        <f t="shared" ca="1" si="9"/>
        <v>60</v>
      </c>
      <c r="F91" s="60">
        <f t="shared" ca="1" si="10"/>
        <v>0.28710000000000002</v>
      </c>
      <c r="G91" s="60">
        <f t="shared" ca="1" si="14"/>
        <v>17.226000000000003</v>
      </c>
      <c r="H91" s="95">
        <f ca="1">VLOOKUP(C91,data!E92:J194,6,0)</f>
        <v>44560</v>
      </c>
      <c r="I91">
        <f t="shared" ca="1" si="11"/>
        <v>3</v>
      </c>
      <c r="K91" s="208"/>
    </row>
    <row r="92" spans="1:13" x14ac:dyDescent="0.25">
      <c r="A92" s="1">
        <f t="shared" si="12"/>
        <v>90</v>
      </c>
      <c r="B92" s="175" t="str">
        <f t="shared" ca="1" si="13"/>
        <v>VU03002</v>
      </c>
      <c r="C92" s="88" t="str">
        <f t="shared" ca="1" si="8"/>
        <v>3V00470M0</v>
      </c>
      <c r="D92" s="56" t="str">
        <f ca="1">IF(C92="","",IFERROR(VLOOKUP(C92,'[1]BẢNG MÃ RING'!$A$2:$C$322,2,0),0))</f>
        <v>3V00-15.5-8</v>
      </c>
      <c r="E92" s="60">
        <f t="shared" ca="1" si="9"/>
        <v>60</v>
      </c>
      <c r="F92" s="60">
        <f t="shared" ca="1" si="10"/>
        <v>0.28710000000000002</v>
      </c>
      <c r="G92" s="60">
        <f t="shared" ca="1" si="14"/>
        <v>17.226000000000003</v>
      </c>
      <c r="H92" s="95">
        <f ca="1">VLOOKUP(C92,data!E93:J195,6,0)</f>
        <v>44560</v>
      </c>
      <c r="I92">
        <f t="shared" ca="1" si="11"/>
        <v>3</v>
      </c>
      <c r="K92" s="208"/>
    </row>
    <row r="93" spans="1:13" x14ac:dyDescent="0.25">
      <c r="A93" s="1">
        <f t="shared" si="12"/>
        <v>91</v>
      </c>
      <c r="B93" s="175" t="str">
        <f t="shared" ca="1" si="13"/>
        <v>VU03003</v>
      </c>
      <c r="C93" s="88" t="str">
        <f t="shared" ca="1" si="8"/>
        <v>3V00470N0</v>
      </c>
      <c r="D93" s="56" t="str">
        <f ca="1">IF(C93="","",IFERROR(VLOOKUP(C93,'[1]BẢNG MÃ RING'!$A$2:$C$322,2,0),0))</f>
        <v>3V00-15.5-10</v>
      </c>
      <c r="E93" s="60">
        <f t="shared" ca="1" si="9"/>
        <v>60</v>
      </c>
      <c r="F93" s="60">
        <f t="shared" ca="1" si="10"/>
        <v>0.28710000000000002</v>
      </c>
      <c r="G93" s="60">
        <f t="shared" ca="1" si="14"/>
        <v>17.226000000000003</v>
      </c>
      <c r="H93" s="95">
        <f ca="1">VLOOKUP(C93,data!E94:J196,6,0)</f>
        <v>44560</v>
      </c>
      <c r="I93">
        <f t="shared" ca="1" si="11"/>
        <v>1</v>
      </c>
      <c r="K93" s="208"/>
    </row>
    <row r="94" spans="1:13" x14ac:dyDescent="0.25">
      <c r="A94" s="1">
        <f t="shared" si="12"/>
        <v>92</v>
      </c>
      <c r="B94" s="175" t="str">
        <f t="shared" ca="1" si="13"/>
        <v>VU03004</v>
      </c>
      <c r="C94" s="88" t="str">
        <f t="shared" ca="1" si="8"/>
        <v>3V00470P0</v>
      </c>
      <c r="D94" s="56" t="str">
        <f ca="1">IF(C94="","",IFERROR(VLOOKUP(C94,'[1]BẢNG MÃ RING'!$A$2:$C$322,2,0),0))</f>
        <v>3V00-15.5-9</v>
      </c>
      <c r="E94" s="60">
        <f t="shared" ca="1" si="9"/>
        <v>110</v>
      </c>
      <c r="F94" s="60">
        <f t="shared" ca="1" si="10"/>
        <v>0.28710000000000002</v>
      </c>
      <c r="G94" s="60">
        <f t="shared" ca="1" si="14"/>
        <v>31.581000000000003</v>
      </c>
      <c r="H94" s="95">
        <f ca="1">VLOOKUP(C94,data!E95:J197,6,0)</f>
        <v>44560</v>
      </c>
      <c r="I94">
        <f t="shared" ca="1" si="11"/>
        <v>1</v>
      </c>
      <c r="K94" s="208"/>
    </row>
    <row r="95" spans="1:13" x14ac:dyDescent="0.25">
      <c r="A95" s="1">
        <f t="shared" si="12"/>
        <v>93</v>
      </c>
      <c r="B95" s="175" t="str">
        <f t="shared" ca="1" si="13"/>
        <v>VU03005</v>
      </c>
      <c r="C95" s="88" t="str">
        <f t="shared" ca="1" si="8"/>
        <v>3V00470Q0</v>
      </c>
      <c r="D95" s="56" t="str">
        <f ca="1">IF(C95="","",IFERROR(VLOOKUP(C95,'[1]BẢNG MÃ RING'!$A$2:$C$322,2,0),0))</f>
        <v>3V00-15.5-11</v>
      </c>
      <c r="E95" s="60">
        <f t="shared" ca="1" si="9"/>
        <v>60</v>
      </c>
      <c r="F95" s="60">
        <f t="shared" ca="1" si="10"/>
        <v>0.28710000000000002</v>
      </c>
      <c r="G95" s="60">
        <f t="shared" ca="1" si="14"/>
        <v>17.226000000000003</v>
      </c>
      <c r="H95" s="95">
        <f ca="1">VLOOKUP(C95,data!E96:J198,6,0)</f>
        <v>44560</v>
      </c>
      <c r="I95">
        <f t="shared" ca="1" si="11"/>
        <v>1</v>
      </c>
      <c r="K95" s="208"/>
    </row>
    <row r="96" spans="1:13" x14ac:dyDescent="0.25">
      <c r="A96" s="1">
        <f t="shared" si="12"/>
        <v>94</v>
      </c>
      <c r="B96" s="175" t="str">
        <f t="shared" ca="1" si="13"/>
        <v>VE02447</v>
      </c>
      <c r="C96" s="88" t="str">
        <f t="shared" ca="1" si="8"/>
        <v>3V00470V0</v>
      </c>
      <c r="D96" s="56" t="str">
        <f ca="1">IF(C96="","",IFERROR(VLOOKUP(C96,'[1]BẢNG MÃ RING'!$A$2:$C$322,2,0),0))</f>
        <v>3V00-15.5-9.55-V</v>
      </c>
      <c r="E96" s="60">
        <f t="shared" ca="1" si="9"/>
        <v>110</v>
      </c>
      <c r="F96" s="60">
        <f t="shared" ca="1" si="10"/>
        <v>0.28710000000000002</v>
      </c>
      <c r="G96" s="60">
        <f t="shared" ca="1" si="14"/>
        <v>31.581000000000003</v>
      </c>
      <c r="H96" s="95">
        <f ca="1">VLOOKUP(C96,data!E97:J199,6,0)</f>
        <v>44549</v>
      </c>
      <c r="I96">
        <f t="shared" ca="1" si="11"/>
        <v>2</v>
      </c>
      <c r="K96" s="208"/>
      <c r="M96" s="172"/>
    </row>
    <row r="97" spans="1:11" x14ac:dyDescent="0.25">
      <c r="A97" s="1">
        <f t="shared" si="12"/>
        <v>95</v>
      </c>
      <c r="B97" s="175" t="str">
        <f t="shared" ca="1" si="13"/>
        <v>VE02448</v>
      </c>
      <c r="C97" s="88" t="str">
        <f t="shared" ca="1" si="8"/>
        <v>3V00470V0</v>
      </c>
      <c r="D97" s="56" t="str">
        <f ca="1">IF(C97="","",IFERROR(VLOOKUP(C97,'[1]BẢNG MÃ RING'!$A$2:$C$322,2,0),0))</f>
        <v>3V00-15.5-9.55-V</v>
      </c>
      <c r="E97" s="60">
        <f t="shared" ca="1" si="9"/>
        <v>110</v>
      </c>
      <c r="F97" s="60">
        <f t="shared" ca="1" si="10"/>
        <v>0.28710000000000002</v>
      </c>
      <c r="G97" s="60">
        <f t="shared" ca="1" si="14"/>
        <v>31.581000000000003</v>
      </c>
      <c r="H97" s="95">
        <f ca="1">VLOOKUP(C97,data!E98:J200,6,0)</f>
        <v>44549</v>
      </c>
      <c r="I97">
        <f t="shared" ca="1" si="11"/>
        <v>2</v>
      </c>
      <c r="K97" s="208"/>
    </row>
    <row r="98" spans="1:11" x14ac:dyDescent="0.25">
      <c r="A98" s="1">
        <f t="shared" si="12"/>
        <v>96</v>
      </c>
      <c r="B98" s="175" t="str">
        <f t="shared" ca="1" si="13"/>
        <v>VK02D02</v>
      </c>
      <c r="C98" s="88" t="str">
        <f t="shared" ca="1" si="8"/>
        <v>3V0117900</v>
      </c>
      <c r="D98" s="56" t="str">
        <f ca="1">IF(C98="","",IFERROR(VLOOKUP(C98,'[1]BẢNG MÃ RING'!$A$2:$C$322,2,0),0))</f>
        <v>3V00-16.5-9.55</v>
      </c>
      <c r="E98" s="60">
        <f t="shared" ca="1" si="9"/>
        <v>60</v>
      </c>
      <c r="F98" s="60">
        <f t="shared" ca="1" si="10"/>
        <v>0.2475</v>
      </c>
      <c r="G98" s="60">
        <f t="shared" ca="1" si="14"/>
        <v>14.85</v>
      </c>
      <c r="H98" s="95">
        <f ca="1">VLOOKUP(C98,data!E99:J201,6,0)</f>
        <v>44546</v>
      </c>
      <c r="I98">
        <f t="shared" ca="1" si="11"/>
        <v>2</v>
      </c>
      <c r="K98" s="208"/>
    </row>
    <row r="99" spans="1:11" x14ac:dyDescent="0.25">
      <c r="A99" s="1">
        <f t="shared" si="12"/>
        <v>97</v>
      </c>
      <c r="B99" s="175" t="str">
        <f t="shared" ca="1" si="13"/>
        <v>VK02A89</v>
      </c>
      <c r="C99" s="88" t="str">
        <f t="shared" ca="1" si="8"/>
        <v>3V0117900</v>
      </c>
      <c r="D99" s="56" t="str">
        <f ca="1">IF(C99="","",IFERROR(VLOOKUP(C99,'[1]BẢNG MÃ RING'!$A$2:$C$322,2,0),0))</f>
        <v>3V00-16.5-9.55</v>
      </c>
      <c r="E99" s="60">
        <f t="shared" ca="1" si="9"/>
        <v>110</v>
      </c>
      <c r="F99" s="60">
        <f t="shared" ca="1" si="10"/>
        <v>0.2475</v>
      </c>
      <c r="G99" s="60">
        <f t="shared" ca="1" si="14"/>
        <v>27.225000000000001</v>
      </c>
      <c r="H99" s="95">
        <f ca="1">VLOOKUP(C99,data!E100:J202,6,0)</f>
        <v>44549</v>
      </c>
      <c r="I99">
        <f t="shared" ca="1" si="11"/>
        <v>2</v>
      </c>
      <c r="K99" s="208"/>
    </row>
    <row r="100" spans="1:11" x14ac:dyDescent="0.25">
      <c r="A100" s="1">
        <f t="shared" si="12"/>
        <v>98</v>
      </c>
      <c r="B100" s="175" t="str">
        <f t="shared" ca="1" si="13"/>
        <v>VK02D04</v>
      </c>
      <c r="C100" s="88" t="str">
        <f t="shared" ca="1" si="8"/>
        <v>3V0117910</v>
      </c>
      <c r="D100" s="56" t="str">
        <f ca="1">IF(C100="","",IFERROR(VLOOKUP(C100,'[1]BẢNG MÃ RING'!$A$2:$C$322,2,0),0))</f>
        <v>3V01-16.5-10.05-1</v>
      </c>
      <c r="E100" s="60">
        <f t="shared" ca="1" si="9"/>
        <v>50</v>
      </c>
      <c r="F100" s="60">
        <f t="shared" ca="1" si="10"/>
        <v>0.2475</v>
      </c>
      <c r="G100" s="60">
        <f t="shared" ca="1" si="14"/>
        <v>12.375</v>
      </c>
      <c r="H100" s="95">
        <f ca="1">VLOOKUP(C100,data!E101:J203,6,0)</f>
        <v>44546</v>
      </c>
      <c r="I100">
        <f t="shared" ca="1" si="11"/>
        <v>8</v>
      </c>
      <c r="K100" s="208"/>
    </row>
    <row r="101" spans="1:11" x14ac:dyDescent="0.25">
      <c r="A101" s="1">
        <f t="shared" si="12"/>
        <v>99</v>
      </c>
      <c r="B101" s="175" t="str">
        <f t="shared" ca="1" si="13"/>
        <v>VK03151</v>
      </c>
      <c r="C101" s="88" t="str">
        <f t="shared" ca="1" si="8"/>
        <v>3V0117910</v>
      </c>
      <c r="D101" s="56" t="str">
        <f ca="1">IF(C101="","",IFERROR(VLOOKUP(C101,'[1]BẢNG MÃ RING'!$A$2:$C$322,2,0),0))</f>
        <v>3V01-16.5-10.05-1</v>
      </c>
      <c r="E101" s="60">
        <f t="shared" ca="1" si="9"/>
        <v>60</v>
      </c>
      <c r="F101" s="60">
        <f t="shared" ca="1" si="10"/>
        <v>0.2475</v>
      </c>
      <c r="G101" s="60">
        <f t="shared" ca="1" si="14"/>
        <v>14.85</v>
      </c>
      <c r="H101" s="95">
        <f ca="1">VLOOKUP(C101,data!E102:J204,6,0)</f>
        <v>44560</v>
      </c>
      <c r="I101">
        <f t="shared" ca="1" si="11"/>
        <v>8</v>
      </c>
      <c r="K101" s="208"/>
    </row>
    <row r="102" spans="1:11" x14ac:dyDescent="0.25">
      <c r="A102" s="1">
        <f t="shared" si="12"/>
        <v>100</v>
      </c>
      <c r="B102" s="175" t="str">
        <f t="shared" ca="1" si="13"/>
        <v>VK03153</v>
      </c>
      <c r="C102" s="88" t="str">
        <f t="shared" ca="1" si="8"/>
        <v>3V0117910</v>
      </c>
      <c r="D102" s="56" t="str">
        <f ca="1">IF(C102="","",IFERROR(VLOOKUP(C102,'[1]BẢNG MÃ RING'!$A$2:$C$322,2,0),0))</f>
        <v>3V01-16.5-10.05-1</v>
      </c>
      <c r="E102" s="60">
        <f t="shared" ca="1" si="9"/>
        <v>60</v>
      </c>
      <c r="F102" s="60">
        <f t="shared" ca="1" si="10"/>
        <v>0.2475</v>
      </c>
      <c r="G102" s="60">
        <f t="shared" ca="1" si="14"/>
        <v>14.85</v>
      </c>
      <c r="H102" s="95">
        <f ca="1">VLOOKUP(C102,data!E103:J205,6,0)</f>
        <v>44560</v>
      </c>
      <c r="I102">
        <f t="shared" ca="1" si="11"/>
        <v>8</v>
      </c>
      <c r="K102" s="208"/>
    </row>
    <row r="103" spans="1:11" x14ac:dyDescent="0.25">
      <c r="A103" s="1">
        <f t="shared" si="12"/>
        <v>101</v>
      </c>
      <c r="B103" s="175" t="str">
        <f t="shared" ca="1" si="13"/>
        <v>VK03155</v>
      </c>
      <c r="C103" s="88" t="str">
        <f t="shared" ca="1" si="8"/>
        <v>3V0117910</v>
      </c>
      <c r="D103" s="56" t="str">
        <f ca="1">IF(C103="","",IFERROR(VLOOKUP(C103,'[1]BẢNG MÃ RING'!$A$2:$C$322,2,0),0))</f>
        <v>3V01-16.5-10.05-1</v>
      </c>
      <c r="E103" s="60">
        <f t="shared" ca="1" si="9"/>
        <v>60</v>
      </c>
      <c r="F103" s="60">
        <f t="shared" ca="1" si="10"/>
        <v>0.2475</v>
      </c>
      <c r="G103" s="60">
        <f t="shared" ca="1" si="14"/>
        <v>14.85</v>
      </c>
      <c r="H103" s="95">
        <f ca="1">VLOOKUP(C103,data!E104:J206,6,0)</f>
        <v>44560</v>
      </c>
      <c r="I103">
        <f t="shared" ca="1" si="11"/>
        <v>8</v>
      </c>
      <c r="K103" s="208"/>
    </row>
    <row r="104" spans="1:11" x14ac:dyDescent="0.25">
      <c r="A104" s="1">
        <f t="shared" si="12"/>
        <v>102</v>
      </c>
      <c r="B104" s="175" t="str">
        <f t="shared" ca="1" si="13"/>
        <v>VK02A90</v>
      </c>
      <c r="C104" s="88" t="str">
        <f t="shared" ca="1" si="8"/>
        <v>3V0117910</v>
      </c>
      <c r="D104" s="56" t="str">
        <f ca="1">IF(C104="","",IFERROR(VLOOKUP(C104,'[1]BẢNG MÃ RING'!$A$2:$C$322,2,0),0))</f>
        <v>3V01-16.5-10.05-1</v>
      </c>
      <c r="E104" s="60">
        <f t="shared" ca="1" si="9"/>
        <v>110</v>
      </c>
      <c r="F104" s="60">
        <f t="shared" ca="1" si="10"/>
        <v>0.2475</v>
      </c>
      <c r="G104" s="60">
        <f t="shared" ca="1" si="14"/>
        <v>27.225000000000001</v>
      </c>
      <c r="H104" s="95">
        <f ca="1">VLOOKUP(C104,data!E105:J207,6,0)</f>
        <v>44549</v>
      </c>
      <c r="I104">
        <f t="shared" ca="1" si="11"/>
        <v>8</v>
      </c>
      <c r="K104" s="208"/>
    </row>
    <row r="105" spans="1:11" x14ac:dyDescent="0.25">
      <c r="A105" s="1">
        <f t="shared" si="12"/>
        <v>103</v>
      </c>
      <c r="B105" s="175" t="str">
        <f t="shared" ca="1" si="13"/>
        <v>VK02A93</v>
      </c>
      <c r="C105" s="88" t="str">
        <f t="shared" ca="1" si="8"/>
        <v>3V0117910</v>
      </c>
      <c r="D105" s="56" t="str">
        <f ca="1">IF(C105="","",IFERROR(VLOOKUP(C105,'[1]BẢNG MÃ RING'!$A$2:$C$322,2,0),0))</f>
        <v>3V01-16.5-10.05-1</v>
      </c>
      <c r="E105" s="60">
        <f t="shared" ca="1" si="9"/>
        <v>110</v>
      </c>
      <c r="F105" s="60">
        <f t="shared" ca="1" si="10"/>
        <v>0.2475</v>
      </c>
      <c r="G105" s="60">
        <f t="shared" ca="1" si="14"/>
        <v>27.225000000000001</v>
      </c>
      <c r="H105" s="95">
        <f ca="1">VLOOKUP(C105,data!E106:J208,6,0)</f>
        <v>44549</v>
      </c>
      <c r="I105">
        <f t="shared" ca="1" si="11"/>
        <v>8</v>
      </c>
      <c r="J105" s="50"/>
      <c r="K105" s="208"/>
    </row>
    <row r="106" spans="1:11" x14ac:dyDescent="0.25">
      <c r="A106" s="1">
        <f t="shared" si="12"/>
        <v>104</v>
      </c>
      <c r="B106" s="175" t="str">
        <f t="shared" ca="1" si="13"/>
        <v>VK02A95</v>
      </c>
      <c r="C106" s="88" t="str">
        <f t="shared" ca="1" si="8"/>
        <v>3V0117910</v>
      </c>
      <c r="D106" s="56" t="str">
        <f ca="1">IF(C106="","",IFERROR(VLOOKUP(C106,'[1]BẢNG MÃ RING'!$A$2:$C$322,2,0),0))</f>
        <v>3V01-16.5-10.05-1</v>
      </c>
      <c r="E106" s="60">
        <f t="shared" ca="1" si="9"/>
        <v>110</v>
      </c>
      <c r="F106" s="60">
        <f t="shared" ca="1" si="10"/>
        <v>0.2475</v>
      </c>
      <c r="G106" s="60">
        <f t="shared" ca="1" si="14"/>
        <v>27.225000000000001</v>
      </c>
      <c r="H106" s="95">
        <f ca="1">VLOOKUP(C106,data!E107:J209,6,0)</f>
        <v>44549</v>
      </c>
      <c r="I106">
        <f t="shared" ca="1" si="11"/>
        <v>8</v>
      </c>
      <c r="K106" s="208"/>
    </row>
    <row r="107" spans="1:11" x14ac:dyDescent="0.25">
      <c r="A107" s="1">
        <f t="shared" si="12"/>
        <v>105</v>
      </c>
      <c r="B107" s="175" t="str">
        <f t="shared" ca="1" si="13"/>
        <v>VK02A96</v>
      </c>
      <c r="C107" s="88" t="str">
        <f t="shared" ca="1" si="8"/>
        <v>3V0117910</v>
      </c>
      <c r="D107" s="56" t="str">
        <f ca="1">IF(C107="","",IFERROR(VLOOKUP(C107,'[1]BẢNG MÃ RING'!$A$2:$C$322,2,0),0))</f>
        <v>3V01-16.5-10.05-1</v>
      </c>
      <c r="E107" s="60">
        <f t="shared" ca="1" si="9"/>
        <v>110</v>
      </c>
      <c r="F107" s="60">
        <f t="shared" ca="1" si="10"/>
        <v>0.2475</v>
      </c>
      <c r="G107" s="60">
        <f t="shared" ca="1" si="14"/>
        <v>27.225000000000001</v>
      </c>
      <c r="H107" s="95">
        <f ca="1">VLOOKUP(C107,data!E108:J210,6,0)</f>
        <v>44549</v>
      </c>
      <c r="I107">
        <f t="shared" ca="1" si="11"/>
        <v>8</v>
      </c>
      <c r="K107" s="208"/>
    </row>
    <row r="108" spans="1:11" x14ac:dyDescent="0.25">
      <c r="A108" s="1">
        <f t="shared" si="12"/>
        <v>106</v>
      </c>
      <c r="B108" s="175" t="str">
        <f t="shared" ca="1" si="13"/>
        <v>VK02D05</v>
      </c>
      <c r="C108" s="88" t="str">
        <f t="shared" ca="1" si="8"/>
        <v>3V0117920</v>
      </c>
      <c r="D108" s="56" t="str">
        <f ca="1">IF(C108="","",IFERROR(VLOOKUP(C108,'[1]BẢNG MÃ RING'!$A$2:$C$322,2,0),0))</f>
        <v>3V01-16.5-10.55-2</v>
      </c>
      <c r="E108" s="60">
        <f t="shared" ca="1" si="9"/>
        <v>60</v>
      </c>
      <c r="F108" s="60">
        <f t="shared" ca="1" si="10"/>
        <v>0.2475</v>
      </c>
      <c r="G108" s="60">
        <f t="shared" ca="1" si="14"/>
        <v>14.85</v>
      </c>
      <c r="H108" s="95">
        <f ca="1">VLOOKUP(C108,data!E109:J211,6,0)</f>
        <v>44546</v>
      </c>
      <c r="I108">
        <f t="shared" ca="1" si="11"/>
        <v>4</v>
      </c>
      <c r="K108" s="208"/>
    </row>
    <row r="109" spans="1:11" x14ac:dyDescent="0.25">
      <c r="A109" s="1">
        <f t="shared" si="12"/>
        <v>107</v>
      </c>
      <c r="B109" s="175" t="str">
        <f t="shared" ca="1" si="13"/>
        <v>VK03154</v>
      </c>
      <c r="C109" s="88" t="str">
        <f t="shared" ca="1" si="8"/>
        <v>3V0117920</v>
      </c>
      <c r="D109" s="56" t="str">
        <f ca="1">IF(C109="","",IFERROR(VLOOKUP(C109,'[1]BẢNG MÃ RING'!$A$2:$C$322,2,0),0))</f>
        <v>3V01-16.5-10.55-2</v>
      </c>
      <c r="E109" s="60">
        <f t="shared" ca="1" si="9"/>
        <v>90</v>
      </c>
      <c r="F109" s="60">
        <f t="shared" ca="1" si="10"/>
        <v>0.2475</v>
      </c>
      <c r="G109" s="60">
        <f t="shared" ca="1" si="14"/>
        <v>22.274999999999999</v>
      </c>
      <c r="H109" s="95">
        <f ca="1">VLOOKUP(C109,data!E110:J212,6,0)</f>
        <v>44560</v>
      </c>
      <c r="I109">
        <f t="shared" ca="1" si="11"/>
        <v>4</v>
      </c>
      <c r="K109" s="208"/>
    </row>
    <row r="110" spans="1:11" x14ac:dyDescent="0.25">
      <c r="A110" s="1">
        <f t="shared" si="12"/>
        <v>108</v>
      </c>
      <c r="B110" s="175" t="str">
        <f t="shared" ca="1" si="13"/>
        <v>VK03156</v>
      </c>
      <c r="C110" s="88" t="str">
        <f t="shared" ca="1" si="8"/>
        <v>3V0117920</v>
      </c>
      <c r="D110" s="56" t="str">
        <f ca="1">IF(C110="","",IFERROR(VLOOKUP(C110,'[1]BẢNG MÃ RING'!$A$2:$C$322,2,0),0))</f>
        <v>3V01-16.5-10.55-2</v>
      </c>
      <c r="E110" s="60">
        <f t="shared" ca="1" si="9"/>
        <v>110</v>
      </c>
      <c r="F110" s="60">
        <f t="shared" ca="1" si="10"/>
        <v>0.2475</v>
      </c>
      <c r="G110" s="60">
        <f t="shared" ca="1" si="14"/>
        <v>27.225000000000001</v>
      </c>
      <c r="H110" s="95">
        <f ca="1">VLOOKUP(C110,data!E111:J213,6,0)</f>
        <v>44560</v>
      </c>
      <c r="I110">
        <f t="shared" ca="1" si="11"/>
        <v>4</v>
      </c>
      <c r="K110" s="208"/>
    </row>
    <row r="111" spans="1:11" x14ac:dyDescent="0.25">
      <c r="A111" s="1">
        <f t="shared" si="12"/>
        <v>109</v>
      </c>
      <c r="B111" s="175" t="str">
        <f t="shared" ca="1" si="13"/>
        <v>VK02A94</v>
      </c>
      <c r="C111" s="88" t="str">
        <f t="shared" ca="1" si="8"/>
        <v>3V0117920</v>
      </c>
      <c r="D111" s="56" t="str">
        <f ca="1">IF(C111="","",IFERROR(VLOOKUP(C111,'[1]BẢNG MÃ RING'!$A$2:$C$322,2,0),0))</f>
        <v>3V01-16.5-10.55-2</v>
      </c>
      <c r="E111" s="60">
        <f t="shared" ca="1" si="9"/>
        <v>110</v>
      </c>
      <c r="F111" s="60">
        <f t="shared" ca="1" si="10"/>
        <v>0.2475</v>
      </c>
      <c r="G111" s="60">
        <f t="shared" ca="1" si="14"/>
        <v>27.225000000000001</v>
      </c>
      <c r="H111" s="95">
        <f ca="1">VLOOKUP(C111,data!E112:J214,6,0)</f>
        <v>44549</v>
      </c>
      <c r="I111">
        <f t="shared" ca="1" si="11"/>
        <v>4</v>
      </c>
      <c r="K111" s="208"/>
    </row>
    <row r="112" spans="1:11" x14ac:dyDescent="0.25">
      <c r="A112" s="1">
        <f t="shared" si="12"/>
        <v>110</v>
      </c>
      <c r="B112" s="175" t="str">
        <f t="shared" ca="1" si="13"/>
        <v>VK03152</v>
      </c>
      <c r="C112" s="88" t="str">
        <f t="shared" ca="1" si="8"/>
        <v>3V01179M0</v>
      </c>
      <c r="D112" s="56" t="str">
        <f ca="1">IF(C112="","",IFERROR(VLOOKUP(C112,'[1]BẢNG MÃ RING'!$A$2:$C$322,2,0),0))</f>
        <v>3V01-16.5-11.05-M</v>
      </c>
      <c r="E112" s="60">
        <f t="shared" ca="1" si="9"/>
        <v>60</v>
      </c>
      <c r="F112" s="60">
        <f t="shared" ca="1" si="10"/>
        <v>0.2475</v>
      </c>
      <c r="G112" s="60">
        <f t="shared" ca="1" si="14"/>
        <v>14.85</v>
      </c>
      <c r="H112" s="95">
        <f ca="1">VLOOKUP(C112,data!E113:J215,6,0)</f>
        <v>44560</v>
      </c>
      <c r="I112">
        <f t="shared" ca="1" si="11"/>
        <v>1</v>
      </c>
      <c r="K112" s="208"/>
    </row>
    <row r="113" spans="1:11" x14ac:dyDescent="0.25">
      <c r="A113" s="1">
        <f t="shared" si="12"/>
        <v>111</v>
      </c>
      <c r="B113" s="175" t="str">
        <f t="shared" ca="1" si="13"/>
        <v>VK03157</v>
      </c>
      <c r="C113" s="88" t="str">
        <f t="shared" ca="1" si="8"/>
        <v>3V01179N5</v>
      </c>
      <c r="D113" s="56" t="str">
        <f ca="1">IF(C113="","",IFERROR(VLOOKUP(C113,'[1]BẢNG MÃ RING'!$A$2:$C$322,2,0),0))</f>
        <v>3V01-16.5-11.55-N5</v>
      </c>
      <c r="E113" s="60">
        <f t="shared" ca="1" si="9"/>
        <v>20</v>
      </c>
      <c r="F113" s="60">
        <f t="shared" ca="1" si="10"/>
        <v>0.2475</v>
      </c>
      <c r="G113" s="60">
        <f t="shared" ca="1" si="14"/>
        <v>4.95</v>
      </c>
      <c r="H113" s="95">
        <f ca="1">VLOOKUP(C113,data!E114:J216,6,0)</f>
        <v>44560</v>
      </c>
      <c r="I113">
        <f t="shared" ca="1" si="11"/>
        <v>2</v>
      </c>
      <c r="K113" s="208"/>
    </row>
    <row r="114" spans="1:11" x14ac:dyDescent="0.25">
      <c r="A114" s="1">
        <f t="shared" si="12"/>
        <v>112</v>
      </c>
      <c r="B114" s="175" t="str">
        <f t="shared" ca="1" si="13"/>
        <v>VK03158</v>
      </c>
      <c r="C114" s="88" t="str">
        <f t="shared" ca="1" si="8"/>
        <v>3V01179N5</v>
      </c>
      <c r="D114" s="56" t="str">
        <f ca="1">IF(C114="","",IFERROR(VLOOKUP(C114,'[1]BẢNG MÃ RING'!$A$2:$C$322,2,0),0))</f>
        <v>3V01-16.5-11.55-N5</v>
      </c>
      <c r="E114" s="60">
        <f t="shared" ca="1" si="9"/>
        <v>60</v>
      </c>
      <c r="F114" s="60">
        <f t="shared" ca="1" si="10"/>
        <v>0.2475</v>
      </c>
      <c r="G114" s="60">
        <f t="shared" ca="1" si="14"/>
        <v>14.85</v>
      </c>
      <c r="H114" s="95">
        <f ca="1">VLOOKUP(C114,data!E115:J217,6,0)</f>
        <v>44560</v>
      </c>
      <c r="I114">
        <f t="shared" ca="1" si="11"/>
        <v>2</v>
      </c>
      <c r="K114" s="208"/>
    </row>
    <row r="115" spans="1:11" x14ac:dyDescent="0.25">
      <c r="A115" s="1">
        <f t="shared" si="12"/>
        <v>113</v>
      </c>
      <c r="B115" s="175" t="str">
        <f t="shared" ca="1" si="13"/>
        <v>VK02F54</v>
      </c>
      <c r="C115" s="88" t="str">
        <f t="shared" ca="1" si="8"/>
        <v>3V01179Q0</v>
      </c>
      <c r="D115" s="56" t="str">
        <f ca="1">IF(C115="","",IFERROR(VLOOKUP(C115,'[1]BẢNG MÃ RING'!$A$2:$C$322,2,0),0))</f>
        <v>3V01-16.5-11.05</v>
      </c>
      <c r="E115" s="60">
        <f t="shared" ca="1" si="9"/>
        <v>60</v>
      </c>
      <c r="F115" s="60">
        <f t="shared" ca="1" si="10"/>
        <v>0.2475</v>
      </c>
      <c r="G115" s="60">
        <f t="shared" ca="1" si="14"/>
        <v>14.85</v>
      </c>
      <c r="H115" s="95">
        <f ca="1">VLOOKUP(C115,data!E116:J218,6,0)</f>
        <v>44546</v>
      </c>
      <c r="I115">
        <f t="shared" ca="1" si="11"/>
        <v>3</v>
      </c>
      <c r="K115" s="208"/>
    </row>
    <row r="116" spans="1:11" x14ac:dyDescent="0.25">
      <c r="A116" s="1">
        <f t="shared" si="12"/>
        <v>114</v>
      </c>
      <c r="B116" s="175" t="str">
        <f t="shared" ca="1" si="13"/>
        <v>VK02F55</v>
      </c>
      <c r="C116" s="88" t="str">
        <f t="shared" ca="1" si="8"/>
        <v>3V01179Q0</v>
      </c>
      <c r="D116" s="56" t="str">
        <f ca="1">IF(C116="","",IFERROR(VLOOKUP(C116,'[1]BẢNG MÃ RING'!$A$2:$C$322,2,0),0))</f>
        <v>3V01-16.5-11.05</v>
      </c>
      <c r="E116" s="60">
        <f t="shared" ca="1" si="9"/>
        <v>60</v>
      </c>
      <c r="F116" s="60">
        <f t="shared" ca="1" si="10"/>
        <v>0.2475</v>
      </c>
      <c r="G116" s="60">
        <f t="shared" ca="1" si="14"/>
        <v>14.85</v>
      </c>
      <c r="H116" s="95">
        <f ca="1">VLOOKUP(C116,data!E117:J219,6,0)</f>
        <v>44546</v>
      </c>
      <c r="I116">
        <f t="shared" ca="1" si="11"/>
        <v>3</v>
      </c>
      <c r="K116" s="208"/>
    </row>
    <row r="117" spans="1:11" x14ac:dyDescent="0.25">
      <c r="A117" s="1">
        <f t="shared" si="12"/>
        <v>115</v>
      </c>
      <c r="B117" s="175" t="str">
        <f t="shared" ca="1" si="13"/>
        <v>VK02F57</v>
      </c>
      <c r="C117" s="88" t="str">
        <f t="shared" ca="1" si="8"/>
        <v>3V01179Q0</v>
      </c>
      <c r="D117" s="56" t="str">
        <f ca="1">IF(C117="","",IFERROR(VLOOKUP(C117,'[1]BẢNG MÃ RING'!$A$2:$C$322,2,0),0))</f>
        <v>3V01-16.5-11.05</v>
      </c>
      <c r="E117" s="60">
        <f t="shared" ca="1" si="9"/>
        <v>60</v>
      </c>
      <c r="F117" s="60">
        <f t="shared" ca="1" si="10"/>
        <v>0.2475</v>
      </c>
      <c r="G117" s="60">
        <f t="shared" ca="1" si="14"/>
        <v>14.85</v>
      </c>
      <c r="H117" s="95">
        <f ca="1">VLOOKUP(C117,data!E118:J220,6,0)</f>
        <v>44546</v>
      </c>
      <c r="I117">
        <f t="shared" ca="1" si="11"/>
        <v>3</v>
      </c>
      <c r="K117" s="208"/>
    </row>
    <row r="118" spans="1:11" x14ac:dyDescent="0.25">
      <c r="A118" s="1">
        <f t="shared" si="12"/>
        <v>116</v>
      </c>
      <c r="B118" s="175" t="str">
        <f t="shared" ca="1" si="13"/>
        <v>VK02F56</v>
      </c>
      <c r="C118" s="88" t="str">
        <f t="shared" ca="1" si="8"/>
        <v>3V01179T0</v>
      </c>
      <c r="D118" s="56" t="str">
        <f ca="1">IF(C118="","",IFERROR(VLOOKUP(C118,'[1]BẢNG MÃ RING'!$A$2:$C$322,2,0),0))</f>
        <v>3V01-16.5-10.05-T</v>
      </c>
      <c r="E118" s="60">
        <f t="shared" ca="1" si="9"/>
        <v>40</v>
      </c>
      <c r="F118" s="60">
        <f t="shared" ca="1" si="10"/>
        <v>0.2475</v>
      </c>
      <c r="G118" s="60">
        <f t="shared" ca="1" si="14"/>
        <v>9.9</v>
      </c>
      <c r="H118" s="95">
        <f ca="1">VLOOKUP(C118,data!E119:J221,6,0)</f>
        <v>44546</v>
      </c>
      <c r="I118">
        <f t="shared" ca="1" si="11"/>
        <v>1</v>
      </c>
      <c r="K118" s="208"/>
    </row>
    <row r="119" spans="1:11" x14ac:dyDescent="0.25">
      <c r="A119" s="1">
        <f t="shared" si="12"/>
        <v>117</v>
      </c>
      <c r="B119" s="175" t="str">
        <f t="shared" ca="1" si="13"/>
        <v>VB02484</v>
      </c>
      <c r="C119" s="88" t="str">
        <f t="shared" ca="1" si="8"/>
        <v>3V01179W0</v>
      </c>
      <c r="D119" s="56" t="str">
        <f ca="1">IF(C119="","",IFERROR(VLOOKUP(C119,'[1]BẢNG MÃ RING'!$A$2:$C$322,2,0),0))</f>
        <v>3V01-16.5-13.05-W</v>
      </c>
      <c r="E119" s="60">
        <f t="shared" ca="1" si="9"/>
        <v>110</v>
      </c>
      <c r="F119" s="60">
        <f t="shared" ca="1" si="10"/>
        <v>0.2475</v>
      </c>
      <c r="G119" s="60">
        <f t="shared" ca="1" si="14"/>
        <v>27.225000000000001</v>
      </c>
      <c r="H119" s="95">
        <f ca="1">VLOOKUP(C119,data!E120:J222,6,0)</f>
        <v>44560</v>
      </c>
      <c r="I119">
        <f t="shared" ca="1" si="11"/>
        <v>1</v>
      </c>
      <c r="K119" s="208"/>
    </row>
    <row r="120" spans="1:11" x14ac:dyDescent="0.25">
      <c r="A120" s="1">
        <f t="shared" si="12"/>
        <v>118</v>
      </c>
      <c r="B120" s="175" t="str">
        <f t="shared" ca="1" si="13"/>
        <v>VB02483</v>
      </c>
      <c r="C120" s="88" t="str">
        <f t="shared" ca="1" si="8"/>
        <v>3V01179X0</v>
      </c>
      <c r="D120" s="56" t="str">
        <f ca="1">IF(C120="","",IFERROR(VLOOKUP(C120,'[1]BẢNG MÃ RING'!$A$2:$C$322,2,0),0))</f>
        <v>3V01-16.5-11.55</v>
      </c>
      <c r="E120" s="60">
        <f t="shared" ca="1" si="9"/>
        <v>100</v>
      </c>
      <c r="F120" s="60">
        <f t="shared" ca="1" si="10"/>
        <v>0.2475</v>
      </c>
      <c r="G120" s="60">
        <f t="shared" ca="1" si="14"/>
        <v>24.75</v>
      </c>
      <c r="H120" s="95">
        <f ca="1">VLOOKUP(C120,data!E121:J223,6,0)</f>
        <v>44560</v>
      </c>
      <c r="I120">
        <f t="shared" ca="1" si="11"/>
        <v>1</v>
      </c>
      <c r="K120" s="208"/>
    </row>
    <row r="121" spans="1:11" x14ac:dyDescent="0.25">
      <c r="A121" s="1">
        <f t="shared" si="12"/>
        <v>119</v>
      </c>
      <c r="B121" s="175" t="str">
        <f t="shared" ca="1" si="13"/>
        <v>VK02F54</v>
      </c>
      <c r="C121" s="88" t="str">
        <f t="shared" ca="1" si="8"/>
        <v>3V0168610</v>
      </c>
      <c r="D121" s="56" t="str">
        <f ca="1">IF(C121="","",IFERROR(VLOOKUP(C121,'[1]BẢNG MÃ RING'!$A$2:$C$322,2,0),0))</f>
        <v>3V01-26.5-22.8</v>
      </c>
      <c r="E121" s="60">
        <f t="shared" ca="1" si="9"/>
        <v>60</v>
      </c>
      <c r="F121" s="60">
        <f t="shared" ca="1" si="10"/>
        <v>0.59</v>
      </c>
      <c r="G121" s="60">
        <f t="shared" ca="1" si="14"/>
        <v>35.4</v>
      </c>
      <c r="H121" s="95">
        <f ca="1">VLOOKUP(C121,data!E122:J224,6,0)</f>
        <v>44546</v>
      </c>
      <c r="I121">
        <f t="shared" ca="1" si="11"/>
        <v>4</v>
      </c>
      <c r="K121" s="208"/>
    </row>
    <row r="122" spans="1:11" x14ac:dyDescent="0.25">
      <c r="A122" s="1">
        <f t="shared" si="12"/>
        <v>120</v>
      </c>
      <c r="B122" s="175" t="str">
        <f t="shared" ca="1" si="13"/>
        <v>VK02F55</v>
      </c>
      <c r="C122" s="88" t="str">
        <f t="shared" ca="1" si="8"/>
        <v>3V0168610</v>
      </c>
      <c r="D122" s="56" t="str">
        <f ca="1">IF(C122="","",IFERROR(VLOOKUP(C122,'[1]BẢNG MÃ RING'!$A$2:$C$322,2,0),0))</f>
        <v>3V01-26.5-22.8</v>
      </c>
      <c r="E122" s="60">
        <f t="shared" ca="1" si="9"/>
        <v>60</v>
      </c>
      <c r="F122" s="60">
        <f t="shared" ca="1" si="10"/>
        <v>0.59</v>
      </c>
      <c r="G122" s="60">
        <f t="shared" ca="1" si="14"/>
        <v>35.4</v>
      </c>
      <c r="H122" s="95">
        <f ca="1">VLOOKUP(C122,data!E123:J225,6,0)</f>
        <v>44546</v>
      </c>
      <c r="I122">
        <f t="shared" ca="1" si="11"/>
        <v>4</v>
      </c>
      <c r="K122" s="208"/>
    </row>
    <row r="123" spans="1:11" x14ac:dyDescent="0.25">
      <c r="A123" s="1">
        <f t="shared" si="12"/>
        <v>121</v>
      </c>
      <c r="B123" s="175" t="str">
        <f t="shared" ca="1" si="13"/>
        <v>VK02F56</v>
      </c>
      <c r="C123" s="88" t="str">
        <f t="shared" ca="1" si="8"/>
        <v>3V0168610</v>
      </c>
      <c r="D123" s="56" t="str">
        <f ca="1">IF(C123="","",IFERROR(VLOOKUP(C123,'[1]BẢNG MÃ RING'!$A$2:$C$322,2,0),0))</f>
        <v>3V01-26.5-22.8</v>
      </c>
      <c r="E123" s="60">
        <f t="shared" ca="1" si="9"/>
        <v>60</v>
      </c>
      <c r="F123" s="60">
        <f t="shared" ca="1" si="10"/>
        <v>0.59</v>
      </c>
      <c r="G123" s="60">
        <f t="shared" ca="1" si="14"/>
        <v>35.4</v>
      </c>
      <c r="H123" s="95">
        <f ca="1">VLOOKUP(C123,data!E124:J226,6,0)</f>
        <v>44546</v>
      </c>
      <c r="I123">
        <f t="shared" ca="1" si="11"/>
        <v>4</v>
      </c>
      <c r="K123" s="208"/>
    </row>
    <row r="124" spans="1:11" x14ac:dyDescent="0.25">
      <c r="A124" s="1">
        <f t="shared" si="12"/>
        <v>122</v>
      </c>
      <c r="B124" s="175" t="str">
        <f t="shared" ca="1" si="13"/>
        <v>VK02F57</v>
      </c>
      <c r="C124" s="88" t="str">
        <f t="shared" ca="1" si="8"/>
        <v>3V0168610</v>
      </c>
      <c r="D124" s="56" t="str">
        <f ca="1">IF(C124="","",IFERROR(VLOOKUP(C124,'[1]BẢNG MÃ RING'!$A$2:$C$322,2,0),0))</f>
        <v>3V01-26.5-22.8</v>
      </c>
      <c r="E124" s="60">
        <f t="shared" ca="1" si="9"/>
        <v>60</v>
      </c>
      <c r="F124" s="60">
        <f t="shared" ca="1" si="10"/>
        <v>0.59</v>
      </c>
      <c r="G124" s="60">
        <f t="shared" ca="1" si="14"/>
        <v>35.4</v>
      </c>
      <c r="H124" s="95">
        <f ca="1">VLOOKUP(C124,data!E125:J227,6,0)</f>
        <v>44546</v>
      </c>
      <c r="I124">
        <f t="shared" ca="1" si="11"/>
        <v>4</v>
      </c>
      <c r="K124" s="208"/>
    </row>
    <row r="125" spans="1:11" x14ac:dyDescent="0.25">
      <c r="A125" s="1">
        <f t="shared" si="12"/>
        <v>123</v>
      </c>
      <c r="B125" s="175" t="str">
        <f t="shared" ca="1" si="13"/>
        <v>VK02D52</v>
      </c>
      <c r="C125" s="88" t="str">
        <f t="shared" ca="1" si="8"/>
        <v>3V0173600</v>
      </c>
      <c r="D125" s="56" t="str">
        <f ca="1">IF(C125="","",IFERROR(VLOOKUP(C125,'[1]BẢNG MÃ RING'!$A$2:$C$322,2,0),0))</f>
        <v>3V01-19-36</v>
      </c>
      <c r="E125" s="60">
        <f t="shared" ca="1" si="9"/>
        <v>60</v>
      </c>
      <c r="F125" s="60">
        <f t="shared" ca="1" si="10"/>
        <v>2.5249999999999999</v>
      </c>
      <c r="G125" s="60">
        <f t="shared" ca="1" si="14"/>
        <v>151.5</v>
      </c>
      <c r="H125" s="95">
        <f ca="1">VLOOKUP(C125,data!E126:J228,6,0)</f>
        <v>44546</v>
      </c>
      <c r="I125">
        <f t="shared" ca="1" si="11"/>
        <v>2</v>
      </c>
      <c r="K125" s="208"/>
    </row>
    <row r="126" spans="1:11" x14ac:dyDescent="0.25">
      <c r="A126" s="1">
        <f t="shared" si="12"/>
        <v>124</v>
      </c>
      <c r="B126" s="175" t="str">
        <f t="shared" ca="1" si="13"/>
        <v>VK02B37</v>
      </c>
      <c r="C126" s="88" t="str">
        <f t="shared" ca="1" si="8"/>
        <v>3V0173600</v>
      </c>
      <c r="D126" s="56" t="str">
        <f ca="1">IF(C126="","",IFERROR(VLOOKUP(C126,'[1]BẢNG MÃ RING'!$A$2:$C$322,2,0),0))</f>
        <v>3V01-19-36</v>
      </c>
      <c r="E126" s="60">
        <f t="shared" ca="1" si="9"/>
        <v>70</v>
      </c>
      <c r="F126" s="60">
        <f t="shared" ca="1" si="10"/>
        <v>2.5249999999999999</v>
      </c>
      <c r="G126" s="60">
        <f t="shared" ca="1" si="14"/>
        <v>176.75</v>
      </c>
      <c r="H126" s="95">
        <f ca="1">VLOOKUP(C126,data!E127:J228,6,0)</f>
        <v>44546</v>
      </c>
      <c r="I126">
        <f t="shared" ca="1" si="11"/>
        <v>2</v>
      </c>
      <c r="K126" s="208"/>
    </row>
    <row r="127" spans="1:11" x14ac:dyDescent="0.25">
      <c r="A127" s="1">
        <f t="shared" si="12"/>
        <v>125</v>
      </c>
      <c r="B127" s="175" t="str">
        <f t="shared" ca="1" si="13"/>
        <v>VU03026</v>
      </c>
      <c r="C127" s="88" t="str">
        <f t="shared" ca="1" si="8"/>
        <v>3V0185630</v>
      </c>
      <c r="D127" s="56" t="str">
        <f ca="1">IF(C127="","",IFERROR(VLOOKUP(C127,'[1]BẢNG MÃ RING'!$A$2:$C$322,2,0),0))</f>
        <v>3V01-19-10.55</v>
      </c>
      <c r="E127" s="60">
        <f t="shared" ca="1" si="9"/>
        <v>60</v>
      </c>
      <c r="F127" s="60">
        <f t="shared" ca="1" si="10"/>
        <v>1.0669999999999999</v>
      </c>
      <c r="G127" s="60">
        <f t="shared" ca="1" si="14"/>
        <v>64.02</v>
      </c>
      <c r="H127" s="95">
        <f ca="1">VLOOKUP(C127,data!E128:J228,6,0)</f>
        <v>44560</v>
      </c>
      <c r="I127">
        <f t="shared" ca="1" si="11"/>
        <v>1</v>
      </c>
      <c r="K127" s="208"/>
    </row>
    <row r="128" spans="1:11" x14ac:dyDescent="0.25">
      <c r="A128" s="1">
        <f t="shared" si="12"/>
        <v>126</v>
      </c>
      <c r="B128" s="175" t="str">
        <f t="shared" ca="1" si="13"/>
        <v>VA03249</v>
      </c>
      <c r="C128" s="88" t="str">
        <f t="shared" ca="1" si="8"/>
        <v>3V0185660</v>
      </c>
      <c r="D128" s="56" t="str">
        <f ca="1">IF(C128="","",IFERROR(VLOOKUP(C128,'[1]BẢNG MÃ RING'!$A$2:$C$322,2,0),0))</f>
        <v>3V01-19-13</v>
      </c>
      <c r="E128" s="60">
        <f t="shared" ca="1" si="9"/>
        <v>60</v>
      </c>
      <c r="F128" s="60">
        <f t="shared" ca="1" si="10"/>
        <v>1.0669999999999999</v>
      </c>
      <c r="G128" s="60">
        <f t="shared" ca="1" si="14"/>
        <v>64.02</v>
      </c>
      <c r="H128" s="95">
        <f ca="1">VLOOKUP(C128,data!E129:J228,6,0)</f>
        <v>44560</v>
      </c>
      <c r="I128">
        <f t="shared" ca="1" si="11"/>
        <v>1</v>
      </c>
      <c r="K128" s="208"/>
    </row>
    <row r="129" spans="1:11" x14ac:dyDescent="0.25">
      <c r="A129" s="1">
        <f t="shared" si="12"/>
        <v>127</v>
      </c>
      <c r="B129" s="175" t="str">
        <f t="shared" ca="1" si="13"/>
        <v>VK02F54</v>
      </c>
      <c r="C129" s="88" t="str">
        <f t="shared" ca="1" si="8"/>
        <v>3V0193110</v>
      </c>
      <c r="D129" s="56" t="str">
        <f ca="1">IF(C129="","",IFERROR(VLOOKUP(C129,'[1]BẢNG MÃ RING'!$A$2:$C$322,2,0),0))</f>
        <v>3V01-23.5-20.6</v>
      </c>
      <c r="E129" s="60">
        <f t="shared" ca="1" si="9"/>
        <v>60</v>
      </c>
      <c r="F129" s="60">
        <f t="shared" ca="1" si="10"/>
        <v>0.42</v>
      </c>
      <c r="G129" s="60">
        <f t="shared" ca="1" si="14"/>
        <v>25.2</v>
      </c>
      <c r="H129" s="95">
        <f ca="1">VLOOKUP(C129,data!E130:J228,6,0)</f>
        <v>44546</v>
      </c>
      <c r="I129">
        <f t="shared" ca="1" si="11"/>
        <v>4</v>
      </c>
      <c r="K129" s="208"/>
    </row>
    <row r="130" spans="1:11" x14ac:dyDescent="0.25">
      <c r="A130" s="1">
        <f t="shared" si="12"/>
        <v>128</v>
      </c>
      <c r="B130" s="175" t="str">
        <f t="shared" ca="1" si="13"/>
        <v>VK02F55</v>
      </c>
      <c r="C130" s="88" t="str">
        <f t="shared" ca="1" si="8"/>
        <v>3V0193110</v>
      </c>
      <c r="D130" s="56" t="str">
        <f ca="1">IF(C130="","",IFERROR(VLOOKUP(C130,'[1]BẢNG MÃ RING'!$A$2:$C$322,2,0),0))</f>
        <v>3V01-23.5-20.6</v>
      </c>
      <c r="E130" s="60">
        <f t="shared" ca="1" si="9"/>
        <v>60</v>
      </c>
      <c r="F130" s="60">
        <f t="shared" ca="1" si="10"/>
        <v>0.42</v>
      </c>
      <c r="G130" s="60">
        <f t="shared" ca="1" si="14"/>
        <v>25.2</v>
      </c>
      <c r="H130" s="95">
        <f ca="1">VLOOKUP(C130,data!E131:J228,6,0)</f>
        <v>44546</v>
      </c>
      <c r="I130">
        <f t="shared" ca="1" si="11"/>
        <v>4</v>
      </c>
      <c r="K130" s="208"/>
    </row>
    <row r="131" spans="1:11" x14ac:dyDescent="0.25">
      <c r="A131" s="1">
        <f t="shared" si="12"/>
        <v>129</v>
      </c>
      <c r="B131" s="175" t="str">
        <f t="shared" ca="1" si="13"/>
        <v>VK02F56</v>
      </c>
      <c r="C131" s="88" t="str">
        <f t="shared" ref="C131:C194" ca="1" si="15">IF(B131="","",VLOOKUP(A131, INDIRECT( $I$1&amp;"!$A$4:$E$2000"),5,0))</f>
        <v>3V0193110</v>
      </c>
      <c r="D131" s="56" t="str">
        <f ca="1">IF(C131="","",IFERROR(VLOOKUP(C131,'[1]BẢNG MÃ RING'!$A$2:$C$322,2,0),0))</f>
        <v>3V01-23.5-20.6</v>
      </c>
      <c r="E131" s="60">
        <f t="shared" ref="E131:E194" ca="1" si="16">IF(B131="","",VLOOKUP(A131, INDIRECT( $I$1&amp;"!$A$4:$G$2000"),7,0))</f>
        <v>60</v>
      </c>
      <c r="F131" s="60">
        <f t="shared" ref="F131:F194" ca="1" si="17">IF(B131="","",VLOOKUP(A131, INDIRECT( $I$1&amp;"!$A$4:$H$2000"),8,0))</f>
        <v>0.42</v>
      </c>
      <c r="G131" s="60">
        <f t="shared" ca="1" si="14"/>
        <v>25.2</v>
      </c>
      <c r="H131" s="95">
        <f ca="1">VLOOKUP(C131,data!E132:J228,6,0)</f>
        <v>44546</v>
      </c>
      <c r="I131">
        <f t="shared" ref="I131:I194" ca="1" si="18">COUNTIF($D$3:$D$208,D131)</f>
        <v>4</v>
      </c>
      <c r="K131" s="208"/>
    </row>
    <row r="132" spans="1:11" x14ac:dyDescent="0.25">
      <c r="A132" s="1">
        <f t="shared" ref="A132:A195" si="19">IF(A131="",1,A131+1)</f>
        <v>130</v>
      </c>
      <c r="B132" s="175" t="str">
        <f t="shared" ref="B132:B195" ca="1" si="20">IFERROR( VLOOKUP(A132, INDIRECT( $I$1&amp;"!$A$4:$C$2000"),3,0),"")</f>
        <v>VK02F57</v>
      </c>
      <c r="C132" s="88" t="str">
        <f t="shared" ca="1" si="15"/>
        <v>3V0193110</v>
      </c>
      <c r="D132" s="56" t="str">
        <f ca="1">IF(C132="","",IFERROR(VLOOKUP(C132,'[1]BẢNG MÃ RING'!$A$2:$C$322,2,0),0))</f>
        <v>3V01-23.5-20.6</v>
      </c>
      <c r="E132" s="60">
        <f t="shared" ca="1" si="16"/>
        <v>60</v>
      </c>
      <c r="F132" s="60">
        <f t="shared" ca="1" si="17"/>
        <v>0.42</v>
      </c>
      <c r="G132" s="60">
        <f t="shared" ref="G132:G195" ca="1" si="21">F132*E132</f>
        <v>25.2</v>
      </c>
      <c r="H132" s="95">
        <f ca="1">VLOOKUP(C132,data!E133:J228,6,0)</f>
        <v>44546</v>
      </c>
      <c r="I132">
        <f t="shared" ca="1" si="18"/>
        <v>4</v>
      </c>
      <c r="K132" s="208"/>
    </row>
    <row r="133" spans="1:11" x14ac:dyDescent="0.25">
      <c r="A133" s="1">
        <f t="shared" si="19"/>
        <v>131</v>
      </c>
      <c r="B133" s="175" t="str">
        <f t="shared" ca="1" si="20"/>
        <v>VK02D03</v>
      </c>
      <c r="C133" s="88" t="str">
        <f t="shared" ca="1" si="15"/>
        <v>3V0201290</v>
      </c>
      <c r="D133" s="56" t="str">
        <f ca="1">IF(C133="","",IFERROR(VLOOKUP(C133,'[1]BẢNG MÃ RING'!$A$2:$C$322,2,0),0))</f>
        <v>3V0201290</v>
      </c>
      <c r="E133" s="60">
        <f t="shared" ca="1" si="16"/>
        <v>60</v>
      </c>
      <c r="F133" s="60">
        <f t="shared" ca="1" si="17"/>
        <v>0.252</v>
      </c>
      <c r="G133" s="60">
        <f t="shared" ca="1" si="21"/>
        <v>15.120000000000001</v>
      </c>
      <c r="H133" s="95">
        <f ca="1">VLOOKUP(C133,data!E134:J228,6,0)</f>
        <v>44546</v>
      </c>
      <c r="I133">
        <f t="shared" ca="1" si="18"/>
        <v>2</v>
      </c>
      <c r="K133" s="208"/>
    </row>
    <row r="134" spans="1:11" x14ac:dyDescent="0.25">
      <c r="A134" s="1">
        <f t="shared" si="19"/>
        <v>132</v>
      </c>
      <c r="B134" s="175" t="str">
        <f t="shared" ca="1" si="20"/>
        <v>VK02A91</v>
      </c>
      <c r="C134" s="88" t="str">
        <f t="shared" ca="1" si="15"/>
        <v>3V0201290</v>
      </c>
      <c r="D134" s="56" t="str">
        <f ca="1">IF(C134="","",IFERROR(VLOOKUP(C134,'[1]BẢNG MÃ RING'!$A$2:$C$322,2,0),0))</f>
        <v>3V0201290</v>
      </c>
      <c r="E134" s="60">
        <f t="shared" ca="1" si="16"/>
        <v>110</v>
      </c>
      <c r="F134" s="60">
        <f t="shared" ca="1" si="17"/>
        <v>0.252</v>
      </c>
      <c r="G134" s="60">
        <f t="shared" ca="1" si="21"/>
        <v>27.72</v>
      </c>
      <c r="H134" s="95">
        <f ca="1">VLOOKUP(C134,data!E135:J228,6,0)</f>
        <v>44549</v>
      </c>
      <c r="I134">
        <f t="shared" ca="1" si="18"/>
        <v>2</v>
      </c>
      <c r="K134" s="208"/>
    </row>
    <row r="135" spans="1:11" x14ac:dyDescent="0.25">
      <c r="A135" s="1">
        <f t="shared" si="19"/>
        <v>133</v>
      </c>
      <c r="B135" s="175" t="str">
        <f t="shared" ca="1" si="20"/>
        <v>VK02D06</v>
      </c>
      <c r="C135" s="88" t="str">
        <f t="shared" ca="1" si="15"/>
        <v>3V02012A0</v>
      </c>
      <c r="D135" s="56" t="str">
        <f ca="1">IF(C135="","",IFERROR(VLOOKUP(C135,'[1]BẢNG MÃ RING'!$A$2:$C$322,2,0),0))</f>
        <v>3V02-18-11.55-A</v>
      </c>
      <c r="E135" s="60">
        <f t="shared" ca="1" si="16"/>
        <v>60</v>
      </c>
      <c r="F135" s="60">
        <f t="shared" ca="1" si="17"/>
        <v>0.252</v>
      </c>
      <c r="G135" s="60">
        <f t="shared" ca="1" si="21"/>
        <v>15.120000000000001</v>
      </c>
      <c r="H135" s="95">
        <f ca="1">VLOOKUP(C135,data!E136:J228,6,0)</f>
        <v>44546</v>
      </c>
      <c r="I135">
        <f t="shared" ca="1" si="18"/>
        <v>2</v>
      </c>
      <c r="K135" s="208"/>
    </row>
    <row r="136" spans="1:11" x14ac:dyDescent="0.25">
      <c r="A136" s="1">
        <f t="shared" si="19"/>
        <v>134</v>
      </c>
      <c r="B136" s="175" t="str">
        <f t="shared" ca="1" si="20"/>
        <v>VK02A92</v>
      </c>
      <c r="C136" s="88" t="str">
        <f t="shared" ca="1" si="15"/>
        <v>3V02012A0</v>
      </c>
      <c r="D136" s="56" t="str">
        <f ca="1">IF(C136="","",IFERROR(VLOOKUP(C136,'[1]BẢNG MÃ RING'!$A$2:$C$322,2,0),0))</f>
        <v>3V02-18-11.55-A</v>
      </c>
      <c r="E136" s="60">
        <f t="shared" ca="1" si="16"/>
        <v>100</v>
      </c>
      <c r="F136" s="60">
        <f t="shared" ca="1" si="17"/>
        <v>0.252</v>
      </c>
      <c r="G136" s="60">
        <f t="shared" ca="1" si="21"/>
        <v>25.2</v>
      </c>
      <c r="H136" s="95">
        <f ca="1">VLOOKUP(C136,data!E137:J228,6,0)</f>
        <v>44549</v>
      </c>
      <c r="I136">
        <f t="shared" ca="1" si="18"/>
        <v>2</v>
      </c>
      <c r="K136" s="208"/>
    </row>
    <row r="137" spans="1:11" x14ac:dyDescent="0.25">
      <c r="A137" s="1">
        <f t="shared" si="19"/>
        <v>135</v>
      </c>
      <c r="B137" s="175" t="str">
        <f t="shared" ca="1" si="20"/>
        <v>VE04057</v>
      </c>
      <c r="C137" s="88" t="str">
        <f t="shared" ca="1" si="15"/>
        <v>3V02012B0</v>
      </c>
      <c r="D137" s="56" t="str">
        <f ca="1">IF(C137="","",IFERROR(VLOOKUP(C137,'[1]BẢNG MÃ RING'!$A$2:$C$322,2,0),0))</f>
        <v>3V02-18-11.55-B</v>
      </c>
      <c r="E137" s="60">
        <f t="shared" ca="1" si="16"/>
        <v>40</v>
      </c>
      <c r="F137" s="60">
        <f t="shared" ca="1" si="17"/>
        <v>0.252</v>
      </c>
      <c r="G137" s="60">
        <f t="shared" ca="1" si="21"/>
        <v>10.08</v>
      </c>
      <c r="H137" s="95">
        <f ca="1">VLOOKUP(C137,data!E138:J228,6,0)</f>
        <v>44581</v>
      </c>
      <c r="I137">
        <f t="shared" ca="1" si="18"/>
        <v>2</v>
      </c>
      <c r="K137" s="208"/>
    </row>
    <row r="138" spans="1:11" x14ac:dyDescent="0.25">
      <c r="A138" s="1">
        <f t="shared" si="19"/>
        <v>136</v>
      </c>
      <c r="B138" s="175" t="str">
        <f t="shared" ca="1" si="20"/>
        <v>VE04063</v>
      </c>
      <c r="C138" s="88" t="str">
        <f t="shared" ca="1" si="15"/>
        <v>3V02012B0</v>
      </c>
      <c r="D138" s="56" t="str">
        <f ca="1">IF(C138="","",IFERROR(VLOOKUP(C138,'[1]BẢNG MÃ RING'!$A$2:$C$322,2,0),0))</f>
        <v>3V02-18-11.55-B</v>
      </c>
      <c r="E138" s="60">
        <f t="shared" ca="1" si="16"/>
        <v>60</v>
      </c>
      <c r="F138" s="60">
        <f t="shared" ca="1" si="17"/>
        <v>0.252</v>
      </c>
      <c r="G138" s="60">
        <f t="shared" ca="1" si="21"/>
        <v>15.120000000000001</v>
      </c>
      <c r="H138" s="95">
        <f ca="1">VLOOKUP(C138,data!E139:J228,6,0)</f>
        <v>44581</v>
      </c>
      <c r="I138">
        <f t="shared" ca="1" si="18"/>
        <v>2</v>
      </c>
      <c r="K138" s="208"/>
    </row>
    <row r="139" spans="1:11" x14ac:dyDescent="0.25">
      <c r="A139" s="1">
        <f t="shared" si="19"/>
        <v>137</v>
      </c>
      <c r="B139" s="175" t="str">
        <f t="shared" ca="1" si="20"/>
        <v>VE04056</v>
      </c>
      <c r="C139" s="88" t="str">
        <f t="shared" ca="1" si="15"/>
        <v>3V02012C0</v>
      </c>
      <c r="D139" s="56" t="str">
        <f ca="1">IF(C139="","",IFERROR(VLOOKUP(C139,'[1]BẢNG MÃ RING'!$A$2:$C$322,2,0),0))</f>
        <v>3V02-18-12.05-C</v>
      </c>
      <c r="E139" s="60">
        <f t="shared" ca="1" si="16"/>
        <v>60</v>
      </c>
      <c r="F139" s="60">
        <f t="shared" ca="1" si="17"/>
        <v>0.252</v>
      </c>
      <c r="G139" s="60">
        <f t="shared" ca="1" si="21"/>
        <v>15.120000000000001</v>
      </c>
      <c r="H139" s="95">
        <f ca="1">VLOOKUP(C139,data!E140:J228,6,0)</f>
        <v>44581</v>
      </c>
      <c r="I139">
        <f t="shared" ca="1" si="18"/>
        <v>2</v>
      </c>
      <c r="K139" s="208"/>
    </row>
    <row r="140" spans="1:11" x14ac:dyDescent="0.25">
      <c r="A140" s="1">
        <f t="shared" si="19"/>
        <v>138</v>
      </c>
      <c r="B140" s="175" t="str">
        <f t="shared" ca="1" si="20"/>
        <v>VE04062</v>
      </c>
      <c r="C140" s="88" t="str">
        <f t="shared" ca="1" si="15"/>
        <v>3V02012C0</v>
      </c>
      <c r="D140" s="56" t="str">
        <f ca="1">IF(C140="","",IFERROR(VLOOKUP(C140,'[1]BẢNG MÃ RING'!$A$2:$C$322,2,0),0))</f>
        <v>3V02-18-12.05-C</v>
      </c>
      <c r="E140" s="60">
        <f t="shared" ca="1" si="16"/>
        <v>60</v>
      </c>
      <c r="F140" s="60">
        <f t="shared" ca="1" si="17"/>
        <v>0.252</v>
      </c>
      <c r="G140" s="60">
        <f t="shared" ca="1" si="21"/>
        <v>15.120000000000001</v>
      </c>
      <c r="H140" s="95">
        <f ca="1">VLOOKUP(C140,data!E141:J228,6,0)</f>
        <v>44581</v>
      </c>
      <c r="I140">
        <f t="shared" ca="1" si="18"/>
        <v>2</v>
      </c>
      <c r="K140" s="208"/>
    </row>
    <row r="141" spans="1:11" x14ac:dyDescent="0.25">
      <c r="A141" s="1">
        <f t="shared" si="19"/>
        <v>139</v>
      </c>
      <c r="B141" s="175" t="str">
        <f t="shared" ca="1" si="20"/>
        <v>VK02D07</v>
      </c>
      <c r="C141" s="88" t="str">
        <f t="shared" ca="1" si="15"/>
        <v>3V02012P0</v>
      </c>
      <c r="D141" s="56" t="str">
        <f ca="1">IF(C141="","",IFERROR(VLOOKUP(C141,'[1]BẢNG MÃ RING'!$A$2:$C$322,2,0),0))</f>
        <v>3V02-18-12.05-P</v>
      </c>
      <c r="E141" s="60">
        <f t="shared" ca="1" si="16"/>
        <v>50</v>
      </c>
      <c r="F141" s="60">
        <f t="shared" ca="1" si="17"/>
        <v>0.252</v>
      </c>
      <c r="G141" s="60">
        <f t="shared" ca="1" si="21"/>
        <v>12.6</v>
      </c>
      <c r="H141" s="95">
        <f ca="1">VLOOKUP(C141,data!E142:J228,6,0)</f>
        <v>44546</v>
      </c>
      <c r="I141">
        <f t="shared" ca="1" si="18"/>
        <v>1</v>
      </c>
      <c r="K141" s="208"/>
    </row>
    <row r="142" spans="1:11" x14ac:dyDescent="0.25">
      <c r="A142" s="1">
        <f t="shared" si="19"/>
        <v>140</v>
      </c>
      <c r="B142" s="175" t="str">
        <f t="shared" ca="1" si="20"/>
        <v>VK02C46</v>
      </c>
      <c r="C142" s="88" t="str">
        <f t="shared" ca="1" si="15"/>
        <v>3V0207420</v>
      </c>
      <c r="D142" s="56" t="str">
        <f ca="1">IF(C142="","",IFERROR(VLOOKUP(C142,'[1]BẢNG MÃ RING'!$A$2:$C$322,2,0),0))</f>
        <v>3V02-30.8-24</v>
      </c>
      <c r="E142" s="60">
        <f t="shared" ca="1" si="16"/>
        <v>100</v>
      </c>
      <c r="F142" s="60">
        <f t="shared" ca="1" si="17"/>
        <v>0.84150000000000003</v>
      </c>
      <c r="G142" s="60">
        <f t="shared" ca="1" si="21"/>
        <v>84.15</v>
      </c>
      <c r="H142" s="95">
        <f ca="1">VLOOKUP(C142,data!E143:J228,6,0)</f>
        <v>44560</v>
      </c>
      <c r="I142">
        <f t="shared" ca="1" si="18"/>
        <v>3</v>
      </c>
      <c r="K142" s="208"/>
    </row>
    <row r="143" spans="1:11" x14ac:dyDescent="0.25">
      <c r="A143" s="1">
        <f t="shared" si="19"/>
        <v>141</v>
      </c>
      <c r="B143" s="175" t="str">
        <f t="shared" ca="1" si="20"/>
        <v>VK02C47</v>
      </c>
      <c r="C143" s="88" t="str">
        <f t="shared" ca="1" si="15"/>
        <v>3V0207420</v>
      </c>
      <c r="D143" s="56" t="str">
        <f ca="1">IF(C143="","",IFERROR(VLOOKUP(C143,'[1]BẢNG MÃ RING'!$A$2:$C$322,2,0),0))</f>
        <v>3V02-30.8-24</v>
      </c>
      <c r="E143" s="60">
        <f t="shared" ca="1" si="16"/>
        <v>110</v>
      </c>
      <c r="F143" s="60">
        <f t="shared" ca="1" si="17"/>
        <v>0.84150000000000003</v>
      </c>
      <c r="G143" s="60">
        <f t="shared" ca="1" si="21"/>
        <v>92.564999999999998</v>
      </c>
      <c r="H143" s="95">
        <f ca="1">VLOOKUP(C143,data!E144:J228,6,0)</f>
        <v>44560</v>
      </c>
      <c r="I143">
        <f t="shared" ca="1" si="18"/>
        <v>3</v>
      </c>
      <c r="K143" s="208"/>
    </row>
    <row r="144" spans="1:11" x14ac:dyDescent="0.25">
      <c r="A144" s="1">
        <f t="shared" si="19"/>
        <v>142</v>
      </c>
      <c r="B144" s="175" t="str">
        <f t="shared" ca="1" si="20"/>
        <v>VK02C48</v>
      </c>
      <c r="C144" s="88" t="str">
        <f t="shared" ca="1" si="15"/>
        <v>3V0207420</v>
      </c>
      <c r="D144" s="56" t="str">
        <f ca="1">IF(C144="","",IFERROR(VLOOKUP(C144,'[1]BẢNG MÃ RING'!$A$2:$C$322,2,0),0))</f>
        <v>3V02-30.8-24</v>
      </c>
      <c r="E144" s="60">
        <f t="shared" ca="1" si="16"/>
        <v>110</v>
      </c>
      <c r="F144" s="60">
        <f t="shared" ca="1" si="17"/>
        <v>0.84150000000000003</v>
      </c>
      <c r="G144" s="60">
        <f t="shared" ca="1" si="21"/>
        <v>92.564999999999998</v>
      </c>
      <c r="H144" s="95">
        <f ca="1">VLOOKUP(C144,data!E145:J228,6,0)</f>
        <v>44560</v>
      </c>
      <c r="I144">
        <f t="shared" ca="1" si="18"/>
        <v>3</v>
      </c>
      <c r="K144" s="208"/>
    </row>
    <row r="145" spans="1:11" x14ac:dyDescent="0.25">
      <c r="A145" s="1">
        <f t="shared" si="19"/>
        <v>143</v>
      </c>
      <c r="B145" s="175" t="str">
        <f t="shared" ca="1" si="20"/>
        <v>VK02C46</v>
      </c>
      <c r="C145" s="88" t="str">
        <f t="shared" ca="1" si="15"/>
        <v>3V0207520</v>
      </c>
      <c r="D145" s="56" t="str">
        <f ca="1">IF(C145="","",IFERROR(VLOOKUP(C145,'[1]BẢNG MÃ RING'!$A$2:$C$322,2,0),0))</f>
        <v>3V02-25.4-24</v>
      </c>
      <c r="E145" s="60">
        <f t="shared" ca="1" si="16"/>
        <v>70</v>
      </c>
      <c r="F145" s="60">
        <f t="shared" ca="1" si="17"/>
        <v>0.74250000000000005</v>
      </c>
      <c r="G145" s="60">
        <f t="shared" ca="1" si="21"/>
        <v>51.975000000000001</v>
      </c>
      <c r="H145" s="95">
        <f ca="1">VLOOKUP(C145,data!E146:J228,6,0)</f>
        <v>44560</v>
      </c>
      <c r="I145">
        <f t="shared" ca="1" si="18"/>
        <v>3</v>
      </c>
      <c r="K145" s="208"/>
    </row>
    <row r="146" spans="1:11" x14ac:dyDescent="0.25">
      <c r="A146" s="1">
        <f t="shared" si="19"/>
        <v>144</v>
      </c>
      <c r="B146" s="175" t="str">
        <f t="shared" ca="1" si="20"/>
        <v>VK02C47</v>
      </c>
      <c r="C146" s="88" t="str">
        <f t="shared" ca="1" si="15"/>
        <v>3V0207520</v>
      </c>
      <c r="D146" s="56" t="str">
        <f ca="1">IF(C146="","",IFERROR(VLOOKUP(C146,'[1]BẢNG MÃ RING'!$A$2:$C$322,2,0),0))</f>
        <v>3V02-25.4-24</v>
      </c>
      <c r="E146" s="60">
        <f t="shared" ca="1" si="16"/>
        <v>110</v>
      </c>
      <c r="F146" s="60">
        <f t="shared" ca="1" si="17"/>
        <v>0.74250000000000005</v>
      </c>
      <c r="G146" s="60">
        <f t="shared" ca="1" si="21"/>
        <v>81.675000000000011</v>
      </c>
      <c r="H146" s="95">
        <f ca="1">VLOOKUP(C146,data!E147:J228,6,0)</f>
        <v>44560</v>
      </c>
      <c r="I146">
        <f t="shared" ca="1" si="18"/>
        <v>3</v>
      </c>
      <c r="K146" s="208"/>
    </row>
    <row r="147" spans="1:11" x14ac:dyDescent="0.25">
      <c r="A147" s="1">
        <f t="shared" si="19"/>
        <v>145</v>
      </c>
      <c r="B147" s="175" t="str">
        <f t="shared" ca="1" si="20"/>
        <v>VK02C48</v>
      </c>
      <c r="C147" s="88" t="str">
        <f t="shared" ca="1" si="15"/>
        <v>3V0207520</v>
      </c>
      <c r="D147" s="56" t="str">
        <f ca="1">IF(C147="","",IFERROR(VLOOKUP(C147,'[1]BẢNG MÃ RING'!$A$2:$C$322,2,0),0))</f>
        <v>3V02-25.4-24</v>
      </c>
      <c r="E147" s="60">
        <f t="shared" ca="1" si="16"/>
        <v>110</v>
      </c>
      <c r="F147" s="60">
        <f t="shared" ca="1" si="17"/>
        <v>0.74250000000000005</v>
      </c>
      <c r="G147" s="60">
        <f t="shared" ca="1" si="21"/>
        <v>81.675000000000011</v>
      </c>
      <c r="H147" s="95">
        <f ca="1">VLOOKUP(C147,data!E148:J228,6,0)</f>
        <v>44560</v>
      </c>
      <c r="I147">
        <f t="shared" ca="1" si="18"/>
        <v>3</v>
      </c>
      <c r="K147" s="208"/>
    </row>
    <row r="148" spans="1:11" x14ac:dyDescent="0.25">
      <c r="A148" s="1">
        <f t="shared" si="19"/>
        <v>146</v>
      </c>
      <c r="B148" s="175" t="str">
        <f t="shared" ca="1" si="20"/>
        <v>VK02F34</v>
      </c>
      <c r="C148" s="88" t="str">
        <f t="shared" ca="1" si="15"/>
        <v>3V0207560</v>
      </c>
      <c r="D148" s="56" t="str">
        <f ca="1">IF(C148="","",IFERROR(VLOOKUP(C148,'[1]BẢNG MÃ RING'!$A$2:$C$322,2,0),0))</f>
        <v>3V02-25.4-22.65-6</v>
      </c>
      <c r="E148" s="60">
        <f t="shared" ca="1" si="16"/>
        <v>130</v>
      </c>
      <c r="F148" s="60">
        <f t="shared" ca="1" si="17"/>
        <v>0.74250000000000005</v>
      </c>
      <c r="G148" s="60">
        <f t="shared" ca="1" si="21"/>
        <v>96.525000000000006</v>
      </c>
      <c r="H148" s="95">
        <f ca="1">VLOOKUP(C148,data!E149:J228,6,0)</f>
        <v>44546</v>
      </c>
      <c r="I148">
        <f t="shared" ca="1" si="18"/>
        <v>2</v>
      </c>
      <c r="K148" s="208"/>
    </row>
    <row r="149" spans="1:11" x14ac:dyDescent="0.25">
      <c r="A149" s="1">
        <f t="shared" si="19"/>
        <v>147</v>
      </c>
      <c r="B149" s="175" t="str">
        <f t="shared" ca="1" si="20"/>
        <v>VK02F35</v>
      </c>
      <c r="C149" s="88" t="str">
        <f t="shared" ca="1" si="15"/>
        <v>3V0207560</v>
      </c>
      <c r="D149" s="56" t="str">
        <f ca="1">IF(C149="","",IFERROR(VLOOKUP(C149,'[1]BẢNG MÃ RING'!$A$2:$C$322,2,0),0))</f>
        <v>3V02-25.4-22.65-6</v>
      </c>
      <c r="E149" s="60">
        <f t="shared" ca="1" si="16"/>
        <v>210</v>
      </c>
      <c r="F149" s="60">
        <f t="shared" ca="1" si="17"/>
        <v>0.74250000000000005</v>
      </c>
      <c r="G149" s="60">
        <f t="shared" ca="1" si="21"/>
        <v>155.92500000000001</v>
      </c>
      <c r="H149" s="95">
        <f ca="1">VLOOKUP(C149,data!E150:J228,6,0)</f>
        <v>44546</v>
      </c>
      <c r="I149">
        <f t="shared" ca="1" si="18"/>
        <v>2</v>
      </c>
      <c r="K149" s="208"/>
    </row>
    <row r="150" spans="1:11" x14ac:dyDescent="0.25">
      <c r="A150" s="1">
        <f t="shared" si="19"/>
        <v>148</v>
      </c>
      <c r="B150" s="175" t="str">
        <f t="shared" ca="1" si="20"/>
        <v>VK02F36</v>
      </c>
      <c r="C150" s="88" t="str">
        <f t="shared" ca="1" si="15"/>
        <v>3V0207570</v>
      </c>
      <c r="D150" s="56" t="str">
        <f ca="1">IF(C150="","",IFERROR(VLOOKUP(C150,'[1]BẢNG MÃ RING'!$A$2:$C$322,2,0),0))</f>
        <v>3V0207570</v>
      </c>
      <c r="E150" s="60">
        <f t="shared" ca="1" si="16"/>
        <v>40</v>
      </c>
      <c r="F150" s="60">
        <f t="shared" ca="1" si="17"/>
        <v>0.74250000000000005</v>
      </c>
      <c r="G150" s="60">
        <f t="shared" ca="1" si="21"/>
        <v>29.700000000000003</v>
      </c>
      <c r="H150" s="95">
        <f ca="1">VLOOKUP(C150,data!E151:J228,6,0)</f>
        <v>44546</v>
      </c>
      <c r="I150">
        <f t="shared" ca="1" si="18"/>
        <v>1</v>
      </c>
      <c r="K150" s="208"/>
    </row>
    <row r="151" spans="1:11" x14ac:dyDescent="0.25">
      <c r="A151" s="1">
        <f t="shared" si="19"/>
        <v>149</v>
      </c>
      <c r="B151" s="175" t="str">
        <f t="shared" ca="1" si="20"/>
        <v>VK02F37</v>
      </c>
      <c r="C151" s="88" t="str">
        <f t="shared" ca="1" si="15"/>
        <v>3V0207580</v>
      </c>
      <c r="D151" s="56" t="str">
        <f ca="1">IF(C151="","",IFERROR(VLOOKUP(C151,'[1]BẢNG MÃ RING'!$A$2:$C$322,2,0),0))</f>
        <v>3V02-25.4-24-8</v>
      </c>
      <c r="E151" s="60">
        <f t="shared" ca="1" si="16"/>
        <v>30</v>
      </c>
      <c r="F151" s="60">
        <f t="shared" ca="1" si="17"/>
        <v>0.74250000000000005</v>
      </c>
      <c r="G151" s="60">
        <f t="shared" ca="1" si="21"/>
        <v>22.275000000000002</v>
      </c>
      <c r="H151" s="95">
        <f ca="1">VLOOKUP(C151,data!E152:J228,6,0)</f>
        <v>44546</v>
      </c>
      <c r="I151">
        <f t="shared" ca="1" si="18"/>
        <v>1</v>
      </c>
      <c r="K151" s="208"/>
    </row>
    <row r="152" spans="1:11" x14ac:dyDescent="0.25">
      <c r="A152" s="1">
        <f t="shared" si="19"/>
        <v>150</v>
      </c>
      <c r="B152" s="175" t="str">
        <f t="shared" ca="1" si="20"/>
        <v>VE02A09</v>
      </c>
      <c r="C152" s="88" t="str">
        <f t="shared" ca="1" si="15"/>
        <v>3V0240150</v>
      </c>
      <c r="D152" s="56" t="str">
        <f ca="1">IF(C152="","",IFERROR(VLOOKUP(C152,'[1]BẢNG MÃ RING'!$A$2:$C$322,2,0),0))</f>
        <v>3V02-24.4-18-5</v>
      </c>
      <c r="E152" s="60">
        <f t="shared" ca="1" si="16"/>
        <v>110</v>
      </c>
      <c r="F152" s="60">
        <f t="shared" ca="1" si="17"/>
        <v>0.59</v>
      </c>
      <c r="G152" s="60">
        <f t="shared" ca="1" si="21"/>
        <v>64.899999999999991</v>
      </c>
      <c r="H152" s="95">
        <f ca="1">VLOOKUP(C152,data!E153:J228,6,0)</f>
        <v>44539</v>
      </c>
      <c r="I152">
        <f t="shared" ca="1" si="18"/>
        <v>4</v>
      </c>
      <c r="K152" s="208"/>
    </row>
    <row r="153" spans="1:11" x14ac:dyDescent="0.25">
      <c r="A153" s="1">
        <f t="shared" si="19"/>
        <v>151</v>
      </c>
      <c r="B153" s="175" t="str">
        <f t="shared" ca="1" si="20"/>
        <v>VE02A10</v>
      </c>
      <c r="C153" s="88" t="str">
        <f t="shared" ca="1" si="15"/>
        <v>3V0240150</v>
      </c>
      <c r="D153" s="56" t="str">
        <f ca="1">IF(C153="","",IFERROR(VLOOKUP(C153,'[1]BẢNG MÃ RING'!$A$2:$C$322,2,0),0))</f>
        <v>3V02-24.4-18-5</v>
      </c>
      <c r="E153" s="60">
        <f t="shared" ca="1" si="16"/>
        <v>110</v>
      </c>
      <c r="F153" s="60">
        <f t="shared" ca="1" si="17"/>
        <v>0.59</v>
      </c>
      <c r="G153" s="60">
        <f t="shared" ca="1" si="21"/>
        <v>64.899999999999991</v>
      </c>
      <c r="H153" s="95">
        <f ca="1">VLOOKUP(C153,data!E154:J228,6,0)</f>
        <v>44539</v>
      </c>
      <c r="I153">
        <f t="shared" ca="1" si="18"/>
        <v>4</v>
      </c>
      <c r="K153" s="208"/>
    </row>
    <row r="154" spans="1:11" x14ac:dyDescent="0.25">
      <c r="A154" s="1">
        <f t="shared" si="19"/>
        <v>152</v>
      </c>
      <c r="B154" s="175" t="str">
        <f t="shared" ca="1" si="20"/>
        <v>VE02A11</v>
      </c>
      <c r="C154" s="88" t="str">
        <f t="shared" ca="1" si="15"/>
        <v>3V0240150</v>
      </c>
      <c r="D154" s="56" t="str">
        <f ca="1">IF(C154="","",IFERROR(VLOOKUP(C154,'[1]BẢNG MÃ RING'!$A$2:$C$322,2,0),0))</f>
        <v>3V02-24.4-18-5</v>
      </c>
      <c r="E154" s="60">
        <f t="shared" ca="1" si="16"/>
        <v>110</v>
      </c>
      <c r="F154" s="60">
        <f t="shared" ca="1" si="17"/>
        <v>0.59</v>
      </c>
      <c r="G154" s="60">
        <f t="shared" ca="1" si="21"/>
        <v>64.899999999999991</v>
      </c>
      <c r="H154" s="95">
        <f ca="1">VLOOKUP(C154,data!E155:J228,6,0)</f>
        <v>44539</v>
      </c>
      <c r="I154">
        <f t="shared" ca="1" si="18"/>
        <v>4</v>
      </c>
      <c r="K154" s="208"/>
    </row>
    <row r="155" spans="1:11" x14ac:dyDescent="0.25">
      <c r="A155" s="1">
        <f t="shared" si="19"/>
        <v>153</v>
      </c>
      <c r="B155" s="175" t="str">
        <f t="shared" ca="1" si="20"/>
        <v>VE02A12</v>
      </c>
      <c r="C155" s="88" t="str">
        <f t="shared" ca="1" si="15"/>
        <v>3V0240150</v>
      </c>
      <c r="D155" s="56" t="str">
        <f ca="1">IF(C155="","",IFERROR(VLOOKUP(C155,'[1]BẢNG MÃ RING'!$A$2:$C$322,2,0),0))</f>
        <v>3V02-24.4-18-5</v>
      </c>
      <c r="E155" s="60">
        <f t="shared" ca="1" si="16"/>
        <v>110</v>
      </c>
      <c r="F155" s="60">
        <f t="shared" ca="1" si="17"/>
        <v>0.59</v>
      </c>
      <c r="G155" s="60">
        <f t="shared" ca="1" si="21"/>
        <v>64.899999999999991</v>
      </c>
      <c r="H155" s="95">
        <f ca="1">VLOOKUP(C155,data!E156:J228,6,0)</f>
        <v>44539</v>
      </c>
      <c r="I155">
        <f t="shared" ca="1" si="18"/>
        <v>4</v>
      </c>
      <c r="K155" s="208"/>
    </row>
    <row r="156" spans="1:11" x14ac:dyDescent="0.25">
      <c r="A156" s="1">
        <f t="shared" si="19"/>
        <v>154</v>
      </c>
      <c r="B156" s="175" t="str">
        <f t="shared" ca="1" si="20"/>
        <v>VK02E93</v>
      </c>
      <c r="C156" s="88" t="str">
        <f t="shared" ca="1" si="15"/>
        <v>3V0248000</v>
      </c>
      <c r="D156" s="56" t="str">
        <f ca="1">IF(C156="","",IFERROR(VLOOKUP(C156,'[1]BẢNG MÃ RING'!$A$2:$C$322,2,0),0))</f>
        <v>3V02-22.2-20</v>
      </c>
      <c r="E156" s="60">
        <f t="shared" ca="1" si="16"/>
        <v>70</v>
      </c>
      <c r="F156" s="60">
        <f t="shared" ca="1" si="17"/>
        <v>0.56999999999999995</v>
      </c>
      <c r="G156" s="60">
        <f t="shared" ca="1" si="21"/>
        <v>39.9</v>
      </c>
      <c r="H156" s="95">
        <f ca="1">VLOOKUP(C156,data!E157:J228,6,0)</f>
        <v>44546</v>
      </c>
      <c r="I156">
        <f t="shared" ca="1" si="18"/>
        <v>3</v>
      </c>
      <c r="K156" s="208"/>
    </row>
    <row r="157" spans="1:11" x14ac:dyDescent="0.25">
      <c r="A157" s="1">
        <f t="shared" si="19"/>
        <v>155</v>
      </c>
      <c r="B157" s="175" t="str">
        <f t="shared" ca="1" si="20"/>
        <v>VK02E95</v>
      </c>
      <c r="C157" s="88" t="str">
        <f t="shared" ca="1" si="15"/>
        <v>3V0248000</v>
      </c>
      <c r="D157" s="56" t="str">
        <f ca="1">IF(C157="","",IFERROR(VLOOKUP(C157,'[1]BẢNG MÃ RING'!$A$2:$C$322,2,0),0))</f>
        <v>3V02-22.2-20</v>
      </c>
      <c r="E157" s="60">
        <f t="shared" ca="1" si="16"/>
        <v>130</v>
      </c>
      <c r="F157" s="60">
        <f t="shared" ca="1" si="17"/>
        <v>0.56999999999999995</v>
      </c>
      <c r="G157" s="60">
        <f t="shared" ca="1" si="21"/>
        <v>74.099999999999994</v>
      </c>
      <c r="H157" s="95">
        <f ca="1">VLOOKUP(C157,data!E158:J228,6,0)</f>
        <v>44546</v>
      </c>
      <c r="I157">
        <f t="shared" ca="1" si="18"/>
        <v>3</v>
      </c>
      <c r="K157" s="208"/>
    </row>
    <row r="158" spans="1:11" x14ac:dyDescent="0.25">
      <c r="A158" s="1">
        <f t="shared" si="19"/>
        <v>156</v>
      </c>
      <c r="B158" s="175" t="str">
        <f t="shared" ca="1" si="20"/>
        <v>VK02E97</v>
      </c>
      <c r="C158" s="88" t="str">
        <f t="shared" ca="1" si="15"/>
        <v>3V0248000</v>
      </c>
      <c r="D158" s="56" t="str">
        <f ca="1">IF(C158="","",IFERROR(VLOOKUP(C158,'[1]BẢNG MÃ RING'!$A$2:$C$322,2,0),0))</f>
        <v>3V02-22.2-20</v>
      </c>
      <c r="E158" s="60">
        <f t="shared" ca="1" si="16"/>
        <v>60</v>
      </c>
      <c r="F158" s="60">
        <f t="shared" ca="1" si="17"/>
        <v>0.56999999999999995</v>
      </c>
      <c r="G158" s="60">
        <f t="shared" ca="1" si="21"/>
        <v>34.199999999999996</v>
      </c>
      <c r="H158" s="95">
        <f ca="1">VLOOKUP(C158,data!E159:J228,6,0)</f>
        <v>44546</v>
      </c>
      <c r="I158">
        <f t="shared" ca="1" si="18"/>
        <v>3</v>
      </c>
      <c r="K158" s="208"/>
    </row>
    <row r="159" spans="1:11" x14ac:dyDescent="0.25">
      <c r="A159" s="1">
        <f t="shared" si="19"/>
        <v>157</v>
      </c>
      <c r="B159" s="175" t="str">
        <f t="shared" ca="1" si="20"/>
        <v>VU03014</v>
      </c>
      <c r="C159" s="88" t="str">
        <f t="shared" ca="1" si="15"/>
        <v>3V0252710</v>
      </c>
      <c r="D159" s="56" t="str">
        <f ca="1">IF(C159="","",IFERROR(VLOOKUP(C159,'[1]BẢNG MÃ RING'!$A$2:$C$322,2,0),0))</f>
        <v>3V02527-16.5-11.55</v>
      </c>
      <c r="E159" s="60">
        <f t="shared" ca="1" si="16"/>
        <v>110</v>
      </c>
      <c r="F159" s="60">
        <f t="shared" ca="1" si="17"/>
        <v>0.45</v>
      </c>
      <c r="G159" s="60">
        <f t="shared" ca="1" si="21"/>
        <v>49.5</v>
      </c>
      <c r="H159" s="95">
        <f ca="1">VLOOKUP(C159,data!E160:J228,6,0)</f>
        <v>44560</v>
      </c>
      <c r="I159">
        <f t="shared" ca="1" si="18"/>
        <v>3</v>
      </c>
      <c r="K159" s="208"/>
    </row>
    <row r="160" spans="1:11" x14ac:dyDescent="0.25">
      <c r="A160" s="1">
        <f t="shared" si="19"/>
        <v>158</v>
      </c>
      <c r="B160" s="175" t="str">
        <f t="shared" ca="1" si="20"/>
        <v>VU03015</v>
      </c>
      <c r="C160" s="88" t="str">
        <f t="shared" ca="1" si="15"/>
        <v>3V0252710</v>
      </c>
      <c r="D160" s="56" t="str">
        <f ca="1">IF(C160="","",IFERROR(VLOOKUP(C160,'[1]BẢNG MÃ RING'!$A$2:$C$322,2,0),0))</f>
        <v>3V02527-16.5-11.55</v>
      </c>
      <c r="E160" s="60">
        <f t="shared" ca="1" si="16"/>
        <v>60</v>
      </c>
      <c r="F160" s="60">
        <f t="shared" ca="1" si="17"/>
        <v>0.45</v>
      </c>
      <c r="G160" s="60">
        <f t="shared" ca="1" si="21"/>
        <v>27</v>
      </c>
      <c r="H160" s="95">
        <f ca="1">VLOOKUP(C160,data!E161:J228,6,0)</f>
        <v>44560</v>
      </c>
      <c r="I160">
        <f t="shared" ca="1" si="18"/>
        <v>3</v>
      </c>
      <c r="K160" s="208"/>
    </row>
    <row r="161" spans="1:11" x14ac:dyDescent="0.25">
      <c r="A161" s="1">
        <f t="shared" si="19"/>
        <v>159</v>
      </c>
      <c r="B161" s="175" t="str">
        <f t="shared" ca="1" si="20"/>
        <v>VU03016</v>
      </c>
      <c r="C161" s="88" t="str">
        <f t="shared" ca="1" si="15"/>
        <v>3V0252710</v>
      </c>
      <c r="D161" s="56" t="str">
        <f ca="1">IF(C161="","",IFERROR(VLOOKUP(C161,'[1]BẢNG MÃ RING'!$A$2:$C$322,2,0),0))</f>
        <v>3V02527-16.5-11.55</v>
      </c>
      <c r="E161" s="60">
        <f t="shared" ca="1" si="16"/>
        <v>110</v>
      </c>
      <c r="F161" s="60">
        <f t="shared" ca="1" si="17"/>
        <v>0.45</v>
      </c>
      <c r="G161" s="60">
        <f t="shared" ca="1" si="21"/>
        <v>49.5</v>
      </c>
      <c r="H161" s="95">
        <f ca="1">VLOOKUP(C161,data!E162:J228,6,0)</f>
        <v>44560</v>
      </c>
      <c r="I161">
        <f t="shared" ca="1" si="18"/>
        <v>3</v>
      </c>
      <c r="K161" s="208"/>
    </row>
    <row r="162" spans="1:11" x14ac:dyDescent="0.25">
      <c r="A162" s="1">
        <f t="shared" si="19"/>
        <v>160</v>
      </c>
      <c r="B162" s="175" t="str">
        <f t="shared" ca="1" si="20"/>
        <v>VU03008</v>
      </c>
      <c r="C162" s="88" t="str">
        <f t="shared" ca="1" si="15"/>
        <v>3V0252720</v>
      </c>
      <c r="D162" s="56" t="str">
        <f ca="1">IF(C162="","",IFERROR(VLOOKUP(C162,'[1]BẢNG MÃ RING'!$A$2:$C$322,2,0),0))</f>
        <v>3V02527-16.5-10.05</v>
      </c>
      <c r="E162" s="60">
        <f t="shared" ca="1" si="16"/>
        <v>50</v>
      </c>
      <c r="F162" s="60">
        <f t="shared" ca="1" si="17"/>
        <v>0.45</v>
      </c>
      <c r="G162" s="60">
        <f t="shared" ca="1" si="21"/>
        <v>22.5</v>
      </c>
      <c r="H162" s="95">
        <f ca="1">VLOOKUP(C162,data!E163:J228,6,0)</f>
        <v>44560</v>
      </c>
      <c r="I162">
        <f t="shared" ca="1" si="18"/>
        <v>2</v>
      </c>
      <c r="K162" s="208"/>
    </row>
    <row r="163" spans="1:11" x14ac:dyDescent="0.25">
      <c r="A163" s="1">
        <f t="shared" si="19"/>
        <v>161</v>
      </c>
      <c r="B163" s="175" t="str">
        <f t="shared" ca="1" si="20"/>
        <v>VU03009</v>
      </c>
      <c r="C163" s="88" t="str">
        <f t="shared" ca="1" si="15"/>
        <v>3V0252720</v>
      </c>
      <c r="D163" s="56" t="str">
        <f ca="1">IF(C163="","",IFERROR(VLOOKUP(C163,'[1]BẢNG MÃ RING'!$A$2:$C$322,2,0),0))</f>
        <v>3V02527-16.5-10.05</v>
      </c>
      <c r="E163" s="60">
        <f t="shared" ca="1" si="16"/>
        <v>110</v>
      </c>
      <c r="F163" s="60">
        <f t="shared" ca="1" si="17"/>
        <v>0.45</v>
      </c>
      <c r="G163" s="60">
        <f t="shared" ca="1" si="21"/>
        <v>49.5</v>
      </c>
      <c r="H163" s="95">
        <f ca="1">VLOOKUP(C163,data!E164:J228,6,0)</f>
        <v>44560</v>
      </c>
      <c r="I163">
        <f t="shared" ca="1" si="18"/>
        <v>2</v>
      </c>
      <c r="K163" s="208"/>
    </row>
    <row r="164" spans="1:11" x14ac:dyDescent="0.25">
      <c r="A164" s="1">
        <f t="shared" si="19"/>
        <v>162</v>
      </c>
      <c r="B164" s="175" t="str">
        <f t="shared" ca="1" si="20"/>
        <v>VU03007</v>
      </c>
      <c r="C164" s="88" t="str">
        <f t="shared" ca="1" si="15"/>
        <v>3V0252730</v>
      </c>
      <c r="D164" s="56" t="str">
        <f ca="1">IF(C164="","",IFERROR(VLOOKUP(C164,'[1]BẢNG MÃ RING'!$A$2:$C$322,2,0),0))</f>
        <v>3V02527-16.5-10.55</v>
      </c>
      <c r="E164" s="60">
        <f t="shared" ca="1" si="16"/>
        <v>50</v>
      </c>
      <c r="F164" s="60">
        <f t="shared" ca="1" si="17"/>
        <v>0.45</v>
      </c>
      <c r="G164" s="60">
        <f t="shared" ca="1" si="21"/>
        <v>22.5</v>
      </c>
      <c r="H164" s="95">
        <f ca="1">VLOOKUP(C164,data!E165:J228,6,0)</f>
        <v>44560</v>
      </c>
      <c r="I164">
        <f t="shared" ca="1" si="18"/>
        <v>4</v>
      </c>
      <c r="K164" s="208"/>
    </row>
    <row r="165" spans="1:11" x14ac:dyDescent="0.25">
      <c r="A165" s="1">
        <f t="shared" si="19"/>
        <v>163</v>
      </c>
      <c r="B165" s="175" t="str">
        <f t="shared" ca="1" si="20"/>
        <v>VU03012</v>
      </c>
      <c r="C165" s="88" t="str">
        <f t="shared" ca="1" si="15"/>
        <v>3V0252730</v>
      </c>
      <c r="D165" s="56" t="str">
        <f ca="1">IF(C165="","",IFERROR(VLOOKUP(C165,'[1]BẢNG MÃ RING'!$A$2:$C$322,2,0),0))</f>
        <v>3V02527-16.5-10.55</v>
      </c>
      <c r="E165" s="60">
        <f t="shared" ca="1" si="16"/>
        <v>60</v>
      </c>
      <c r="F165" s="60">
        <f t="shared" ca="1" si="17"/>
        <v>0.45</v>
      </c>
      <c r="G165" s="60">
        <f t="shared" ca="1" si="21"/>
        <v>27</v>
      </c>
      <c r="H165" s="95">
        <f ca="1">VLOOKUP(C165,data!E166:J228,6,0)</f>
        <v>44560</v>
      </c>
      <c r="I165">
        <f t="shared" ca="1" si="18"/>
        <v>4</v>
      </c>
      <c r="K165" s="208"/>
    </row>
    <row r="166" spans="1:11" x14ac:dyDescent="0.25">
      <c r="A166" s="1">
        <f t="shared" si="19"/>
        <v>164</v>
      </c>
      <c r="B166" s="175" t="str">
        <f t="shared" ca="1" si="20"/>
        <v>VU03013</v>
      </c>
      <c r="C166" s="88" t="str">
        <f t="shared" ca="1" si="15"/>
        <v>3V0252730</v>
      </c>
      <c r="D166" s="56" t="str">
        <f ca="1">IF(C166="","",IFERROR(VLOOKUP(C166,'[1]BẢNG MÃ RING'!$A$2:$C$322,2,0),0))</f>
        <v>3V02527-16.5-10.55</v>
      </c>
      <c r="E166" s="60">
        <f t="shared" ca="1" si="16"/>
        <v>170</v>
      </c>
      <c r="F166" s="60">
        <f t="shared" ca="1" si="17"/>
        <v>0.45</v>
      </c>
      <c r="G166" s="60">
        <f t="shared" ca="1" si="21"/>
        <v>76.5</v>
      </c>
      <c r="H166" s="95">
        <f ca="1">VLOOKUP(C166,data!E167:J228,6,0)</f>
        <v>44560</v>
      </c>
      <c r="I166">
        <f t="shared" ca="1" si="18"/>
        <v>4</v>
      </c>
      <c r="K166" s="208"/>
    </row>
    <row r="167" spans="1:11" x14ac:dyDescent="0.25">
      <c r="A167" s="1">
        <f t="shared" si="19"/>
        <v>165</v>
      </c>
      <c r="B167" s="175" t="str">
        <f t="shared" ca="1" si="20"/>
        <v>VU03017</v>
      </c>
      <c r="C167" s="88" t="str">
        <f t="shared" ca="1" si="15"/>
        <v>3V0252730</v>
      </c>
      <c r="D167" s="56" t="str">
        <f ca="1">IF(C167="","",IFERROR(VLOOKUP(C167,'[1]BẢNG MÃ RING'!$A$2:$C$322,2,0),0))</f>
        <v>3V02527-16.5-10.55</v>
      </c>
      <c r="E167" s="60">
        <f t="shared" ca="1" si="16"/>
        <v>60</v>
      </c>
      <c r="F167" s="60">
        <f t="shared" ca="1" si="17"/>
        <v>0.45</v>
      </c>
      <c r="G167" s="60">
        <f t="shared" ca="1" si="21"/>
        <v>27</v>
      </c>
      <c r="H167" s="95">
        <f ca="1">VLOOKUP(C167,data!E168:J228,6,0)</f>
        <v>44560</v>
      </c>
      <c r="I167">
        <f t="shared" ca="1" si="18"/>
        <v>4</v>
      </c>
      <c r="K167" s="208"/>
    </row>
    <row r="168" spans="1:11" x14ac:dyDescent="0.25">
      <c r="A168" s="1">
        <f t="shared" si="19"/>
        <v>166</v>
      </c>
      <c r="B168" s="175" t="str">
        <f t="shared" ca="1" si="20"/>
        <v>VU03007</v>
      </c>
      <c r="C168" s="88" t="str">
        <f t="shared" ca="1" si="15"/>
        <v>3V0254500</v>
      </c>
      <c r="D168" s="56" t="str">
        <f ca="1">IF(C168="","",IFERROR(VLOOKUP(C168,'[1]BẢNG MÃ RING'!$A$2:$C$322,2,0),0))</f>
        <v>3V02545-24-21.2</v>
      </c>
      <c r="E168" s="60">
        <f t="shared" ca="1" si="16"/>
        <v>30</v>
      </c>
      <c r="F168" s="60">
        <f t="shared" ca="1" si="17"/>
        <v>0.45</v>
      </c>
      <c r="G168" s="60">
        <f t="shared" ca="1" si="21"/>
        <v>13.5</v>
      </c>
      <c r="H168" s="95">
        <f ca="1">VLOOKUP(C168,data!E169:J228,6,0)</f>
        <v>44560</v>
      </c>
      <c r="I168">
        <f t="shared" ca="1" si="18"/>
        <v>9</v>
      </c>
      <c r="K168" s="208"/>
    </row>
    <row r="169" spans="1:11" x14ac:dyDescent="0.25">
      <c r="A169" s="1">
        <f t="shared" si="19"/>
        <v>167</v>
      </c>
      <c r="B169" s="175" t="str">
        <f t="shared" ca="1" si="20"/>
        <v>VU03008</v>
      </c>
      <c r="C169" s="88" t="str">
        <f t="shared" ca="1" si="15"/>
        <v>3V0254500</v>
      </c>
      <c r="D169" s="56" t="str">
        <f ca="1">IF(C169="","",IFERROR(VLOOKUP(C169,'[1]BẢNG MÃ RING'!$A$2:$C$322,2,0),0))</f>
        <v>3V02545-24-21.2</v>
      </c>
      <c r="E169" s="60">
        <f t="shared" ca="1" si="16"/>
        <v>60</v>
      </c>
      <c r="F169" s="60">
        <f t="shared" ca="1" si="17"/>
        <v>0.45</v>
      </c>
      <c r="G169" s="60">
        <f t="shared" ca="1" si="21"/>
        <v>27</v>
      </c>
      <c r="H169" s="95">
        <f ca="1">VLOOKUP(C169,data!E170:J228,6,0)</f>
        <v>44560</v>
      </c>
      <c r="I169">
        <f t="shared" ca="1" si="18"/>
        <v>9</v>
      </c>
      <c r="K169" s="208"/>
    </row>
    <row r="170" spans="1:11" x14ac:dyDescent="0.25">
      <c r="A170" s="1">
        <f t="shared" si="19"/>
        <v>168</v>
      </c>
      <c r="B170" s="175" t="str">
        <f t="shared" ca="1" si="20"/>
        <v>VU03009</v>
      </c>
      <c r="C170" s="88" t="str">
        <f t="shared" ca="1" si="15"/>
        <v>3V0254500</v>
      </c>
      <c r="D170" s="56" t="str">
        <f ca="1">IF(C170="","",IFERROR(VLOOKUP(C170,'[1]BẢNG MÃ RING'!$A$2:$C$322,2,0),0))</f>
        <v>3V02545-24-21.2</v>
      </c>
      <c r="E170" s="60">
        <f t="shared" ca="1" si="16"/>
        <v>110</v>
      </c>
      <c r="F170" s="60">
        <f t="shared" ca="1" si="17"/>
        <v>0.45</v>
      </c>
      <c r="G170" s="60">
        <f t="shared" ca="1" si="21"/>
        <v>49.5</v>
      </c>
      <c r="H170" s="95">
        <f ca="1">VLOOKUP(C170,data!E171:J228,6,0)</f>
        <v>44560</v>
      </c>
      <c r="I170">
        <f t="shared" ca="1" si="18"/>
        <v>9</v>
      </c>
      <c r="K170" s="208"/>
    </row>
    <row r="171" spans="1:11" x14ac:dyDescent="0.25">
      <c r="A171" s="1">
        <f t="shared" si="19"/>
        <v>169</v>
      </c>
      <c r="B171" s="175" t="str">
        <f t="shared" ca="1" si="20"/>
        <v>VU03012</v>
      </c>
      <c r="C171" s="88" t="str">
        <f t="shared" ca="1" si="15"/>
        <v>3V0254500</v>
      </c>
      <c r="D171" s="56" t="str">
        <f ca="1">IF(C171="","",IFERROR(VLOOKUP(C171,'[1]BẢNG MÃ RING'!$A$2:$C$322,2,0),0))</f>
        <v>3V02545-24-21.2</v>
      </c>
      <c r="E171" s="60">
        <f t="shared" ca="1" si="16"/>
        <v>60</v>
      </c>
      <c r="F171" s="60">
        <f t="shared" ca="1" si="17"/>
        <v>0.45</v>
      </c>
      <c r="G171" s="60">
        <f t="shared" ca="1" si="21"/>
        <v>27</v>
      </c>
      <c r="H171" s="95">
        <f ca="1">VLOOKUP(C171,data!E172:J228,6,0)</f>
        <v>44560</v>
      </c>
      <c r="I171">
        <f t="shared" ca="1" si="18"/>
        <v>9</v>
      </c>
      <c r="K171" s="208"/>
    </row>
    <row r="172" spans="1:11" x14ac:dyDescent="0.25">
      <c r="A172" s="1">
        <f t="shared" si="19"/>
        <v>170</v>
      </c>
      <c r="B172" s="175" t="str">
        <f t="shared" ca="1" si="20"/>
        <v>VU03013</v>
      </c>
      <c r="C172" s="88" t="str">
        <f t="shared" ca="1" si="15"/>
        <v>3V0254500</v>
      </c>
      <c r="D172" s="56" t="str">
        <f ca="1">IF(C172="","",IFERROR(VLOOKUP(C172,'[1]BẢNG MÃ RING'!$A$2:$C$322,2,0),0))</f>
        <v>3V02545-24-21.2</v>
      </c>
      <c r="E172" s="60">
        <f t="shared" ca="1" si="16"/>
        <v>170</v>
      </c>
      <c r="F172" s="60">
        <f t="shared" ca="1" si="17"/>
        <v>0.45</v>
      </c>
      <c r="G172" s="60">
        <f t="shared" ca="1" si="21"/>
        <v>76.5</v>
      </c>
      <c r="H172" s="95">
        <f ca="1">VLOOKUP(C172,data!E173:J228,6,0)</f>
        <v>44560</v>
      </c>
      <c r="I172">
        <f t="shared" ca="1" si="18"/>
        <v>9</v>
      </c>
      <c r="K172" s="208"/>
    </row>
    <row r="173" spans="1:11" x14ac:dyDescent="0.25">
      <c r="A173" s="1">
        <f t="shared" si="19"/>
        <v>171</v>
      </c>
      <c r="B173" s="175" t="str">
        <f t="shared" ca="1" si="20"/>
        <v>VU03014</v>
      </c>
      <c r="C173" s="88" t="str">
        <f t="shared" ca="1" si="15"/>
        <v>3V0254500</v>
      </c>
      <c r="D173" s="56" t="str">
        <f ca="1">IF(C173="","",IFERROR(VLOOKUP(C173,'[1]BẢNG MÃ RING'!$A$2:$C$322,2,0),0))</f>
        <v>3V02545-24-21.2</v>
      </c>
      <c r="E173" s="60">
        <f t="shared" ca="1" si="16"/>
        <v>110</v>
      </c>
      <c r="F173" s="60">
        <f t="shared" ca="1" si="17"/>
        <v>0.45</v>
      </c>
      <c r="G173" s="60">
        <f t="shared" ca="1" si="21"/>
        <v>49.5</v>
      </c>
      <c r="H173" s="95">
        <f ca="1">VLOOKUP(C173,data!E174:J228,6,0)</f>
        <v>44560</v>
      </c>
      <c r="I173">
        <f t="shared" ca="1" si="18"/>
        <v>9</v>
      </c>
      <c r="K173" s="208"/>
    </row>
    <row r="174" spans="1:11" x14ac:dyDescent="0.25">
      <c r="A174" s="1">
        <f t="shared" si="19"/>
        <v>172</v>
      </c>
      <c r="B174" s="175" t="str">
        <f t="shared" ca="1" si="20"/>
        <v>VU03015</v>
      </c>
      <c r="C174" s="88" t="str">
        <f t="shared" ca="1" si="15"/>
        <v>3V0254500</v>
      </c>
      <c r="D174" s="56" t="str">
        <f ca="1">IF(C174="","",IFERROR(VLOOKUP(C174,'[1]BẢNG MÃ RING'!$A$2:$C$322,2,0),0))</f>
        <v>3V02545-24-21.2</v>
      </c>
      <c r="E174" s="60">
        <f t="shared" ca="1" si="16"/>
        <v>60</v>
      </c>
      <c r="F174" s="60">
        <f t="shared" ca="1" si="17"/>
        <v>0.45</v>
      </c>
      <c r="G174" s="60">
        <f t="shared" ca="1" si="21"/>
        <v>27</v>
      </c>
      <c r="H174" s="95">
        <f ca="1">VLOOKUP(C174,data!E175:J228,6,0)</f>
        <v>44560</v>
      </c>
      <c r="I174">
        <f t="shared" ca="1" si="18"/>
        <v>9</v>
      </c>
      <c r="K174" s="208"/>
    </row>
    <row r="175" spans="1:11" x14ac:dyDescent="0.25">
      <c r="A175" s="1">
        <f t="shared" si="19"/>
        <v>173</v>
      </c>
      <c r="B175" s="175" t="str">
        <f t="shared" ca="1" si="20"/>
        <v>VU03016</v>
      </c>
      <c r="C175" s="88" t="str">
        <f t="shared" ca="1" si="15"/>
        <v>3V0254500</v>
      </c>
      <c r="D175" s="56" t="str">
        <f ca="1">IF(C175="","",IFERROR(VLOOKUP(C175,'[1]BẢNG MÃ RING'!$A$2:$C$322,2,0),0))</f>
        <v>3V02545-24-21.2</v>
      </c>
      <c r="E175" s="60">
        <f t="shared" ca="1" si="16"/>
        <v>110</v>
      </c>
      <c r="F175" s="60">
        <f t="shared" ca="1" si="17"/>
        <v>0.45</v>
      </c>
      <c r="G175" s="60">
        <f t="shared" ca="1" si="21"/>
        <v>49.5</v>
      </c>
      <c r="H175" s="95">
        <f ca="1">VLOOKUP(C175,data!E176:J228,6,0)</f>
        <v>44560</v>
      </c>
      <c r="I175">
        <f t="shared" ca="1" si="18"/>
        <v>9</v>
      </c>
      <c r="K175" s="208"/>
    </row>
    <row r="176" spans="1:11" x14ac:dyDescent="0.25">
      <c r="A176" s="1">
        <f t="shared" si="19"/>
        <v>174</v>
      </c>
      <c r="B176" s="175" t="str">
        <f t="shared" ca="1" si="20"/>
        <v>VU03017</v>
      </c>
      <c r="C176" s="88" t="str">
        <f t="shared" ca="1" si="15"/>
        <v>3V0254500</v>
      </c>
      <c r="D176" s="56" t="str">
        <f ca="1">IF(C176="","",IFERROR(VLOOKUP(C176,'[1]BẢNG MÃ RING'!$A$2:$C$322,2,0),0))</f>
        <v>3V02545-24-21.2</v>
      </c>
      <c r="E176" s="60">
        <f t="shared" ca="1" si="16"/>
        <v>60</v>
      </c>
      <c r="F176" s="60">
        <f t="shared" ca="1" si="17"/>
        <v>0.45</v>
      </c>
      <c r="G176" s="60">
        <f t="shared" ca="1" si="21"/>
        <v>27</v>
      </c>
      <c r="H176" s="95">
        <f ca="1">VLOOKUP(C176,data!E177:J228,6,0)</f>
        <v>44560</v>
      </c>
      <c r="I176">
        <f t="shared" ca="1" si="18"/>
        <v>9</v>
      </c>
      <c r="K176" s="208"/>
    </row>
    <row r="177" spans="1:11" x14ac:dyDescent="0.25">
      <c r="A177" s="1">
        <f t="shared" si="19"/>
        <v>175</v>
      </c>
      <c r="B177" s="175" t="str">
        <f t="shared" ca="1" si="20"/>
        <v>VK02E92</v>
      </c>
      <c r="C177" s="88" t="str">
        <f t="shared" ca="1" si="15"/>
        <v>3V0257600</v>
      </c>
      <c r="D177" s="56" t="str">
        <f ca="1">IF(C177="","",IFERROR(VLOOKUP(C177,'[1]BẢNG MÃ RING'!$A$2:$C$322,2,0),0))</f>
        <v>3V02-19.8-18</v>
      </c>
      <c r="E177" s="60">
        <f t="shared" ca="1" si="16"/>
        <v>60</v>
      </c>
      <c r="F177" s="60">
        <f t="shared" ca="1" si="17"/>
        <v>0.44</v>
      </c>
      <c r="G177" s="60">
        <f t="shared" ca="1" si="21"/>
        <v>26.4</v>
      </c>
      <c r="H177" s="95">
        <f ca="1">VLOOKUP(C177,data!E178:J228,6,0)</f>
        <v>44546</v>
      </c>
      <c r="I177">
        <f t="shared" ca="1" si="18"/>
        <v>3</v>
      </c>
      <c r="K177" s="208"/>
    </row>
    <row r="178" spans="1:11" x14ac:dyDescent="0.25">
      <c r="A178" s="1">
        <f t="shared" si="19"/>
        <v>176</v>
      </c>
      <c r="B178" s="175" t="str">
        <f t="shared" ca="1" si="20"/>
        <v>VK02E94</v>
      </c>
      <c r="C178" s="88" t="str">
        <f t="shared" ca="1" si="15"/>
        <v>3V0257600</v>
      </c>
      <c r="D178" s="56" t="str">
        <f ca="1">IF(C178="","",IFERROR(VLOOKUP(C178,'[1]BẢNG MÃ RING'!$A$2:$C$322,2,0),0))</f>
        <v>3V02-19.8-18</v>
      </c>
      <c r="E178" s="60">
        <f t="shared" ca="1" si="16"/>
        <v>60</v>
      </c>
      <c r="F178" s="60">
        <f t="shared" ca="1" si="17"/>
        <v>0.44</v>
      </c>
      <c r="G178" s="60">
        <f t="shared" ca="1" si="21"/>
        <v>26.4</v>
      </c>
      <c r="H178" s="95">
        <f ca="1">VLOOKUP(C178,data!E179:J228,6,0)</f>
        <v>44546</v>
      </c>
      <c r="I178">
        <f t="shared" ca="1" si="18"/>
        <v>3</v>
      </c>
      <c r="K178" s="208"/>
    </row>
    <row r="179" spans="1:11" x14ac:dyDescent="0.25">
      <c r="A179" s="1">
        <f t="shared" si="19"/>
        <v>177</v>
      </c>
      <c r="B179" s="175" t="str">
        <f t="shared" ca="1" si="20"/>
        <v>VK02E96</v>
      </c>
      <c r="C179" s="88" t="str">
        <f t="shared" ca="1" si="15"/>
        <v>3V0257600</v>
      </c>
      <c r="D179" s="56" t="str">
        <f ca="1">IF(C179="","",IFERROR(VLOOKUP(C179,'[1]BẢNG MÃ RING'!$A$2:$C$322,2,0),0))</f>
        <v>3V02-19.8-18</v>
      </c>
      <c r="E179" s="60">
        <f t="shared" ca="1" si="16"/>
        <v>60</v>
      </c>
      <c r="F179" s="60">
        <f t="shared" ca="1" si="17"/>
        <v>0.44</v>
      </c>
      <c r="G179" s="60">
        <f t="shared" ca="1" si="21"/>
        <v>26.4</v>
      </c>
      <c r="H179" s="95">
        <f ca="1">VLOOKUP(C179,data!E180:J228,6,0)</f>
        <v>44546</v>
      </c>
      <c r="I179">
        <f t="shared" ca="1" si="18"/>
        <v>3</v>
      </c>
      <c r="K179" s="208"/>
    </row>
    <row r="180" spans="1:11" x14ac:dyDescent="0.25">
      <c r="A180" s="1">
        <f t="shared" si="19"/>
        <v>178</v>
      </c>
      <c r="B180" s="175" t="str">
        <f t="shared" ca="1" si="20"/>
        <v>VK02E94</v>
      </c>
      <c r="C180" s="88" t="str">
        <f t="shared" ca="1" si="15"/>
        <v>3V0257900</v>
      </c>
      <c r="D180" s="56" t="str">
        <f ca="1">IF(C180="","",IFERROR(VLOOKUP(C180,'[1]BẢNG MÃ RING'!$A$2:$C$322,2,0),0))</f>
        <v>3V02-25-21.8</v>
      </c>
      <c r="E180" s="60">
        <f t="shared" ca="1" si="16"/>
        <v>40</v>
      </c>
      <c r="F180" s="60">
        <f t="shared" ca="1" si="17"/>
        <v>0.85</v>
      </c>
      <c r="G180" s="60">
        <f t="shared" ca="1" si="21"/>
        <v>34</v>
      </c>
      <c r="H180" s="95">
        <f ca="1">VLOOKUP(C180,data!E181:J229,6,0)</f>
        <v>44546</v>
      </c>
      <c r="I180">
        <f t="shared" ca="1" si="18"/>
        <v>2</v>
      </c>
      <c r="K180" s="208"/>
    </row>
    <row r="181" spans="1:11" x14ac:dyDescent="0.25">
      <c r="A181" s="1">
        <f t="shared" si="19"/>
        <v>179</v>
      </c>
      <c r="B181" s="175" t="str">
        <f t="shared" ca="1" si="20"/>
        <v>VK02E96</v>
      </c>
      <c r="C181" s="88" t="str">
        <f t="shared" ca="1" si="15"/>
        <v>3V0257900</v>
      </c>
      <c r="D181" s="56" t="str">
        <f ca="1">IF(C181="","",IFERROR(VLOOKUP(C181,'[1]BẢNG MÃ RING'!$A$2:$C$322,2,0),0))</f>
        <v>3V02-25-21.8</v>
      </c>
      <c r="E181" s="60">
        <f t="shared" ca="1" si="16"/>
        <v>60</v>
      </c>
      <c r="F181" s="60">
        <f t="shared" ca="1" si="17"/>
        <v>0.85</v>
      </c>
      <c r="G181" s="60">
        <f t="shared" ca="1" si="21"/>
        <v>51</v>
      </c>
      <c r="H181" s="95">
        <f ca="1">VLOOKUP(C181,data!E182:J230,6,0)</f>
        <v>44546</v>
      </c>
      <c r="I181">
        <f t="shared" ca="1" si="18"/>
        <v>2</v>
      </c>
      <c r="K181" s="208"/>
    </row>
    <row r="182" spans="1:11" x14ac:dyDescent="0.25">
      <c r="A182" s="1">
        <f t="shared" si="19"/>
        <v>180</v>
      </c>
      <c r="B182" s="175" t="str">
        <f t="shared" ca="1" si="20"/>
        <v>VB02485</v>
      </c>
      <c r="C182" s="88" t="str">
        <f t="shared" ca="1" si="15"/>
        <v>3V0265600</v>
      </c>
      <c r="D182" s="56" t="str">
        <f ca="1">IF(C182="","",IFERROR(VLOOKUP(C182,'[1]BẢNG MÃ RING'!$A$2:$C$322,2,0),0))</f>
        <v>3V0265600</v>
      </c>
      <c r="E182" s="60">
        <f t="shared" ca="1" si="16"/>
        <v>90</v>
      </c>
      <c r="F182" s="60">
        <f t="shared" ca="1" si="17"/>
        <v>1.1639999999999999</v>
      </c>
      <c r="G182" s="60">
        <f t="shared" ca="1" si="21"/>
        <v>104.75999999999999</v>
      </c>
      <c r="H182" s="95">
        <f ca="1">VLOOKUP(C182,data!E183:J231,6,0)</f>
        <v>44560</v>
      </c>
      <c r="I182">
        <f t="shared" ca="1" si="18"/>
        <v>2</v>
      </c>
      <c r="K182" s="208"/>
    </row>
    <row r="183" spans="1:11" x14ac:dyDescent="0.25">
      <c r="A183" s="1">
        <f t="shared" si="19"/>
        <v>181</v>
      </c>
      <c r="B183" s="175" t="str">
        <f t="shared" ca="1" si="20"/>
        <v>VB02486</v>
      </c>
      <c r="C183" s="88" t="str">
        <f t="shared" ca="1" si="15"/>
        <v>3V0265600</v>
      </c>
      <c r="D183" s="56" t="str">
        <f ca="1">IF(C183="","",IFERROR(VLOOKUP(C183,'[1]BẢNG MÃ RING'!$A$2:$C$322,2,0),0))</f>
        <v>3V0265600</v>
      </c>
      <c r="E183" s="60">
        <f t="shared" ca="1" si="16"/>
        <v>110</v>
      </c>
      <c r="F183" s="60">
        <f t="shared" ca="1" si="17"/>
        <v>1.1639999999999999</v>
      </c>
      <c r="G183" s="60">
        <f t="shared" ca="1" si="21"/>
        <v>128.04</v>
      </c>
      <c r="H183" s="95">
        <f ca="1">VLOOKUP(C183,data!E184:J232,6,0)</f>
        <v>44560</v>
      </c>
      <c r="I183">
        <f t="shared" ca="1" si="18"/>
        <v>2</v>
      </c>
      <c r="K183" s="208"/>
    </row>
    <row r="184" spans="1:11" x14ac:dyDescent="0.25">
      <c r="A184" s="1">
        <f t="shared" si="19"/>
        <v>182</v>
      </c>
      <c r="B184" s="175" t="str">
        <f t="shared" ca="1" si="20"/>
        <v>VB02483</v>
      </c>
      <c r="C184" s="88" t="str">
        <f t="shared" ca="1" si="15"/>
        <v>3V0265610</v>
      </c>
      <c r="D184" s="56" t="str">
        <f ca="1">IF(C184="","",IFERROR(VLOOKUP(C184,'[1]BẢNG MÃ RING'!$A$2:$C$322,2,0),0))</f>
        <v>3V0265610</v>
      </c>
      <c r="E184" s="60">
        <f t="shared" ca="1" si="16"/>
        <v>70</v>
      </c>
      <c r="F184" s="60">
        <f t="shared" ca="1" si="17"/>
        <v>1.1639999999999999</v>
      </c>
      <c r="G184" s="60">
        <f t="shared" ca="1" si="21"/>
        <v>81.47999999999999</v>
      </c>
      <c r="H184" s="95">
        <f ca="1">VLOOKUP(C184,data!E185:J233,6,0)</f>
        <v>44560</v>
      </c>
      <c r="I184">
        <f t="shared" ca="1" si="18"/>
        <v>1</v>
      </c>
      <c r="K184" s="208"/>
    </row>
    <row r="185" spans="1:11" x14ac:dyDescent="0.25">
      <c r="A185" s="1">
        <f t="shared" si="19"/>
        <v>183</v>
      </c>
      <c r="B185" s="175" t="str">
        <f t="shared" ca="1" si="20"/>
        <v>VB02484</v>
      </c>
      <c r="C185" s="88" t="str">
        <f t="shared" ca="1" si="15"/>
        <v>3V0265630</v>
      </c>
      <c r="D185" s="56" t="str">
        <f ca="1">IF(C185="","",IFERROR(VLOOKUP(C185,'[1]BẢNG MÃ RING'!$A$2:$C$322,2,0),0))</f>
        <v>3V0265630</v>
      </c>
      <c r="E185" s="60">
        <f t="shared" ca="1" si="16"/>
        <v>110</v>
      </c>
      <c r="F185" s="60">
        <f t="shared" ca="1" si="17"/>
        <v>1.1639999999999999</v>
      </c>
      <c r="G185" s="60">
        <f t="shared" ca="1" si="21"/>
        <v>128.04</v>
      </c>
      <c r="H185" s="95">
        <f ca="1">VLOOKUP(C185,data!E186:J234,6,0)</f>
        <v>44560</v>
      </c>
      <c r="I185">
        <f t="shared" ca="1" si="18"/>
        <v>1</v>
      </c>
      <c r="K185" s="208"/>
    </row>
    <row r="186" spans="1:11" x14ac:dyDescent="0.25">
      <c r="A186" s="1">
        <f t="shared" si="19"/>
        <v>184</v>
      </c>
      <c r="B186" s="175" t="str">
        <f t="shared" ca="1" si="20"/>
        <v>VB02485</v>
      </c>
      <c r="C186" s="88" t="str">
        <f t="shared" ca="1" si="15"/>
        <v>3V0265800</v>
      </c>
      <c r="D186" s="56" t="str">
        <f ca="1">IF(C186="","",IFERROR(VLOOKUP(C186,'[1]BẢNG MÃ RING'!$A$2:$C$322,2,0),0))</f>
        <v>3V0265800</v>
      </c>
      <c r="E186" s="60">
        <f t="shared" ca="1" si="16"/>
        <v>190</v>
      </c>
      <c r="F186" s="60">
        <f t="shared" ca="1" si="17"/>
        <v>1.2609999999999999</v>
      </c>
      <c r="G186" s="60">
        <f t="shared" ca="1" si="21"/>
        <v>239.58999999999997</v>
      </c>
      <c r="H186" s="95">
        <f ca="1">VLOOKUP(C186,data!E187:J235,6,0)</f>
        <v>44560</v>
      </c>
      <c r="I186">
        <f t="shared" ca="1" si="18"/>
        <v>4</v>
      </c>
      <c r="K186" s="208"/>
    </row>
    <row r="187" spans="1:11" x14ac:dyDescent="0.25">
      <c r="A187" s="1">
        <f t="shared" si="19"/>
        <v>185</v>
      </c>
      <c r="B187" s="175" t="str">
        <f t="shared" ca="1" si="20"/>
        <v>VB02486</v>
      </c>
      <c r="C187" s="88" t="str">
        <f t="shared" ca="1" si="15"/>
        <v>3V0265800</v>
      </c>
      <c r="D187" s="56" t="str">
        <f ca="1">IF(C187="","",IFERROR(VLOOKUP(C187,'[1]BẢNG MÃ RING'!$A$2:$C$322,2,0),0))</f>
        <v>3V0265800</v>
      </c>
      <c r="E187" s="60">
        <f t="shared" ca="1" si="16"/>
        <v>110</v>
      </c>
      <c r="F187" s="60">
        <f t="shared" ca="1" si="17"/>
        <v>1.2609999999999999</v>
      </c>
      <c r="G187" s="60">
        <f t="shared" ca="1" si="21"/>
        <v>138.70999999999998</v>
      </c>
      <c r="H187" s="95">
        <f ca="1">VLOOKUP(C187,data!E188:J236,6,0)</f>
        <v>44560</v>
      </c>
      <c r="I187">
        <f t="shared" ca="1" si="18"/>
        <v>4</v>
      </c>
      <c r="K187" s="208"/>
    </row>
    <row r="188" spans="1:11" x14ac:dyDescent="0.25">
      <c r="A188" s="1">
        <f t="shared" si="19"/>
        <v>186</v>
      </c>
      <c r="B188" s="175" t="str">
        <f t="shared" ca="1" si="20"/>
        <v>VB02487</v>
      </c>
      <c r="C188" s="88" t="str">
        <f t="shared" ca="1" si="15"/>
        <v>3V0265800</v>
      </c>
      <c r="D188" s="56" t="str">
        <f ca="1">IF(C188="","",IFERROR(VLOOKUP(C188,'[1]BẢNG MÃ RING'!$A$2:$C$322,2,0),0))</f>
        <v>3V0265800</v>
      </c>
      <c r="E188" s="60">
        <f t="shared" ca="1" si="16"/>
        <v>220</v>
      </c>
      <c r="F188" s="60">
        <f t="shared" ca="1" si="17"/>
        <v>1.2609999999999999</v>
      </c>
      <c r="G188" s="60">
        <f t="shared" ca="1" si="21"/>
        <v>277.41999999999996</v>
      </c>
      <c r="H188" s="95">
        <f ca="1">VLOOKUP(C188,data!E189:J237,6,0)</f>
        <v>44560</v>
      </c>
      <c r="I188">
        <f t="shared" ca="1" si="18"/>
        <v>4</v>
      </c>
      <c r="K188" s="208"/>
    </row>
    <row r="189" spans="1:11" x14ac:dyDescent="0.25">
      <c r="A189" s="1">
        <f t="shared" si="19"/>
        <v>187</v>
      </c>
      <c r="B189" s="175" t="str">
        <f t="shared" ca="1" si="20"/>
        <v>VB02488</v>
      </c>
      <c r="C189" s="88" t="str">
        <f t="shared" ca="1" si="15"/>
        <v>3V0265800</v>
      </c>
      <c r="D189" s="56" t="str">
        <f ca="1">IF(C189="","",IFERROR(VLOOKUP(C189,'[1]BẢNG MÃ RING'!$A$2:$C$322,2,0),0))</f>
        <v>3V0265800</v>
      </c>
      <c r="E189" s="60">
        <f t="shared" ca="1" si="16"/>
        <v>220</v>
      </c>
      <c r="F189" s="60">
        <f t="shared" ca="1" si="17"/>
        <v>1.2609999999999999</v>
      </c>
      <c r="G189" s="60">
        <f t="shared" ca="1" si="21"/>
        <v>277.41999999999996</v>
      </c>
      <c r="H189" s="95">
        <f ca="1">VLOOKUP(C189,data!E190:J238,6,0)</f>
        <v>44560</v>
      </c>
      <c r="I189">
        <f t="shared" ca="1" si="18"/>
        <v>4</v>
      </c>
      <c r="K189" s="208"/>
    </row>
    <row r="190" spans="1:11" x14ac:dyDescent="0.25">
      <c r="A190" s="1">
        <f t="shared" si="19"/>
        <v>188</v>
      </c>
      <c r="B190" s="175" t="str">
        <f t="shared" ca="1" si="20"/>
        <v>VK02F34</v>
      </c>
      <c r="C190" s="88" t="str">
        <f t="shared" ca="1" si="15"/>
        <v>3V0270000</v>
      </c>
      <c r="D190" s="56" t="str">
        <f ca="1">IF(C190="","",IFERROR(VLOOKUP(C190,'[1]BẢNG MÃ RING'!$A$2:$C$322,2,0),0))</f>
        <v>3V02-31-22.6</v>
      </c>
      <c r="E190" s="60">
        <f t="shared" ca="1" si="16"/>
        <v>130</v>
      </c>
      <c r="F190" s="60">
        <f t="shared" ca="1" si="17"/>
        <v>0.92</v>
      </c>
      <c r="G190" s="60">
        <f t="shared" ca="1" si="21"/>
        <v>119.60000000000001</v>
      </c>
      <c r="H190" s="95">
        <f ca="1">VLOOKUP(C190,data!E191:J239,6,0)</f>
        <v>44546</v>
      </c>
      <c r="I190">
        <f t="shared" ca="1" si="18"/>
        <v>2</v>
      </c>
      <c r="K190" s="208"/>
    </row>
    <row r="191" spans="1:11" x14ac:dyDescent="0.25">
      <c r="A191" s="1">
        <f t="shared" si="19"/>
        <v>189</v>
      </c>
      <c r="B191" s="175" t="str">
        <f t="shared" ca="1" si="20"/>
        <v>VK02F35</v>
      </c>
      <c r="C191" s="88" t="str">
        <f t="shared" ca="1" si="15"/>
        <v>3V0270000</v>
      </c>
      <c r="D191" s="56" t="str">
        <f ca="1">IF(C191="","",IFERROR(VLOOKUP(C191,'[1]BẢNG MÃ RING'!$A$2:$C$322,2,0),0))</f>
        <v>3V02-31-22.6</v>
      </c>
      <c r="E191" s="60">
        <f t="shared" ca="1" si="16"/>
        <v>210</v>
      </c>
      <c r="F191" s="60">
        <f t="shared" ca="1" si="17"/>
        <v>0.92</v>
      </c>
      <c r="G191" s="60">
        <f t="shared" ca="1" si="21"/>
        <v>193.20000000000002</v>
      </c>
      <c r="H191" s="95">
        <f ca="1">VLOOKUP(C191,data!E192:J240,6,0)</f>
        <v>44546</v>
      </c>
      <c r="I191">
        <f t="shared" ca="1" si="18"/>
        <v>2</v>
      </c>
      <c r="K191" s="208"/>
    </row>
    <row r="192" spans="1:11" x14ac:dyDescent="0.25">
      <c r="A192" s="1">
        <f t="shared" si="19"/>
        <v>190</v>
      </c>
      <c r="B192" s="175" t="str">
        <f t="shared" ca="1" si="20"/>
        <v>VK02F36</v>
      </c>
      <c r="C192" s="88" t="str">
        <f t="shared" ca="1" si="15"/>
        <v>3V0270010</v>
      </c>
      <c r="D192" s="56" t="str">
        <f ca="1">IF(C192="","",IFERROR(VLOOKUP(C192,'[1]BẢNG MÃ RING'!$A$2:$C$322,2,0),0))</f>
        <v>3V02-31-23</v>
      </c>
      <c r="E192" s="60">
        <f t="shared" ca="1" si="16"/>
        <v>60</v>
      </c>
      <c r="F192" s="60">
        <f t="shared" ca="1" si="17"/>
        <v>0.92</v>
      </c>
      <c r="G192" s="60">
        <f t="shared" ca="1" si="21"/>
        <v>55.2</v>
      </c>
      <c r="H192" s="95">
        <f ca="1">VLOOKUP(C192,data!E193:J241,6,0)</f>
        <v>44546</v>
      </c>
      <c r="I192">
        <f ca="1">COUNTIF($D$3:$D$208,D192)</f>
        <v>1</v>
      </c>
      <c r="K192" s="208"/>
    </row>
    <row r="193" spans="1:11" x14ac:dyDescent="0.25">
      <c r="A193" s="1">
        <f t="shared" si="19"/>
        <v>191</v>
      </c>
      <c r="B193" s="175" t="str">
        <f t="shared" ca="1" si="20"/>
        <v>VK02F37</v>
      </c>
      <c r="C193" s="88" t="str">
        <f t="shared" ca="1" si="15"/>
        <v>3V0270020</v>
      </c>
      <c r="D193" s="56" t="str">
        <f ca="1">IF(C193="","",IFERROR(VLOOKUP(C193,'[1]BẢNG MÃ RING'!$A$2:$C$322,2,0),0))</f>
        <v>3V02-31-24</v>
      </c>
      <c r="E193" s="60">
        <f t="shared" ca="1" si="16"/>
        <v>50</v>
      </c>
      <c r="F193" s="60">
        <f t="shared" ca="1" si="17"/>
        <v>0.92</v>
      </c>
      <c r="G193" s="60">
        <f t="shared" ca="1" si="21"/>
        <v>46</v>
      </c>
      <c r="H193" s="95">
        <f ca="1">VLOOKUP(C193,data!E194:J242,6,0)</f>
        <v>44546</v>
      </c>
      <c r="I193">
        <f t="shared" ca="1" si="18"/>
        <v>1</v>
      </c>
      <c r="K193" s="208"/>
    </row>
    <row r="194" spans="1:11" x14ac:dyDescent="0.25">
      <c r="A194" s="1">
        <f t="shared" si="19"/>
        <v>192</v>
      </c>
      <c r="B194" s="175" t="str">
        <f t="shared" ca="1" si="20"/>
        <v>VK02F38</v>
      </c>
      <c r="C194" s="88" t="str">
        <f t="shared" ca="1" si="15"/>
        <v>3V0270210</v>
      </c>
      <c r="D194" s="56" t="str">
        <f ca="1">IF(C194="","",IFERROR(VLOOKUP(C194,'[1]BẢNG MÃ RING'!$A$2:$C$322,2,0),0))</f>
        <v>3V02-27.4-26</v>
      </c>
      <c r="E194" s="60">
        <f t="shared" ca="1" si="16"/>
        <v>60</v>
      </c>
      <c r="F194" s="60">
        <f t="shared" ca="1" si="17"/>
        <v>0.56999999999999995</v>
      </c>
      <c r="G194" s="60">
        <f t="shared" ca="1" si="21"/>
        <v>34.199999999999996</v>
      </c>
      <c r="H194" s="95">
        <f ca="1">VLOOKUP(C194,data!E195:J243,6,0)</f>
        <v>44546</v>
      </c>
      <c r="I194">
        <f t="shared" ca="1" si="18"/>
        <v>2</v>
      </c>
      <c r="K194" s="208"/>
    </row>
    <row r="195" spans="1:11" x14ac:dyDescent="0.25">
      <c r="A195" s="1">
        <f t="shared" si="19"/>
        <v>193</v>
      </c>
      <c r="B195" s="175" t="str">
        <f t="shared" ca="1" si="20"/>
        <v>VK02F39</v>
      </c>
      <c r="C195" s="88" t="str">
        <f t="shared" ref="C195:C240" ca="1" si="22">IF(B195="","",VLOOKUP(A195, INDIRECT( $I$1&amp;"!$A$4:$E$2000"),5,0))</f>
        <v>3V0270210</v>
      </c>
      <c r="D195" s="56" t="str">
        <f ca="1">IF(C195="","",IFERROR(VLOOKUP(C195,'[1]BẢNG MÃ RING'!$A$2:$C$322,2,0),0))</f>
        <v>3V02-27.4-26</v>
      </c>
      <c r="E195" s="60">
        <f t="shared" ref="E195:E258" ca="1" si="23">IF(B195="","",VLOOKUP(A195, INDIRECT( $I$1&amp;"!$A$4:$G$2000"),7,0))</f>
        <v>60</v>
      </c>
      <c r="F195" s="60">
        <f t="shared" ref="F195:F258" ca="1" si="24">IF(B195="","",VLOOKUP(A195, INDIRECT( $I$1&amp;"!$A$4:$H$2000"),8,0))</f>
        <v>0.56999999999999995</v>
      </c>
      <c r="G195" s="60">
        <f t="shared" ca="1" si="21"/>
        <v>34.199999999999996</v>
      </c>
      <c r="H195" s="95">
        <f ca="1">VLOOKUP(C195,data!E196:J244,6,0)</f>
        <v>44546</v>
      </c>
      <c r="I195">
        <f t="shared" ref="I195:I258" ca="1" si="25">COUNTIF($D$3:$D$208,D195)</f>
        <v>2</v>
      </c>
      <c r="K195" s="208"/>
    </row>
    <row r="196" spans="1:11" x14ac:dyDescent="0.25">
      <c r="A196" s="1">
        <f t="shared" ref="A196:A259" si="26">IF(A195="",1,A195+1)</f>
        <v>194</v>
      </c>
      <c r="B196" s="175" t="str">
        <f t="shared" ref="B196:B259" ca="1" si="27">IFERROR( VLOOKUP(A196, INDIRECT( $I$1&amp;"!$A$4:$C$2000"),3,0),"")</f>
        <v>VA03253</v>
      </c>
      <c r="C196" s="88" t="str">
        <f t="shared" ca="1" si="22"/>
        <v>3V0271800</v>
      </c>
      <c r="D196" s="56" t="str">
        <f ca="1">IF(C196="","",IFERROR(VLOOKUP(C196,'[1]BẢNG MÃ RING'!$A$2:$C$322,2,0),0))</f>
        <v>3V02-19.4-13.55</v>
      </c>
      <c r="E196" s="60">
        <f t="shared" ca="1" si="23"/>
        <v>220</v>
      </c>
      <c r="F196" s="60">
        <f t="shared" ca="1" si="24"/>
        <v>0.49</v>
      </c>
      <c r="G196" s="60">
        <f t="shared" ref="G196:G227" ca="1" si="28">F196*E196</f>
        <v>107.8</v>
      </c>
      <c r="H196" s="95">
        <f ca="1">VLOOKUP(C196,data!E197:J245,6,0)</f>
        <v>44560</v>
      </c>
      <c r="I196">
        <f t="shared" ca="1" si="25"/>
        <v>3</v>
      </c>
      <c r="K196" s="208"/>
    </row>
    <row r="197" spans="1:11" x14ac:dyDescent="0.25">
      <c r="A197" s="1">
        <f t="shared" si="26"/>
        <v>195</v>
      </c>
      <c r="B197" s="175" t="str">
        <f t="shared" ca="1" si="27"/>
        <v>VA03254</v>
      </c>
      <c r="C197" s="88" t="str">
        <f t="shared" ca="1" si="22"/>
        <v>3V0271800</v>
      </c>
      <c r="D197" s="56" t="str">
        <f ca="1">IF(C197="","",IFERROR(VLOOKUP(C197,'[1]BẢNG MÃ RING'!$A$2:$C$322,2,0),0))</f>
        <v>3V02-19.4-13.55</v>
      </c>
      <c r="E197" s="60">
        <f t="shared" ca="1" si="23"/>
        <v>110</v>
      </c>
      <c r="F197" s="60">
        <f t="shared" ca="1" si="24"/>
        <v>0.49</v>
      </c>
      <c r="G197" s="60">
        <f t="shared" ca="1" si="28"/>
        <v>53.9</v>
      </c>
      <c r="H197" s="95">
        <f ca="1">VLOOKUP(C197,data!E198:J246,6,0)</f>
        <v>44560</v>
      </c>
      <c r="I197">
        <f t="shared" ca="1" si="25"/>
        <v>3</v>
      </c>
      <c r="K197" s="208"/>
    </row>
    <row r="198" spans="1:11" x14ac:dyDescent="0.25">
      <c r="A198" s="1">
        <f t="shared" si="26"/>
        <v>196</v>
      </c>
      <c r="B198" s="175" t="str">
        <f t="shared" ca="1" si="27"/>
        <v>VA03255</v>
      </c>
      <c r="C198" s="88" t="str">
        <f t="shared" ca="1" si="22"/>
        <v>3V0271800</v>
      </c>
      <c r="D198" s="56" t="str">
        <f ca="1">IF(C198="","",IFERROR(VLOOKUP(C198,'[1]BẢNG MÃ RING'!$A$2:$C$322,2,0),0))</f>
        <v>3V02-19.4-13.55</v>
      </c>
      <c r="E198" s="60">
        <f t="shared" ca="1" si="23"/>
        <v>110</v>
      </c>
      <c r="F198" s="60">
        <f t="shared" ca="1" si="24"/>
        <v>0.49</v>
      </c>
      <c r="G198" s="60">
        <f t="shared" ca="1" si="28"/>
        <v>53.9</v>
      </c>
      <c r="H198" s="95">
        <f ca="1">VLOOKUP(C198,data!E199:J247,6,0)</f>
        <v>44560</v>
      </c>
      <c r="I198">
        <f t="shared" ca="1" si="25"/>
        <v>3</v>
      </c>
      <c r="K198" s="208"/>
    </row>
    <row r="199" spans="1:11" x14ac:dyDescent="0.25">
      <c r="A199" s="1">
        <f t="shared" si="26"/>
        <v>197</v>
      </c>
      <c r="B199" s="175" t="str">
        <f t="shared" ca="1" si="27"/>
        <v>VA03250</v>
      </c>
      <c r="C199" s="88" t="str">
        <f t="shared" ca="1" si="22"/>
        <v>3V0271810</v>
      </c>
      <c r="D199" s="56" t="str">
        <f ca="1">IF(C199="","",IFERROR(VLOOKUP(C199,'[1]BẢNG MÃ RING'!$A$2:$C$322,2,0),0))</f>
        <v>3V02-19.4-12.55</v>
      </c>
      <c r="E199" s="60">
        <f t="shared" ca="1" si="23"/>
        <v>200</v>
      </c>
      <c r="F199" s="60">
        <f t="shared" ca="1" si="24"/>
        <v>0.49</v>
      </c>
      <c r="G199" s="60">
        <f t="shared" ca="1" si="28"/>
        <v>98</v>
      </c>
      <c r="H199" s="95">
        <f ca="1">VLOOKUP(C199,data!E200:J248,6,0)</f>
        <v>44560</v>
      </c>
      <c r="I199">
        <f t="shared" ca="1" si="25"/>
        <v>2</v>
      </c>
      <c r="K199" s="208"/>
    </row>
    <row r="200" spans="1:11" x14ac:dyDescent="0.25">
      <c r="A200" s="1">
        <f t="shared" si="26"/>
        <v>198</v>
      </c>
      <c r="B200" s="175" t="str">
        <f t="shared" ca="1" si="27"/>
        <v>VA03251</v>
      </c>
      <c r="C200" s="88" t="str">
        <f t="shared" ca="1" si="22"/>
        <v>3V0271810</v>
      </c>
      <c r="D200" s="56" t="str">
        <f ca="1">IF(C200="","",IFERROR(VLOOKUP(C200,'[1]BẢNG MÃ RING'!$A$2:$C$322,2,0),0))</f>
        <v>3V02-19.4-12.55</v>
      </c>
      <c r="E200" s="60">
        <f t="shared" ca="1" si="23"/>
        <v>220</v>
      </c>
      <c r="F200" s="60">
        <f t="shared" ca="1" si="24"/>
        <v>0.49</v>
      </c>
      <c r="G200" s="60">
        <f t="shared" ca="1" si="28"/>
        <v>107.8</v>
      </c>
      <c r="H200" s="95">
        <f ca="1">VLOOKUP(C200,data!E201:J249,6,0)</f>
        <v>44560</v>
      </c>
      <c r="I200">
        <f t="shared" ca="1" si="25"/>
        <v>2</v>
      </c>
      <c r="K200" s="208"/>
    </row>
    <row r="201" spans="1:11" x14ac:dyDescent="0.25">
      <c r="A201" s="1">
        <f t="shared" si="26"/>
        <v>199</v>
      </c>
      <c r="B201" s="175" t="str">
        <f t="shared" ca="1" si="27"/>
        <v>VA03252</v>
      </c>
      <c r="C201" s="88" t="str">
        <f t="shared" ca="1" si="22"/>
        <v>3V0271820</v>
      </c>
      <c r="D201" s="56" t="str">
        <f ca="1">IF(C201="","",IFERROR(VLOOKUP(C201,'[1]BẢNG MÃ RING'!$A$2:$C$322,2,0),0))</f>
        <v>3V02-19.4-13.05</v>
      </c>
      <c r="E201" s="60">
        <f t="shared" ca="1" si="23"/>
        <v>180</v>
      </c>
      <c r="F201" s="60">
        <f t="shared" ca="1" si="24"/>
        <v>0.49</v>
      </c>
      <c r="G201" s="60">
        <f t="shared" ca="1" si="28"/>
        <v>88.2</v>
      </c>
      <c r="H201" s="95">
        <f ca="1">VLOOKUP(C201,data!E202:J250,6,0)</f>
        <v>44560</v>
      </c>
      <c r="I201">
        <f t="shared" ca="1" si="25"/>
        <v>1</v>
      </c>
      <c r="K201" s="208"/>
    </row>
    <row r="202" spans="1:11" x14ac:dyDescent="0.25">
      <c r="A202" s="1">
        <f t="shared" si="26"/>
        <v>200</v>
      </c>
      <c r="B202" s="175" t="str">
        <f t="shared" ca="1" si="27"/>
        <v>VA03257</v>
      </c>
      <c r="C202" s="88" t="str">
        <f t="shared" ca="1" si="22"/>
        <v>3V0272300</v>
      </c>
      <c r="D202" s="56" t="str">
        <f ca="1">IF(C202="","",IFERROR(VLOOKUP(C202,'[1]BẢNG MÃ RING'!$A$2:$C$322,2,0),0))</f>
        <v>3V02-16.5-13.05</v>
      </c>
      <c r="E202" s="60">
        <f t="shared" ca="1" si="23"/>
        <v>210</v>
      </c>
      <c r="F202" s="60">
        <f t="shared" ca="1" si="24"/>
        <v>0.42</v>
      </c>
      <c r="G202" s="60">
        <f t="shared" ca="1" si="28"/>
        <v>88.2</v>
      </c>
      <c r="H202" s="95">
        <f ca="1">VLOOKUP(C202,data!E203:J251,6,0)</f>
        <v>44560</v>
      </c>
      <c r="I202">
        <f t="shared" ca="1" si="25"/>
        <v>1</v>
      </c>
      <c r="K202" s="208"/>
    </row>
    <row r="203" spans="1:11" x14ac:dyDescent="0.25">
      <c r="A203" s="1">
        <f t="shared" si="26"/>
        <v>201</v>
      </c>
      <c r="B203" s="175" t="str">
        <f t="shared" ca="1" si="27"/>
        <v>VA03258</v>
      </c>
      <c r="C203" s="88" t="str">
        <f t="shared" ca="1" si="22"/>
        <v>3V0272330</v>
      </c>
      <c r="D203" s="56" t="str">
        <f ca="1">IF(C203="","",IFERROR(VLOOKUP(C203,'[1]BẢNG MÃ RING'!$A$2:$C$322,2,0),0))</f>
        <v>3V02-16.5-12.55</v>
      </c>
      <c r="E203" s="60">
        <f t="shared" ca="1" si="23"/>
        <v>80</v>
      </c>
      <c r="F203" s="60">
        <f t="shared" ca="1" si="24"/>
        <v>0.42</v>
      </c>
      <c r="G203" s="60">
        <f t="shared" ca="1" si="28"/>
        <v>33.6</v>
      </c>
      <c r="H203" s="95">
        <f ca="1">VLOOKUP(C203,data!E204:J252,6,0)</f>
        <v>44560</v>
      </c>
      <c r="I203">
        <f t="shared" ca="1" si="25"/>
        <v>1</v>
      </c>
      <c r="K203" s="208"/>
    </row>
    <row r="204" spans="1:11" x14ac:dyDescent="0.25">
      <c r="A204" s="1">
        <f t="shared" si="26"/>
        <v>202</v>
      </c>
      <c r="B204" s="175" t="str">
        <f t="shared" ca="1" si="27"/>
        <v>VK02F38</v>
      </c>
      <c r="C204" s="88" t="str">
        <f t="shared" ca="1" si="22"/>
        <v>3V0274910</v>
      </c>
      <c r="D204" s="56" t="str">
        <f ca="1">IF(C204="","",IFERROR(VLOOKUP(C204,'[1]BẢNG MÃ RING'!$A$2:$C$322,2,0),0))</f>
        <v>3V02-29-26.85</v>
      </c>
      <c r="E204" s="60">
        <f t="shared" ca="1" si="23"/>
        <v>20</v>
      </c>
      <c r="F204" s="60">
        <f t="shared" ca="1" si="24"/>
        <v>0.39</v>
      </c>
      <c r="G204" s="60">
        <f t="shared" ca="1" si="28"/>
        <v>7.8000000000000007</v>
      </c>
      <c r="H204" s="95">
        <f ca="1">VLOOKUP(C204,data!E205:J253,6,0)</f>
        <v>44546</v>
      </c>
      <c r="I204">
        <f t="shared" ca="1" si="25"/>
        <v>2</v>
      </c>
      <c r="K204" s="208"/>
    </row>
    <row r="205" spans="1:11" x14ac:dyDescent="0.25">
      <c r="A205" s="1">
        <f t="shared" si="26"/>
        <v>203</v>
      </c>
      <c r="B205" s="175" t="str">
        <f t="shared" ca="1" si="27"/>
        <v>VK02F39</v>
      </c>
      <c r="C205" s="88" t="str">
        <f t="shared" ca="1" si="22"/>
        <v>3V0274910</v>
      </c>
      <c r="D205" s="56" t="str">
        <f ca="1">IF(C205="","",IFERROR(VLOOKUP(C205,'[1]BẢNG MÃ RING'!$A$2:$C$322,2,0),0))</f>
        <v>3V02-29-26.85</v>
      </c>
      <c r="E205" s="60">
        <f t="shared" ca="1" si="23"/>
        <v>60</v>
      </c>
      <c r="F205" s="60">
        <f t="shared" ca="1" si="24"/>
        <v>0.39</v>
      </c>
      <c r="G205" s="60">
        <f t="shared" ca="1" si="28"/>
        <v>23.400000000000002</v>
      </c>
      <c r="H205" s="95">
        <f ca="1">VLOOKUP(C205,data!E206:J254,6,0)</f>
        <v>44546</v>
      </c>
      <c r="I205">
        <f t="shared" ca="1" si="25"/>
        <v>2</v>
      </c>
      <c r="K205" s="208"/>
    </row>
    <row r="206" spans="1:11" x14ac:dyDescent="0.25">
      <c r="A206" s="1">
        <f t="shared" si="26"/>
        <v>204</v>
      </c>
      <c r="B206" s="175" t="str">
        <f t="shared" ca="1" si="27"/>
        <v>VK02D03</v>
      </c>
      <c r="C206" s="88" t="str">
        <f t="shared" ca="1" si="22"/>
        <v>3V0275700</v>
      </c>
      <c r="D206" s="56" t="str">
        <f ca="1">IF(C206="","",IFERROR(VLOOKUP(C206,'[1]BẢNG MÃ RING'!$A$2:$C$322,2,0),0))</f>
        <v>3V02757-25-22</v>
      </c>
      <c r="E206" s="60">
        <f t="shared" ca="1" si="23"/>
        <v>10</v>
      </c>
      <c r="F206" s="60">
        <f t="shared" ca="1" si="24"/>
        <v>0.6</v>
      </c>
      <c r="G206" s="60">
        <f t="shared" ca="1" si="28"/>
        <v>6</v>
      </c>
      <c r="H206" s="95">
        <f ca="1">VLOOKUP(C206,data!E207:J255,6,0)</f>
        <v>44546</v>
      </c>
      <c r="I206">
        <f t="shared" ca="1" si="25"/>
        <v>3</v>
      </c>
      <c r="K206" s="208"/>
    </row>
    <row r="207" spans="1:11" x14ac:dyDescent="0.25">
      <c r="A207" s="1">
        <f t="shared" si="26"/>
        <v>205</v>
      </c>
      <c r="B207" s="175" t="str">
        <f t="shared" ca="1" si="27"/>
        <v>VK02D06</v>
      </c>
      <c r="C207" s="88" t="str">
        <f t="shared" ca="1" si="22"/>
        <v>3V0275700</v>
      </c>
      <c r="D207" s="56" t="str">
        <f ca="1">IF(C207="","",IFERROR(VLOOKUP(C207,'[1]BẢNG MÃ RING'!$A$2:$C$322,2,0),0))</f>
        <v>3V02757-25-22</v>
      </c>
      <c r="E207" s="60">
        <f t="shared" ca="1" si="23"/>
        <v>60</v>
      </c>
      <c r="F207" s="60">
        <f t="shared" ca="1" si="24"/>
        <v>0.6</v>
      </c>
      <c r="G207" s="60">
        <f t="shared" ca="1" si="28"/>
        <v>36</v>
      </c>
      <c r="H207" s="95">
        <f ca="1">VLOOKUP(C207,data!E208:J256,6,0)</f>
        <v>44546</v>
      </c>
      <c r="I207">
        <f t="shared" ca="1" si="25"/>
        <v>3</v>
      </c>
      <c r="K207" s="208"/>
    </row>
    <row r="208" spans="1:11" x14ac:dyDescent="0.25">
      <c r="A208" s="1">
        <f t="shared" si="26"/>
        <v>206</v>
      </c>
      <c r="B208" s="175" t="str">
        <f t="shared" ca="1" si="27"/>
        <v>VK02D07</v>
      </c>
      <c r="C208" s="88" t="str">
        <f t="shared" ca="1" si="22"/>
        <v>3V0275700</v>
      </c>
      <c r="D208" s="56" t="str">
        <f ca="1">IF(C208="","",IFERROR(VLOOKUP(C208,'[1]BẢNG MÃ RING'!$A$2:$C$322,2,0),0))</f>
        <v>3V02757-25-22</v>
      </c>
      <c r="E208" s="60">
        <f t="shared" ca="1" si="23"/>
        <v>60</v>
      </c>
      <c r="F208" s="60">
        <f t="shared" ca="1" si="24"/>
        <v>0.6</v>
      </c>
      <c r="G208" s="60">
        <f t="shared" ca="1" si="28"/>
        <v>36</v>
      </c>
      <c r="H208" s="95">
        <f ca="1">VLOOKUP(C208,data!E209:J257,6,0)</f>
        <v>44546</v>
      </c>
      <c r="I208">
        <f t="shared" ca="1" si="25"/>
        <v>3</v>
      </c>
      <c r="K208" s="208"/>
    </row>
    <row r="209" spans="1:11" x14ac:dyDescent="0.25">
      <c r="A209" s="1">
        <f t="shared" si="26"/>
        <v>207</v>
      </c>
      <c r="B209" s="175" t="str">
        <f t="shared" ca="1" si="27"/>
        <v>VK02A91</v>
      </c>
      <c r="C209" s="88" t="str">
        <f t="shared" ca="1" si="22"/>
        <v>3V0275700</v>
      </c>
      <c r="D209" s="56" t="str">
        <f ca="1">IF(C209="","",IFERROR(VLOOKUP(C209,'[1]BẢNG MÃ RING'!$A$2:$C$322,2,0),0))</f>
        <v>3V02757-25-22</v>
      </c>
      <c r="E209" s="60">
        <f t="shared" ca="1" si="23"/>
        <v>110</v>
      </c>
      <c r="F209" s="60">
        <f t="shared" ca="1" si="24"/>
        <v>0.6</v>
      </c>
      <c r="G209" s="60">
        <f t="shared" ca="1" si="28"/>
        <v>66</v>
      </c>
      <c r="H209" s="95">
        <f ca="1">VLOOKUP(C209,data!E210:J258,6,0)</f>
        <v>44549</v>
      </c>
      <c r="I209" s="210">
        <f t="shared" ca="1" si="25"/>
        <v>3</v>
      </c>
      <c r="K209" s="208"/>
    </row>
    <row r="210" spans="1:11" x14ac:dyDescent="0.25">
      <c r="A210" s="1">
        <f t="shared" si="26"/>
        <v>208</v>
      </c>
      <c r="B210" s="175" t="str">
        <f t="shared" ca="1" si="27"/>
        <v>VK02A92</v>
      </c>
      <c r="C210" s="88" t="str">
        <f t="shared" ca="1" si="22"/>
        <v>3V0275700</v>
      </c>
      <c r="D210" s="56" t="str">
        <f ca="1">IF(C210="","",IFERROR(VLOOKUP(C210,'[1]BẢNG MÃ RING'!$A$2:$C$322,2,0),0))</f>
        <v>3V02757-25-22</v>
      </c>
      <c r="E210" s="60">
        <f t="shared" ca="1" si="23"/>
        <v>110</v>
      </c>
      <c r="F210" s="60">
        <f t="shared" ca="1" si="24"/>
        <v>0.6</v>
      </c>
      <c r="G210" s="60">
        <f t="shared" ca="1" si="28"/>
        <v>66</v>
      </c>
      <c r="H210" s="95">
        <f ca="1">VLOOKUP(C210,data!E211:J259,6,0)</f>
        <v>44549</v>
      </c>
      <c r="I210" s="210">
        <f t="shared" ca="1" si="25"/>
        <v>3</v>
      </c>
      <c r="K210" s="208"/>
    </row>
    <row r="211" spans="1:11" x14ac:dyDescent="0.25">
      <c r="A211" s="1">
        <f t="shared" si="26"/>
        <v>209</v>
      </c>
      <c r="B211" s="175" t="str">
        <f t="shared" ca="1" si="27"/>
        <v>VK02D13</v>
      </c>
      <c r="C211" s="88" t="str">
        <f t="shared" ca="1" si="22"/>
        <v>3V0280500</v>
      </c>
      <c r="D211" s="56" t="str">
        <f ca="1">IF(C211="","",IFERROR(VLOOKUP(C211,'[1]BẢNG MÃ RING'!$A$2:$C$322,2,0),0))</f>
        <v>3V02805-26.2-22</v>
      </c>
      <c r="E211" s="60">
        <f t="shared" ca="1" si="23"/>
        <v>20</v>
      </c>
      <c r="F211" s="60">
        <f t="shared" ca="1" si="24"/>
        <v>0.59</v>
      </c>
      <c r="G211" s="60">
        <f t="shared" ca="1" si="28"/>
        <v>11.799999999999999</v>
      </c>
      <c r="H211" s="95">
        <f ca="1">VLOOKUP(C211,data!E212:J260,6,0)</f>
        <v>44539</v>
      </c>
      <c r="I211" s="210">
        <f t="shared" ca="1" si="25"/>
        <v>0</v>
      </c>
      <c r="K211" s="208"/>
    </row>
    <row r="212" spans="1:11" x14ac:dyDescent="0.25">
      <c r="A212" s="1">
        <f t="shared" si="26"/>
        <v>210</v>
      </c>
      <c r="B212" s="175" t="str">
        <f t="shared" ca="1" si="27"/>
        <v>VU02139</v>
      </c>
      <c r="C212" s="88" t="str">
        <f t="shared" ca="1" si="22"/>
        <v>3V0298420</v>
      </c>
      <c r="D212" s="56" t="str">
        <f ca="1">IF(C212="","",IFERROR(VLOOKUP(C212,'[1]BẢNG MÃ RING'!$A$2:$C$322,2,0),0))</f>
        <v>3V02-26-21.1</v>
      </c>
      <c r="E212" s="60">
        <f t="shared" ca="1" si="23"/>
        <v>30</v>
      </c>
      <c r="F212" s="60">
        <f t="shared" ca="1" si="24"/>
        <v>0.54</v>
      </c>
      <c r="G212" s="60">
        <f t="shared" ca="1" si="28"/>
        <v>16.200000000000003</v>
      </c>
      <c r="H212" s="95">
        <f ca="1">VLOOKUP(C212,data!E213:J261,6,0)</f>
        <v>44539</v>
      </c>
      <c r="I212" s="210">
        <f t="shared" ca="1" si="25"/>
        <v>0</v>
      </c>
      <c r="K212" s="208"/>
    </row>
    <row r="213" spans="1:11" x14ac:dyDescent="0.25">
      <c r="A213" s="1">
        <f t="shared" si="26"/>
        <v>211</v>
      </c>
      <c r="B213" s="175" t="str">
        <f t="shared" ca="1" si="27"/>
        <v>VU02140</v>
      </c>
      <c r="C213" s="88" t="str">
        <f t="shared" ca="1" si="22"/>
        <v>3V0298420</v>
      </c>
      <c r="D213" s="56" t="str">
        <f ca="1">IF(C213="","",IFERROR(VLOOKUP(C213,'[1]BẢNG MÃ RING'!$A$2:$C$322,2,0),0))</f>
        <v>3V02-26-21.1</v>
      </c>
      <c r="E213" s="60">
        <f t="shared" ca="1" si="23"/>
        <v>60</v>
      </c>
      <c r="F213" s="60">
        <f t="shared" ca="1" si="24"/>
        <v>0.54</v>
      </c>
      <c r="G213" s="60">
        <f t="shared" ca="1" si="28"/>
        <v>32.400000000000006</v>
      </c>
      <c r="H213" s="95">
        <f ca="1">VLOOKUP(C213,data!E214:J262,6,0)</f>
        <v>44539</v>
      </c>
      <c r="I213" s="210">
        <f t="shared" ca="1" si="25"/>
        <v>0</v>
      </c>
      <c r="K213" s="208"/>
    </row>
    <row r="214" spans="1:11" x14ac:dyDescent="0.25">
      <c r="A214" s="1">
        <f t="shared" si="26"/>
        <v>212</v>
      </c>
      <c r="B214" s="175" t="str">
        <f t="shared" ca="1" si="27"/>
        <v>VU02142</v>
      </c>
      <c r="C214" s="88" t="str">
        <f t="shared" ca="1" si="22"/>
        <v>3V0298420</v>
      </c>
      <c r="D214" s="56" t="str">
        <f ca="1">IF(C214="","",IFERROR(VLOOKUP(C214,'[1]BẢNG MÃ RING'!$A$2:$C$322,2,0),0))</f>
        <v>3V02-26-21.1</v>
      </c>
      <c r="E214" s="60">
        <f t="shared" ca="1" si="23"/>
        <v>110</v>
      </c>
      <c r="F214" s="60">
        <f t="shared" ca="1" si="24"/>
        <v>0.54</v>
      </c>
      <c r="G214" s="60">
        <f t="shared" ca="1" si="28"/>
        <v>59.400000000000006</v>
      </c>
      <c r="H214" s="95">
        <f ca="1">VLOOKUP(C214,data!E215:J263,6,0)</f>
        <v>44539</v>
      </c>
      <c r="I214" s="210">
        <f t="shared" ca="1" si="25"/>
        <v>0</v>
      </c>
      <c r="K214" s="208"/>
    </row>
    <row r="215" spans="1:11" x14ac:dyDescent="0.25">
      <c r="A215" s="1">
        <f t="shared" si="26"/>
        <v>213</v>
      </c>
      <c r="B215" s="175" t="str">
        <f t="shared" ca="1" si="27"/>
        <v>VE02452</v>
      </c>
      <c r="C215" s="88" t="str">
        <f t="shared" ca="1" si="22"/>
        <v>3V0298450</v>
      </c>
      <c r="D215" s="56" t="str">
        <f ca="1">IF(C215="","",IFERROR(VLOOKUP(C215,'[1]BẢNG MÃ RING'!$A$2:$C$322,2,0),0))</f>
        <v>3V02-23-20.6-5</v>
      </c>
      <c r="E215" s="60">
        <f t="shared" ca="1" si="23"/>
        <v>110</v>
      </c>
      <c r="F215" s="60">
        <f t="shared" ca="1" si="24"/>
        <v>0.44</v>
      </c>
      <c r="G215" s="60">
        <f t="shared" ca="1" si="28"/>
        <v>48.4</v>
      </c>
      <c r="H215" s="95">
        <f ca="1">VLOOKUP(C215,data!E216:J264,6,0)</f>
        <v>44546</v>
      </c>
      <c r="I215" s="210">
        <f t="shared" ca="1" si="25"/>
        <v>0</v>
      </c>
      <c r="K215" s="208"/>
    </row>
    <row r="216" spans="1:11" x14ac:dyDescent="0.25">
      <c r="A216" s="1">
        <f t="shared" si="26"/>
        <v>214</v>
      </c>
      <c r="B216" s="175" t="str">
        <f t="shared" ca="1" si="27"/>
        <v>VE02453</v>
      </c>
      <c r="C216" s="88" t="str">
        <f t="shared" ca="1" si="22"/>
        <v>3V0298450</v>
      </c>
      <c r="D216" s="56" t="str">
        <f ca="1">IF(C216="","",IFERROR(VLOOKUP(C216,'[1]BẢNG MÃ RING'!$A$2:$C$322,2,0),0))</f>
        <v>3V02-23-20.6-5</v>
      </c>
      <c r="E216" s="60">
        <f t="shared" ca="1" si="23"/>
        <v>110</v>
      </c>
      <c r="F216" s="60">
        <f t="shared" ca="1" si="24"/>
        <v>0.44</v>
      </c>
      <c r="G216" s="60">
        <f t="shared" ca="1" si="28"/>
        <v>48.4</v>
      </c>
      <c r="H216" s="95">
        <f ca="1">VLOOKUP(C216,data!E217:J265,6,0)</f>
        <v>44546</v>
      </c>
      <c r="I216" s="210">
        <f t="shared" ca="1" si="25"/>
        <v>0</v>
      </c>
      <c r="K216" s="208"/>
    </row>
    <row r="217" spans="1:11" x14ac:dyDescent="0.25">
      <c r="A217" s="1">
        <f t="shared" si="26"/>
        <v>215</v>
      </c>
      <c r="B217" s="175" t="str">
        <f t="shared" ca="1" si="27"/>
        <v>VE02454</v>
      </c>
      <c r="C217" s="88" t="str">
        <f t="shared" ca="1" si="22"/>
        <v>3V0298450</v>
      </c>
      <c r="D217" s="56" t="str">
        <f ca="1">IF(C217="","",IFERROR(VLOOKUP(C217,'[1]BẢNG MÃ RING'!$A$2:$C$322,2,0),0))</f>
        <v>3V02-23-20.6-5</v>
      </c>
      <c r="E217" s="60">
        <f t="shared" ca="1" si="23"/>
        <v>110</v>
      </c>
      <c r="F217" s="60">
        <f t="shared" ca="1" si="24"/>
        <v>0.44</v>
      </c>
      <c r="G217" s="60">
        <f t="shared" ca="1" si="28"/>
        <v>48.4</v>
      </c>
      <c r="H217" s="95">
        <f ca="1">VLOOKUP(C217,data!E218:J266,6,0)</f>
        <v>44546</v>
      </c>
      <c r="I217" s="210">
        <f t="shared" ca="1" si="25"/>
        <v>0</v>
      </c>
      <c r="K217" s="208"/>
    </row>
    <row r="218" spans="1:11" x14ac:dyDescent="0.25">
      <c r="A218" s="1">
        <f t="shared" si="26"/>
        <v>216</v>
      </c>
      <c r="B218" s="175" t="str">
        <f t="shared" ca="1" si="27"/>
        <v>VE02455</v>
      </c>
      <c r="C218" s="88" t="str">
        <f t="shared" ca="1" si="22"/>
        <v>3V0298450</v>
      </c>
      <c r="D218" s="56" t="str">
        <f ca="1">IF(C218="","",IFERROR(VLOOKUP(C218,'[1]BẢNG MÃ RING'!$A$2:$C$322,2,0),0))</f>
        <v>3V02-23-20.6-5</v>
      </c>
      <c r="E218" s="60">
        <f t="shared" ca="1" si="23"/>
        <v>110</v>
      </c>
      <c r="F218" s="60">
        <f t="shared" ca="1" si="24"/>
        <v>0.44</v>
      </c>
      <c r="G218" s="60">
        <f t="shared" ca="1" si="28"/>
        <v>48.4</v>
      </c>
      <c r="H218" s="95">
        <f ca="1">VLOOKUP(C218,data!E219:J267,6,0)</f>
        <v>44546</v>
      </c>
      <c r="I218" s="210">
        <f t="shared" ca="1" si="25"/>
        <v>0</v>
      </c>
      <c r="K218" s="208"/>
    </row>
    <row r="219" spans="1:11" x14ac:dyDescent="0.25">
      <c r="A219" s="1">
        <f t="shared" si="26"/>
        <v>217</v>
      </c>
      <c r="B219" s="175" t="str">
        <f t="shared" ca="1" si="27"/>
        <v>VE02456</v>
      </c>
      <c r="C219" s="88" t="str">
        <f t="shared" ca="1" si="22"/>
        <v>3V0298460</v>
      </c>
      <c r="D219" s="56" t="str">
        <f ca="1">IF(C219="","",IFERROR(VLOOKUP(C219,'[1]BẢNG MÃ RING'!$A$2:$C$322,2,0),0))</f>
        <v>3V02-25.5-23.1</v>
      </c>
      <c r="E219" s="60">
        <f t="shared" ca="1" si="23"/>
        <v>110</v>
      </c>
      <c r="F219" s="60">
        <f t="shared" ca="1" si="24"/>
        <v>0.5</v>
      </c>
      <c r="G219" s="60">
        <f t="shared" ca="1" si="28"/>
        <v>55</v>
      </c>
      <c r="H219" s="95">
        <f ca="1">VLOOKUP(C219,data!E220:J268,6,0)</f>
        <v>44546</v>
      </c>
      <c r="I219" s="210">
        <f t="shared" ca="1" si="25"/>
        <v>0</v>
      </c>
      <c r="K219" s="208"/>
    </row>
    <row r="220" spans="1:11" x14ac:dyDescent="0.25">
      <c r="A220" s="1">
        <f t="shared" si="26"/>
        <v>218</v>
      </c>
      <c r="B220" s="175" t="str">
        <f t="shared" ca="1" si="27"/>
        <v>VU03032</v>
      </c>
      <c r="C220" s="88" t="str">
        <f t="shared" ca="1" si="22"/>
        <v>3V0298470</v>
      </c>
      <c r="D220" s="56" t="str">
        <f ca="1">IF(C220="","",IFERROR(VLOOKUP(C220,'[1]BẢNG MÃ RING'!$A$2:$C$322,2,0),0))</f>
        <v>3V02-29-23</v>
      </c>
      <c r="E220" s="60">
        <f t="shared" ca="1" si="23"/>
        <v>110</v>
      </c>
      <c r="F220" s="60">
        <f t="shared" ca="1" si="24"/>
        <v>0.59</v>
      </c>
      <c r="G220" s="60">
        <f t="shared" ca="1" si="28"/>
        <v>64.899999999999991</v>
      </c>
      <c r="H220" s="95">
        <f ca="1">VLOOKUP(C220,data!E221:J269,6,0)</f>
        <v>44560</v>
      </c>
      <c r="I220" s="210">
        <f t="shared" ca="1" si="25"/>
        <v>0</v>
      </c>
      <c r="K220" s="208"/>
    </row>
    <row r="221" spans="1:11" x14ac:dyDescent="0.25">
      <c r="A221" s="1">
        <f t="shared" si="26"/>
        <v>219</v>
      </c>
      <c r="B221" s="175" t="str">
        <f t="shared" ca="1" si="27"/>
        <v>VU03032</v>
      </c>
      <c r="C221" s="88" t="str">
        <f t="shared" ca="1" si="22"/>
        <v>3V0301310</v>
      </c>
      <c r="D221" s="56" t="str">
        <f ca="1">IF(C221="","",IFERROR(VLOOKUP(C221,'[1]BẢNG MÃ RING'!$A$2:$C$322,2,0),0))</f>
        <v>3V03-27-23.05</v>
      </c>
      <c r="E221" s="60">
        <f t="shared" ca="1" si="23"/>
        <v>60</v>
      </c>
      <c r="F221" s="60">
        <f t="shared" ca="1" si="24"/>
        <v>0.45</v>
      </c>
      <c r="G221" s="60">
        <f t="shared" ca="1" si="28"/>
        <v>27</v>
      </c>
      <c r="H221" s="95">
        <f ca="1">VLOOKUP(C221,data!E222:J270,6,0)</f>
        <v>44560</v>
      </c>
      <c r="I221" s="210">
        <f t="shared" ca="1" si="25"/>
        <v>0</v>
      </c>
      <c r="K221" s="208"/>
    </row>
    <row r="222" spans="1:11" x14ac:dyDescent="0.25">
      <c r="A222" s="1">
        <f t="shared" si="26"/>
        <v>220</v>
      </c>
      <c r="B222" s="175" t="str">
        <f t="shared" ca="1" si="27"/>
        <v>VA04208</v>
      </c>
      <c r="C222" s="88" t="str">
        <f t="shared" ca="1" si="22"/>
        <v>3V0320600</v>
      </c>
      <c r="D222" s="56" t="str">
        <f ca="1">IF(C222="","",IFERROR(VLOOKUP(C222,'[1]BẢNG MÃ RING'!$A$2:$C$322,2,0),0))</f>
        <v>3V03-19.5-13.55</v>
      </c>
      <c r="E222" s="60">
        <f t="shared" ca="1" si="23"/>
        <v>60</v>
      </c>
      <c r="F222" s="60">
        <f t="shared" ca="1" si="24"/>
        <v>0.44</v>
      </c>
      <c r="G222" s="60">
        <f t="shared" ca="1" si="28"/>
        <v>26.4</v>
      </c>
      <c r="H222" s="95">
        <f ca="1">VLOOKUP(C222,data!E223:J271,6,0)</f>
        <v>44581</v>
      </c>
      <c r="I222" s="210">
        <f t="shared" ca="1" si="25"/>
        <v>0</v>
      </c>
      <c r="K222" s="208"/>
    </row>
    <row r="223" spans="1:11" x14ac:dyDescent="0.25">
      <c r="A223" s="1">
        <f t="shared" si="26"/>
        <v>221</v>
      </c>
      <c r="B223" s="175" t="str">
        <f t="shared" ca="1" si="27"/>
        <v>VA04209</v>
      </c>
      <c r="C223" s="88" t="str">
        <f t="shared" ca="1" si="22"/>
        <v>3V0320620</v>
      </c>
      <c r="D223" s="56" t="str">
        <f ca="1">IF(C223="","",IFERROR(VLOOKUP(C223,'[1]BẢNG MÃ RING'!$A$2:$C$322,2,0),0))</f>
        <v>3V03-19.5-14.05</v>
      </c>
      <c r="E223" s="60">
        <f t="shared" ca="1" si="23"/>
        <v>40</v>
      </c>
      <c r="F223" s="60">
        <f t="shared" ca="1" si="24"/>
        <v>0.44</v>
      </c>
      <c r="G223" s="60">
        <f t="shared" ca="1" si="28"/>
        <v>17.600000000000001</v>
      </c>
      <c r="H223" s="95">
        <f ca="1">VLOOKUP(C223,data!E224:J272,6,0)</f>
        <v>44581</v>
      </c>
      <c r="I223" s="210">
        <f t="shared" ca="1" si="25"/>
        <v>0</v>
      </c>
      <c r="K223" s="208"/>
    </row>
    <row r="224" spans="1:11" x14ac:dyDescent="0.25">
      <c r="A224" s="1">
        <f t="shared" si="26"/>
        <v>222</v>
      </c>
      <c r="B224" s="175" t="str">
        <f t="shared" ca="1" si="27"/>
        <v>VA04210</v>
      </c>
      <c r="C224" s="88" t="str">
        <f t="shared" ca="1" si="22"/>
        <v>3V0320630</v>
      </c>
      <c r="D224" s="56" t="str">
        <f ca="1">IF(C224="","",IFERROR(VLOOKUP(C224,'[1]BẢNG MÃ RING'!$A$2:$C$322,2,0),0))</f>
        <v>3V03-19.5-14.55</v>
      </c>
      <c r="E224" s="60">
        <f t="shared" ca="1" si="23"/>
        <v>60</v>
      </c>
      <c r="F224" s="60">
        <f t="shared" ca="1" si="24"/>
        <v>0.44</v>
      </c>
      <c r="G224" s="60">
        <f t="shared" ca="1" si="28"/>
        <v>26.4</v>
      </c>
      <c r="H224" s="95">
        <f ca="1">VLOOKUP(C224,data!E225:J273,6,0)</f>
        <v>44581</v>
      </c>
      <c r="I224" s="210">
        <f t="shared" ca="1" si="25"/>
        <v>0</v>
      </c>
      <c r="K224" s="208"/>
    </row>
    <row r="225" spans="1:11" x14ac:dyDescent="0.25">
      <c r="A225" s="1">
        <f t="shared" si="26"/>
        <v>223</v>
      </c>
      <c r="B225" s="175" t="str">
        <f t="shared" ca="1" si="27"/>
        <v>VA04211</v>
      </c>
      <c r="C225" s="88" t="str">
        <f t="shared" ca="1" si="22"/>
        <v>3V0320640</v>
      </c>
      <c r="D225" s="56" t="str">
        <f ca="1">IF(C225="","",IFERROR(VLOOKUP(C225,'[1]BẢNG MÃ RING'!$A$2:$C$322,2,0),0))</f>
        <v>3V03-19.5-15.55</v>
      </c>
      <c r="E225" s="60">
        <f t="shared" ca="1" si="23"/>
        <v>60</v>
      </c>
      <c r="F225" s="60">
        <f t="shared" ca="1" si="24"/>
        <v>0.44</v>
      </c>
      <c r="G225" s="60">
        <f t="shared" ca="1" si="28"/>
        <v>26.4</v>
      </c>
      <c r="H225" s="95">
        <f ca="1">VLOOKUP(C225,data!E226:J274,6,0)</f>
        <v>44581</v>
      </c>
      <c r="I225" s="210">
        <f t="shared" ca="1" si="25"/>
        <v>0</v>
      </c>
      <c r="K225" s="208"/>
    </row>
    <row r="226" spans="1:11" x14ac:dyDescent="0.25">
      <c r="A226" s="1">
        <f t="shared" si="26"/>
        <v>224</v>
      </c>
      <c r="B226" s="175" t="str">
        <f t="shared" ca="1" si="27"/>
        <v>VA04212</v>
      </c>
      <c r="C226" s="88" t="str">
        <f t="shared" ca="1" si="22"/>
        <v>3V0320650</v>
      </c>
      <c r="D226" s="56" t="str">
        <f ca="1">IF(C226="","",IFERROR(VLOOKUP(C226,'[1]BẢNG MÃ RING'!$A$2:$C$322,2,0),0))</f>
        <v>3V03-19.5-16.05</v>
      </c>
      <c r="E226" s="60">
        <f t="shared" ca="1" si="23"/>
        <v>50</v>
      </c>
      <c r="F226" s="60">
        <f t="shared" ca="1" si="24"/>
        <v>0.44</v>
      </c>
      <c r="G226" s="60">
        <f t="shared" ca="1" si="28"/>
        <v>22</v>
      </c>
      <c r="H226" s="95">
        <f ca="1">VLOOKUP(C226,data!E227:J275,6,0)</f>
        <v>44581</v>
      </c>
      <c r="I226" s="210">
        <f t="shared" ca="1" si="25"/>
        <v>0</v>
      </c>
      <c r="K226" s="208"/>
    </row>
    <row r="227" spans="1:11" x14ac:dyDescent="0.25">
      <c r="A227" s="1">
        <f t="shared" si="26"/>
        <v>225</v>
      </c>
      <c r="B227" s="175" t="str">
        <f t="shared" ca="1" si="27"/>
        <v>VB02375</v>
      </c>
      <c r="C227" s="88" t="str">
        <f t="shared" ca="1" si="22"/>
        <v>7418950A0</v>
      </c>
      <c r="D227" s="56" t="str">
        <f ca="1">IF(C227="","",IFERROR(VLOOKUP(C227,'[1]BẢNG MÃ RING'!$A$2:$C$322,2,0),0))</f>
        <v>7418-14.5-12</v>
      </c>
      <c r="E227" s="60">
        <f t="shared" ca="1" si="23"/>
        <v>210</v>
      </c>
      <c r="F227" s="60">
        <f t="shared" ca="1" si="24"/>
        <v>0.28999999999999998</v>
      </c>
      <c r="G227" s="60">
        <f t="shared" ca="1" si="28"/>
        <v>60.9</v>
      </c>
      <c r="H227" s="95">
        <f ca="1">VLOOKUP(C227,data!E228:J276,6,0)</f>
        <v>44539</v>
      </c>
      <c r="I227" s="210">
        <f t="shared" ca="1" si="25"/>
        <v>0</v>
      </c>
      <c r="K227" s="208"/>
    </row>
    <row r="228" spans="1:11" x14ac:dyDescent="0.25">
      <c r="A228" s="1">
        <f t="shared" si="26"/>
        <v>226</v>
      </c>
      <c r="B228" s="175" t="str">
        <f t="shared" ca="1" si="27"/>
        <v/>
      </c>
      <c r="C228" s="88" t="str">
        <f t="shared" ca="1" si="22"/>
        <v/>
      </c>
      <c r="D228" s="56" t="str">
        <f ca="1">IF(C228="","",IFERROR(VLOOKUP(C228,'[1]BẢNG MÃ RING'!$A$2:$C$322,2,0),0))</f>
        <v/>
      </c>
      <c r="E228" s="60" t="str">
        <f t="shared" ca="1" si="23"/>
        <v/>
      </c>
      <c r="F228" s="60" t="str">
        <f t="shared" ca="1" si="24"/>
        <v/>
      </c>
      <c r="G228" s="60"/>
      <c r="H228" s="95" t="e">
        <f ca="1">VLOOKUP(C228,data!E229:J277,6,0)</f>
        <v>#N/A</v>
      </c>
      <c r="I228" s="210">
        <f t="shared" ca="1" si="25"/>
        <v>0</v>
      </c>
      <c r="K228" s="208"/>
    </row>
    <row r="229" spans="1:11" x14ac:dyDescent="0.25">
      <c r="A229" s="1">
        <f t="shared" si="26"/>
        <v>227</v>
      </c>
      <c r="B229" s="175" t="str">
        <f t="shared" ca="1" si="27"/>
        <v/>
      </c>
      <c r="C229" s="88" t="str">
        <f t="shared" ca="1" si="22"/>
        <v/>
      </c>
      <c r="D229" s="56" t="str">
        <f ca="1">IF(C229="","",IFERROR(VLOOKUP(C229,'[1]BẢNG MÃ RING'!$A$2:$C$322,2,0),0))</f>
        <v/>
      </c>
      <c r="E229" s="60" t="str">
        <f t="shared" ca="1" si="23"/>
        <v/>
      </c>
      <c r="F229" s="60" t="str">
        <f t="shared" ca="1" si="24"/>
        <v/>
      </c>
      <c r="G229" s="60"/>
      <c r="H229" s="95" t="e">
        <f ca="1">VLOOKUP(C229,data!E229:J278,6,0)</f>
        <v>#N/A</v>
      </c>
      <c r="I229" s="210">
        <f t="shared" ca="1" si="25"/>
        <v>0</v>
      </c>
      <c r="K229" s="208"/>
    </row>
    <row r="230" spans="1:11" x14ac:dyDescent="0.25">
      <c r="A230" s="1">
        <f t="shared" si="26"/>
        <v>228</v>
      </c>
      <c r="B230" s="175" t="str">
        <f t="shared" ca="1" si="27"/>
        <v/>
      </c>
      <c r="C230" s="88" t="str">
        <f t="shared" ca="1" si="22"/>
        <v/>
      </c>
      <c r="D230" s="56" t="str">
        <f ca="1">IF(C230="","",IFERROR(VLOOKUP(C230,'[1]BẢNG MÃ RING'!$A$2:$C$322,2,0),0))</f>
        <v/>
      </c>
      <c r="E230" s="60" t="str">
        <f t="shared" ca="1" si="23"/>
        <v/>
      </c>
      <c r="F230" s="60" t="str">
        <f t="shared" ca="1" si="24"/>
        <v/>
      </c>
      <c r="G230" s="60"/>
      <c r="H230" s="95" t="e">
        <f ca="1">VLOOKUP(C230,data!E229:J279,6,0)</f>
        <v>#N/A</v>
      </c>
      <c r="I230" s="210">
        <f t="shared" ca="1" si="25"/>
        <v>0</v>
      </c>
      <c r="K230" s="208"/>
    </row>
    <row r="231" spans="1:11" x14ac:dyDescent="0.25">
      <c r="A231" s="1">
        <f t="shared" si="26"/>
        <v>229</v>
      </c>
      <c r="B231" s="175" t="str">
        <f t="shared" ca="1" si="27"/>
        <v/>
      </c>
      <c r="C231" s="88" t="str">
        <f t="shared" ca="1" si="22"/>
        <v/>
      </c>
      <c r="D231" s="56" t="str">
        <f ca="1">IF(C231="","",IFERROR(VLOOKUP(C231,'[1]BẢNG MÃ RING'!$A$2:$C$322,2,0),0))</f>
        <v/>
      </c>
      <c r="E231" s="60" t="str">
        <f t="shared" ca="1" si="23"/>
        <v/>
      </c>
      <c r="F231" s="60" t="str">
        <f t="shared" ca="1" si="24"/>
        <v/>
      </c>
      <c r="G231" s="60"/>
      <c r="H231" s="95" t="e">
        <f ca="1">VLOOKUP(C231,data!E229:J280,6,0)</f>
        <v>#N/A</v>
      </c>
      <c r="I231" s="210">
        <f t="shared" ca="1" si="25"/>
        <v>0</v>
      </c>
      <c r="K231" s="208"/>
    </row>
    <row r="232" spans="1:11" x14ac:dyDescent="0.25">
      <c r="A232" s="1">
        <f t="shared" si="26"/>
        <v>230</v>
      </c>
      <c r="B232" s="175" t="str">
        <f t="shared" ca="1" si="27"/>
        <v/>
      </c>
      <c r="C232" s="88" t="str">
        <f t="shared" ca="1" si="22"/>
        <v/>
      </c>
      <c r="D232" s="56" t="str">
        <f ca="1">IF(C232="","",IFERROR(VLOOKUP(C232,'[1]BẢNG MÃ RING'!$A$2:$C$322,2,0),0))</f>
        <v/>
      </c>
      <c r="E232" s="60" t="str">
        <f t="shared" ca="1" si="23"/>
        <v/>
      </c>
      <c r="F232" s="60" t="str">
        <f t="shared" ca="1" si="24"/>
        <v/>
      </c>
      <c r="G232" s="60"/>
      <c r="H232" s="95" t="e">
        <f ca="1">VLOOKUP(C232,data!E229:J281,6,0)</f>
        <v>#N/A</v>
      </c>
      <c r="I232" s="210">
        <f t="shared" ca="1" si="25"/>
        <v>0</v>
      </c>
      <c r="K232" s="208"/>
    </row>
    <row r="233" spans="1:11" x14ac:dyDescent="0.25">
      <c r="A233" s="1">
        <f t="shared" si="26"/>
        <v>231</v>
      </c>
      <c r="B233" s="175" t="str">
        <f t="shared" ca="1" si="27"/>
        <v/>
      </c>
      <c r="C233" s="88" t="str">
        <f t="shared" ca="1" si="22"/>
        <v/>
      </c>
      <c r="D233" s="56" t="str">
        <f ca="1">IF(C233="","",IFERROR(VLOOKUP(C233,'[1]BẢNG MÃ RING'!$A$2:$C$322,2,0),0))</f>
        <v/>
      </c>
      <c r="E233" s="60" t="str">
        <f t="shared" ca="1" si="23"/>
        <v/>
      </c>
      <c r="F233" s="60" t="str">
        <f t="shared" ca="1" si="24"/>
        <v/>
      </c>
      <c r="G233" s="60"/>
      <c r="H233" s="95" t="e">
        <f ca="1">VLOOKUP(C233,data!E229:J282,6,0)</f>
        <v>#N/A</v>
      </c>
      <c r="I233" s="210">
        <f t="shared" ca="1" si="25"/>
        <v>0</v>
      </c>
      <c r="K233" s="208"/>
    </row>
    <row r="234" spans="1:11" x14ac:dyDescent="0.25">
      <c r="A234" s="1">
        <f t="shared" si="26"/>
        <v>232</v>
      </c>
      <c r="B234" s="175" t="str">
        <f t="shared" ca="1" si="27"/>
        <v/>
      </c>
      <c r="C234" s="88" t="str">
        <f t="shared" ca="1" si="22"/>
        <v/>
      </c>
      <c r="D234" s="56" t="str">
        <f ca="1">IF(C234="","",IFERROR(VLOOKUP(C234,'[1]BẢNG MÃ RING'!$A$2:$C$322,2,0),0))</f>
        <v/>
      </c>
      <c r="E234" s="60" t="str">
        <f t="shared" ca="1" si="23"/>
        <v/>
      </c>
      <c r="F234" s="60" t="str">
        <f t="shared" ca="1" si="24"/>
        <v/>
      </c>
      <c r="G234" s="60"/>
      <c r="H234" s="95" t="e">
        <f ca="1">VLOOKUP(C234,data!E229:J283,6,0)</f>
        <v>#N/A</v>
      </c>
      <c r="I234" s="210">
        <f t="shared" ca="1" si="25"/>
        <v>0</v>
      </c>
      <c r="K234" s="208"/>
    </row>
    <row r="235" spans="1:11" x14ac:dyDescent="0.25">
      <c r="A235" s="1">
        <f t="shared" si="26"/>
        <v>233</v>
      </c>
      <c r="B235" s="175" t="str">
        <f t="shared" ca="1" si="27"/>
        <v/>
      </c>
      <c r="C235" s="88" t="str">
        <f t="shared" ca="1" si="22"/>
        <v/>
      </c>
      <c r="D235" s="56" t="str">
        <f ca="1">IF(C235="","",IFERROR(VLOOKUP(C235,'[1]BẢNG MÃ RING'!$A$2:$C$322,2,0),0))</f>
        <v/>
      </c>
      <c r="E235" s="60" t="str">
        <f t="shared" ca="1" si="23"/>
        <v/>
      </c>
      <c r="F235" s="60" t="str">
        <f t="shared" ca="1" si="24"/>
        <v/>
      </c>
      <c r="G235" s="60"/>
      <c r="H235" s="95" t="e">
        <f ca="1">VLOOKUP(C235,data!E229:J284,6,0)</f>
        <v>#N/A</v>
      </c>
      <c r="I235" s="210">
        <f t="shared" ca="1" si="25"/>
        <v>0</v>
      </c>
      <c r="K235" s="208"/>
    </row>
    <row r="236" spans="1:11" x14ac:dyDescent="0.25">
      <c r="A236" s="1">
        <f t="shared" si="26"/>
        <v>234</v>
      </c>
      <c r="B236" s="175" t="str">
        <f t="shared" ca="1" si="27"/>
        <v/>
      </c>
      <c r="C236" s="88" t="str">
        <f t="shared" ca="1" si="22"/>
        <v/>
      </c>
      <c r="D236" s="56" t="str">
        <f ca="1">IF(C236="","",IFERROR(VLOOKUP(C236,'[1]BẢNG MÃ RING'!$A$2:$C$322,2,0),0))</f>
        <v/>
      </c>
      <c r="E236" s="60" t="str">
        <f t="shared" ca="1" si="23"/>
        <v/>
      </c>
      <c r="F236" s="60" t="str">
        <f t="shared" ca="1" si="24"/>
        <v/>
      </c>
      <c r="G236" s="60"/>
      <c r="H236" s="95" t="e">
        <f ca="1">VLOOKUP(C236,data!E229:J285,6,0)</f>
        <v>#N/A</v>
      </c>
      <c r="I236" s="210">
        <f t="shared" ca="1" si="25"/>
        <v>0</v>
      </c>
      <c r="K236" s="208"/>
    </row>
    <row r="237" spans="1:11" x14ac:dyDescent="0.25">
      <c r="A237" s="1">
        <f t="shared" si="26"/>
        <v>235</v>
      </c>
      <c r="B237" s="175" t="str">
        <f t="shared" ca="1" si="27"/>
        <v/>
      </c>
      <c r="C237" s="88" t="str">
        <f t="shared" ca="1" si="22"/>
        <v/>
      </c>
      <c r="D237" s="56" t="str">
        <f ca="1">IF(C237="","",IFERROR(VLOOKUP(C237,'[1]BẢNG MÃ RING'!$A$2:$C$322,2,0),0))</f>
        <v/>
      </c>
      <c r="E237" s="60" t="str">
        <f t="shared" ca="1" si="23"/>
        <v/>
      </c>
      <c r="F237" s="60" t="str">
        <f t="shared" ca="1" si="24"/>
        <v/>
      </c>
      <c r="G237" s="60"/>
      <c r="H237" s="95" t="e">
        <f ca="1">VLOOKUP(C237,data!E229:J286,6,0)</f>
        <v>#N/A</v>
      </c>
      <c r="I237" s="210">
        <f t="shared" ca="1" si="25"/>
        <v>0</v>
      </c>
      <c r="K237" s="208"/>
    </row>
    <row r="238" spans="1:11" x14ac:dyDescent="0.25">
      <c r="A238" s="1">
        <f t="shared" si="26"/>
        <v>236</v>
      </c>
      <c r="B238" s="175" t="str">
        <f t="shared" ca="1" si="27"/>
        <v/>
      </c>
      <c r="C238" s="88" t="str">
        <f t="shared" ca="1" si="22"/>
        <v/>
      </c>
      <c r="D238" s="56" t="str">
        <f ca="1">IF(C238="","",IFERROR(VLOOKUP(C238,'[1]BẢNG MÃ RING'!$A$2:$C$322,2,0),0))</f>
        <v/>
      </c>
      <c r="E238" s="60" t="str">
        <f t="shared" ca="1" si="23"/>
        <v/>
      </c>
      <c r="F238" s="60" t="str">
        <f t="shared" ca="1" si="24"/>
        <v/>
      </c>
      <c r="G238" s="60"/>
      <c r="H238" s="95" t="e">
        <f ca="1">VLOOKUP(C238,data!E229:J287,6,0)</f>
        <v>#N/A</v>
      </c>
      <c r="I238" s="210">
        <f t="shared" ca="1" si="25"/>
        <v>0</v>
      </c>
      <c r="K238" s="208"/>
    </row>
    <row r="239" spans="1:11" x14ac:dyDescent="0.25">
      <c r="A239" s="1">
        <f t="shared" si="26"/>
        <v>237</v>
      </c>
      <c r="B239" s="175" t="str">
        <f t="shared" ca="1" si="27"/>
        <v/>
      </c>
      <c r="C239" s="88" t="str">
        <f t="shared" ca="1" si="22"/>
        <v/>
      </c>
      <c r="D239" s="56" t="str">
        <f ca="1">IF(C239="","",IFERROR(VLOOKUP(C239,'[1]BẢNG MÃ RING'!$A$2:$C$322,2,0),0))</f>
        <v/>
      </c>
      <c r="E239" s="60" t="str">
        <f t="shared" ca="1" si="23"/>
        <v/>
      </c>
      <c r="F239" s="60" t="str">
        <f t="shared" ca="1" si="24"/>
        <v/>
      </c>
      <c r="G239" s="60"/>
      <c r="H239" s="95" t="e">
        <f ca="1">VLOOKUP(C239,data!E229:J288,6,0)</f>
        <v>#N/A</v>
      </c>
      <c r="I239" s="210">
        <f t="shared" ca="1" si="25"/>
        <v>0</v>
      </c>
      <c r="K239" s="208"/>
    </row>
    <row r="240" spans="1:11" x14ac:dyDescent="0.25">
      <c r="A240" s="1">
        <f t="shared" si="26"/>
        <v>238</v>
      </c>
      <c r="B240" s="175" t="str">
        <f t="shared" ca="1" si="27"/>
        <v/>
      </c>
      <c r="C240" s="88" t="str">
        <f t="shared" ca="1" si="22"/>
        <v/>
      </c>
      <c r="D240" s="56" t="str">
        <f ca="1">IF(C240="","",IFERROR(VLOOKUP(C240,'[1]BẢNG MÃ RING'!$A$2:$C$322,2,0),0))</f>
        <v/>
      </c>
      <c r="E240" s="60" t="str">
        <f t="shared" ca="1" si="23"/>
        <v/>
      </c>
      <c r="F240" s="60" t="str">
        <f t="shared" ca="1" si="24"/>
        <v/>
      </c>
      <c r="G240" s="60"/>
      <c r="H240" s="95" t="e">
        <f ca="1">VLOOKUP(C240,data!E229:J289,6,0)</f>
        <v>#N/A</v>
      </c>
      <c r="I240" s="210">
        <f t="shared" ca="1" si="25"/>
        <v>0</v>
      </c>
      <c r="K240" s="208"/>
    </row>
    <row r="241" spans="1:11" x14ac:dyDescent="0.25">
      <c r="A241" s="1">
        <f t="shared" si="26"/>
        <v>239</v>
      </c>
      <c r="B241" s="175" t="str">
        <f t="shared" ca="1" si="27"/>
        <v/>
      </c>
      <c r="C241" s="88" t="str">
        <f t="shared" ref="C241:C258" ca="1" si="29">IF(B241="","",VLOOKUP(A241, INDIRECT( $I$1&amp;"!$A$4:$E$2000"),5,0))</f>
        <v/>
      </c>
      <c r="D241" s="56" t="str">
        <f ca="1">IF(C241="","",IFERROR(VLOOKUP(C241,'[1]BẢNG MÃ RING'!$A$2:$C$322,2,0),0))</f>
        <v/>
      </c>
      <c r="E241" s="60" t="str">
        <f t="shared" ca="1" si="23"/>
        <v/>
      </c>
      <c r="F241" s="60" t="str">
        <f t="shared" ca="1" si="24"/>
        <v/>
      </c>
      <c r="G241" s="60"/>
      <c r="H241" s="95" t="e">
        <f ca="1">VLOOKUP(C241,data!E229:J290,6,0)</f>
        <v>#N/A</v>
      </c>
      <c r="I241" s="210">
        <f t="shared" ca="1" si="25"/>
        <v>0</v>
      </c>
      <c r="K241" s="208"/>
    </row>
    <row r="242" spans="1:11" x14ac:dyDescent="0.25">
      <c r="A242" s="1">
        <f t="shared" si="26"/>
        <v>240</v>
      </c>
      <c r="B242" s="175" t="str">
        <f t="shared" ca="1" si="27"/>
        <v/>
      </c>
      <c r="C242" s="88" t="str">
        <f t="shared" ca="1" si="29"/>
        <v/>
      </c>
      <c r="D242" s="56" t="str">
        <f ca="1">IF(C242="","",IFERROR(VLOOKUP(C242,'[1]BẢNG MÃ RING'!$A$2:$C$322,2,0),0))</f>
        <v/>
      </c>
      <c r="E242" s="60" t="str">
        <f t="shared" ca="1" si="23"/>
        <v/>
      </c>
      <c r="F242" s="60" t="str">
        <f t="shared" ca="1" si="24"/>
        <v/>
      </c>
      <c r="G242" s="60"/>
      <c r="H242" s="95" t="e">
        <f ca="1">VLOOKUP(C242,data!E229:J291,6,0)</f>
        <v>#N/A</v>
      </c>
      <c r="I242" s="210">
        <f t="shared" ca="1" si="25"/>
        <v>0</v>
      </c>
      <c r="K242" s="208"/>
    </row>
    <row r="243" spans="1:11" x14ac:dyDescent="0.25">
      <c r="A243" s="1">
        <f t="shared" si="26"/>
        <v>241</v>
      </c>
      <c r="B243" s="175" t="str">
        <f t="shared" ca="1" si="27"/>
        <v/>
      </c>
      <c r="C243" s="88" t="str">
        <f t="shared" ca="1" si="29"/>
        <v/>
      </c>
      <c r="D243" s="56" t="str">
        <f ca="1">IF(C243="","",IFERROR(VLOOKUP(C243,'[1]BẢNG MÃ RING'!$A$2:$C$322,2,0),0))</f>
        <v/>
      </c>
      <c r="E243" s="60" t="str">
        <f t="shared" ca="1" si="23"/>
        <v/>
      </c>
      <c r="F243" s="60" t="str">
        <f t="shared" ca="1" si="24"/>
        <v/>
      </c>
      <c r="G243" s="60"/>
      <c r="H243" s="95" t="e">
        <f ca="1">VLOOKUP(C243,data!E229:J292,6,0)</f>
        <v>#N/A</v>
      </c>
      <c r="I243" s="210">
        <f t="shared" ca="1" si="25"/>
        <v>0</v>
      </c>
      <c r="K243" s="208"/>
    </row>
    <row r="244" spans="1:11" x14ac:dyDescent="0.25">
      <c r="A244" s="1">
        <f t="shared" si="26"/>
        <v>242</v>
      </c>
      <c r="B244" s="175" t="str">
        <f t="shared" ca="1" si="27"/>
        <v/>
      </c>
      <c r="C244" s="88" t="str">
        <f t="shared" ca="1" si="29"/>
        <v/>
      </c>
      <c r="D244" s="56" t="str">
        <f ca="1">IF(C244="","",IFERROR(VLOOKUP(C244,'[1]BẢNG MÃ RING'!$A$2:$C$322,2,0),0))</f>
        <v/>
      </c>
      <c r="E244" s="60" t="str">
        <f t="shared" ca="1" si="23"/>
        <v/>
      </c>
      <c r="F244" s="60" t="str">
        <f t="shared" ca="1" si="24"/>
        <v/>
      </c>
      <c r="G244" s="60"/>
      <c r="H244" s="95" t="e">
        <f ca="1">VLOOKUP(C244,data!E229:J293,6,0)</f>
        <v>#N/A</v>
      </c>
      <c r="I244" s="210">
        <f t="shared" ca="1" si="25"/>
        <v>0</v>
      </c>
      <c r="K244" s="208"/>
    </row>
    <row r="245" spans="1:11" x14ac:dyDescent="0.25">
      <c r="A245" s="1">
        <f t="shared" si="26"/>
        <v>243</v>
      </c>
      <c r="B245" s="175" t="str">
        <f t="shared" ca="1" si="27"/>
        <v/>
      </c>
      <c r="C245" s="88" t="str">
        <f t="shared" ca="1" si="29"/>
        <v/>
      </c>
      <c r="D245" s="56" t="str">
        <f ca="1">IF(C245="","",IFERROR(VLOOKUP(C245,'[1]BẢNG MÃ RING'!$A$2:$C$322,2,0),0))</f>
        <v/>
      </c>
      <c r="E245" s="60" t="str">
        <f t="shared" ca="1" si="23"/>
        <v/>
      </c>
      <c r="F245" s="60" t="str">
        <f t="shared" ca="1" si="24"/>
        <v/>
      </c>
      <c r="G245" s="60"/>
      <c r="H245" s="95" t="e">
        <f ca="1">VLOOKUP(C245,data!E229:J294,6,0)</f>
        <v>#N/A</v>
      </c>
      <c r="I245" s="210">
        <f t="shared" ca="1" si="25"/>
        <v>0</v>
      </c>
      <c r="K245" s="208"/>
    </row>
    <row r="246" spans="1:11" x14ac:dyDescent="0.25">
      <c r="A246" s="1">
        <f t="shared" si="26"/>
        <v>244</v>
      </c>
      <c r="B246" s="175" t="str">
        <f t="shared" ca="1" si="27"/>
        <v/>
      </c>
      <c r="C246" s="88" t="str">
        <f t="shared" ca="1" si="29"/>
        <v/>
      </c>
      <c r="D246" s="56" t="str">
        <f ca="1">IF(C246="","",IFERROR(VLOOKUP(C246,'[1]BẢNG MÃ RING'!$A$2:$C$322,2,0),0))</f>
        <v/>
      </c>
      <c r="E246" s="60" t="str">
        <f t="shared" ca="1" si="23"/>
        <v/>
      </c>
      <c r="F246" s="60" t="str">
        <f t="shared" ca="1" si="24"/>
        <v/>
      </c>
      <c r="G246" s="60"/>
      <c r="H246" s="95" t="e">
        <f ca="1">VLOOKUP(C246,data!E229:J295,6,0)</f>
        <v>#N/A</v>
      </c>
      <c r="I246" s="210">
        <f t="shared" ca="1" si="25"/>
        <v>0</v>
      </c>
      <c r="K246" s="208"/>
    </row>
    <row r="247" spans="1:11" x14ac:dyDescent="0.25">
      <c r="A247" s="1">
        <f t="shared" si="26"/>
        <v>245</v>
      </c>
      <c r="B247" s="175" t="str">
        <f t="shared" ca="1" si="27"/>
        <v/>
      </c>
      <c r="C247" s="88" t="str">
        <f t="shared" ca="1" si="29"/>
        <v/>
      </c>
      <c r="D247" s="56" t="str">
        <f ca="1">IF(C247="","",IFERROR(VLOOKUP(C247,'[1]BẢNG MÃ RING'!$A$2:$C$322,2,0),0))</f>
        <v/>
      </c>
      <c r="E247" s="60" t="str">
        <f t="shared" ca="1" si="23"/>
        <v/>
      </c>
      <c r="F247" s="60" t="str">
        <f t="shared" ca="1" si="24"/>
        <v/>
      </c>
      <c r="G247" s="60"/>
      <c r="H247" s="95" t="e">
        <f ca="1">VLOOKUP(C247,data!E229:J296,6,0)</f>
        <v>#N/A</v>
      </c>
      <c r="I247" s="210">
        <f t="shared" ca="1" si="25"/>
        <v>0</v>
      </c>
      <c r="K247" s="208"/>
    </row>
    <row r="248" spans="1:11" x14ac:dyDescent="0.25">
      <c r="A248" s="1">
        <f t="shared" si="26"/>
        <v>246</v>
      </c>
      <c r="B248" s="175" t="str">
        <f t="shared" ca="1" si="27"/>
        <v/>
      </c>
      <c r="C248" s="88" t="str">
        <f t="shared" ca="1" si="29"/>
        <v/>
      </c>
      <c r="D248" s="56" t="str">
        <f ca="1">IF(C248="","",IFERROR(VLOOKUP(C248,'[1]BẢNG MÃ RING'!$A$2:$C$322,2,0),0))</f>
        <v/>
      </c>
      <c r="E248" s="60" t="str">
        <f t="shared" ca="1" si="23"/>
        <v/>
      </c>
      <c r="F248" s="60" t="str">
        <f t="shared" ca="1" si="24"/>
        <v/>
      </c>
      <c r="G248" s="60"/>
      <c r="H248" s="95" t="e">
        <f ca="1">VLOOKUP(C248,data!E229:J297,6,0)</f>
        <v>#N/A</v>
      </c>
      <c r="I248" s="210">
        <f t="shared" ca="1" si="25"/>
        <v>0</v>
      </c>
      <c r="K248" s="208"/>
    </row>
    <row r="249" spans="1:11" x14ac:dyDescent="0.25">
      <c r="A249" s="1">
        <f t="shared" si="26"/>
        <v>247</v>
      </c>
      <c r="B249" s="175" t="str">
        <f t="shared" ca="1" si="27"/>
        <v/>
      </c>
      <c r="C249" s="88" t="str">
        <f t="shared" ca="1" si="29"/>
        <v/>
      </c>
      <c r="D249" s="56" t="str">
        <f ca="1">IF(C249="","",IFERROR(VLOOKUP(C249,'[1]BẢNG MÃ RING'!$A$2:$C$322,2,0),0))</f>
        <v/>
      </c>
      <c r="E249" s="60" t="str">
        <f t="shared" ca="1" si="23"/>
        <v/>
      </c>
      <c r="F249" s="60" t="str">
        <f t="shared" ca="1" si="24"/>
        <v/>
      </c>
      <c r="G249" s="60"/>
      <c r="H249" s="95" t="e">
        <f ca="1">VLOOKUP(C249,data!E229:J298,6,0)</f>
        <v>#N/A</v>
      </c>
      <c r="I249" s="210">
        <f t="shared" ca="1" si="25"/>
        <v>0</v>
      </c>
      <c r="K249" s="208"/>
    </row>
    <row r="250" spans="1:11" x14ac:dyDescent="0.25">
      <c r="A250" s="1">
        <f t="shared" si="26"/>
        <v>248</v>
      </c>
      <c r="B250" s="175" t="str">
        <f t="shared" ca="1" si="27"/>
        <v/>
      </c>
      <c r="C250" s="88" t="str">
        <f t="shared" ca="1" si="29"/>
        <v/>
      </c>
      <c r="D250" s="56" t="str">
        <f ca="1">IF(C250="","",IFERROR(VLOOKUP(C250,'[1]BẢNG MÃ RING'!$A$2:$C$322,2,0),0))</f>
        <v/>
      </c>
      <c r="E250" s="60" t="str">
        <f t="shared" ca="1" si="23"/>
        <v/>
      </c>
      <c r="F250" s="60" t="str">
        <f t="shared" ca="1" si="24"/>
        <v/>
      </c>
      <c r="G250" s="60"/>
      <c r="H250" s="95" t="e">
        <f ca="1">VLOOKUP(C250,data!E229:J299,6,0)</f>
        <v>#N/A</v>
      </c>
      <c r="I250" s="210">
        <f t="shared" ca="1" si="25"/>
        <v>0</v>
      </c>
      <c r="K250" s="208"/>
    </row>
    <row r="251" spans="1:11" x14ac:dyDescent="0.25">
      <c r="A251" s="1">
        <f t="shared" si="26"/>
        <v>249</v>
      </c>
      <c r="B251" s="175" t="str">
        <f t="shared" ca="1" si="27"/>
        <v/>
      </c>
      <c r="C251" s="88" t="str">
        <f t="shared" ca="1" si="29"/>
        <v/>
      </c>
      <c r="D251" s="56" t="str">
        <f ca="1">IF(C251="","",IFERROR(VLOOKUP(C251,'[1]BẢNG MÃ RING'!$A$2:$C$322,2,0),0))</f>
        <v/>
      </c>
      <c r="E251" s="60" t="str">
        <f t="shared" ca="1" si="23"/>
        <v/>
      </c>
      <c r="F251" s="60" t="str">
        <f t="shared" ca="1" si="24"/>
        <v/>
      </c>
      <c r="G251" s="60"/>
      <c r="H251" s="95" t="e">
        <f ca="1">VLOOKUP(C251,data!E229:J300,6,0)</f>
        <v>#N/A</v>
      </c>
      <c r="I251" s="210">
        <f t="shared" ca="1" si="25"/>
        <v>0</v>
      </c>
      <c r="K251" s="208"/>
    </row>
    <row r="252" spans="1:11" x14ac:dyDescent="0.25">
      <c r="A252" s="1">
        <f t="shared" si="26"/>
        <v>250</v>
      </c>
      <c r="B252" s="175" t="str">
        <f t="shared" ca="1" si="27"/>
        <v/>
      </c>
      <c r="C252" s="88" t="str">
        <f t="shared" ca="1" si="29"/>
        <v/>
      </c>
      <c r="D252" s="56" t="str">
        <f ca="1">IF(C252="","",IFERROR(VLOOKUP(C252,'[1]BẢNG MÃ RING'!$A$2:$C$322,2,0),0))</f>
        <v/>
      </c>
      <c r="E252" s="60" t="str">
        <f t="shared" ca="1" si="23"/>
        <v/>
      </c>
      <c r="F252" s="60" t="str">
        <f t="shared" ca="1" si="24"/>
        <v/>
      </c>
      <c r="G252" s="60"/>
      <c r="H252" s="95" t="e">
        <f ca="1">VLOOKUP(C252,data!E229:J301,6,0)</f>
        <v>#N/A</v>
      </c>
      <c r="I252" s="210">
        <f t="shared" ca="1" si="25"/>
        <v>0</v>
      </c>
      <c r="K252" s="208"/>
    </row>
    <row r="253" spans="1:11" x14ac:dyDescent="0.25">
      <c r="A253" s="1">
        <f t="shared" si="26"/>
        <v>251</v>
      </c>
      <c r="B253" s="175" t="str">
        <f t="shared" ca="1" si="27"/>
        <v/>
      </c>
      <c r="C253" s="88" t="str">
        <f t="shared" ca="1" si="29"/>
        <v/>
      </c>
      <c r="D253" s="56" t="str">
        <f ca="1">IF(C253="","",IFERROR(VLOOKUP(C253,'[1]BẢNG MÃ RING'!$A$2:$C$322,2,0),0))</f>
        <v/>
      </c>
      <c r="E253" s="60" t="str">
        <f t="shared" ca="1" si="23"/>
        <v/>
      </c>
      <c r="F253" s="60" t="str">
        <f t="shared" ca="1" si="24"/>
        <v/>
      </c>
      <c r="G253" s="60"/>
      <c r="H253" s="95" t="e">
        <f ca="1">VLOOKUP(C253,data!E229:J302,6,0)</f>
        <v>#N/A</v>
      </c>
      <c r="I253" s="210">
        <f t="shared" ca="1" si="25"/>
        <v>0</v>
      </c>
      <c r="K253" s="208"/>
    </row>
    <row r="254" spans="1:11" x14ac:dyDescent="0.25">
      <c r="A254" s="1">
        <f t="shared" si="26"/>
        <v>252</v>
      </c>
      <c r="B254" s="175" t="str">
        <f t="shared" ca="1" si="27"/>
        <v/>
      </c>
      <c r="C254" s="88" t="str">
        <f t="shared" ca="1" si="29"/>
        <v/>
      </c>
      <c r="D254" s="56" t="str">
        <f ca="1">IF(C254="","",IFERROR(VLOOKUP(C254,'[1]BẢNG MÃ RING'!$A$2:$C$322,2,0),0))</f>
        <v/>
      </c>
      <c r="E254" s="60" t="str">
        <f t="shared" ca="1" si="23"/>
        <v/>
      </c>
      <c r="F254" s="60" t="str">
        <f t="shared" ca="1" si="24"/>
        <v/>
      </c>
      <c r="G254" s="60"/>
      <c r="H254" s="95" t="e">
        <f ca="1">VLOOKUP(C254,data!E229:J303,6,0)</f>
        <v>#N/A</v>
      </c>
      <c r="I254" s="210">
        <f t="shared" ca="1" si="25"/>
        <v>0</v>
      </c>
      <c r="K254" s="208"/>
    </row>
    <row r="255" spans="1:11" x14ac:dyDescent="0.25">
      <c r="A255" s="1">
        <f t="shared" si="26"/>
        <v>253</v>
      </c>
      <c r="B255" s="175" t="str">
        <f t="shared" ca="1" si="27"/>
        <v/>
      </c>
      <c r="C255" s="88" t="str">
        <f t="shared" ca="1" si="29"/>
        <v/>
      </c>
      <c r="D255" s="56" t="str">
        <f ca="1">IF(C255="","",IFERROR(VLOOKUP(C255,'[1]BẢNG MÃ RING'!$A$2:$C$322,2,0),0))</f>
        <v/>
      </c>
      <c r="E255" s="60" t="str">
        <f t="shared" ca="1" si="23"/>
        <v/>
      </c>
      <c r="F255" s="60" t="str">
        <f t="shared" ca="1" si="24"/>
        <v/>
      </c>
      <c r="G255" s="60"/>
      <c r="H255" s="95" t="e">
        <f ca="1">VLOOKUP(C255,data!E229:J304,6,0)</f>
        <v>#N/A</v>
      </c>
      <c r="I255" s="210">
        <f t="shared" ca="1" si="25"/>
        <v>0</v>
      </c>
      <c r="K255" s="208"/>
    </row>
    <row r="256" spans="1:11" x14ac:dyDescent="0.25">
      <c r="A256" s="1">
        <f t="shared" si="26"/>
        <v>254</v>
      </c>
      <c r="B256" s="175" t="str">
        <f t="shared" ca="1" si="27"/>
        <v/>
      </c>
      <c r="C256" s="88" t="str">
        <f t="shared" ca="1" si="29"/>
        <v/>
      </c>
      <c r="D256" s="56" t="str">
        <f ca="1">IF(C256="","",IFERROR(VLOOKUP(C256,'[1]BẢNG MÃ RING'!$A$2:$C$322,2,0),0))</f>
        <v/>
      </c>
      <c r="E256" s="60" t="str">
        <f t="shared" ca="1" si="23"/>
        <v/>
      </c>
      <c r="F256" s="60" t="str">
        <f t="shared" ca="1" si="24"/>
        <v/>
      </c>
      <c r="G256" s="60"/>
      <c r="H256" s="95" t="e">
        <f ca="1">VLOOKUP(C256,data!E229:J305,6,0)</f>
        <v>#N/A</v>
      </c>
      <c r="I256" s="210">
        <f t="shared" ca="1" si="25"/>
        <v>0</v>
      </c>
      <c r="K256" s="208"/>
    </row>
    <row r="257" spans="1:11" x14ac:dyDescent="0.25">
      <c r="A257" s="1">
        <f t="shared" si="26"/>
        <v>255</v>
      </c>
      <c r="B257" s="175" t="str">
        <f t="shared" ca="1" si="27"/>
        <v/>
      </c>
      <c r="C257" s="88" t="str">
        <f t="shared" ca="1" si="29"/>
        <v/>
      </c>
      <c r="D257" s="56" t="str">
        <f ca="1">IF(C257="","",IFERROR(VLOOKUP(C257,'[1]BẢNG MÃ RING'!$A$2:$C$322,2,0),0))</f>
        <v/>
      </c>
      <c r="E257" s="60" t="str">
        <f t="shared" ca="1" si="23"/>
        <v/>
      </c>
      <c r="F257" s="60" t="str">
        <f t="shared" ca="1" si="24"/>
        <v/>
      </c>
      <c r="G257" s="60"/>
      <c r="H257" s="95" t="e">
        <f ca="1">VLOOKUP(C257,data!E229:J306,6,0)</f>
        <v>#N/A</v>
      </c>
      <c r="I257" s="210">
        <f t="shared" ca="1" si="25"/>
        <v>0</v>
      </c>
      <c r="K257" s="208"/>
    </row>
    <row r="258" spans="1:11" x14ac:dyDescent="0.25">
      <c r="A258" s="1">
        <f t="shared" si="26"/>
        <v>256</v>
      </c>
      <c r="B258" s="175" t="str">
        <f t="shared" ca="1" si="27"/>
        <v/>
      </c>
      <c r="C258" s="88" t="str">
        <f t="shared" ca="1" si="29"/>
        <v/>
      </c>
      <c r="D258" s="56" t="str">
        <f ca="1">IF(C258="","",IFERROR(VLOOKUP(C258,'[1]BẢNG MÃ RING'!$A$2:$C$322,2,0),0))</f>
        <v/>
      </c>
      <c r="E258" s="60" t="str">
        <f t="shared" ca="1" si="23"/>
        <v/>
      </c>
      <c r="F258" s="60" t="str">
        <f t="shared" ca="1" si="24"/>
        <v/>
      </c>
      <c r="G258" s="60"/>
      <c r="H258" s="95" t="e">
        <f ca="1">VLOOKUP(C258,data!E229:J307,6,0)</f>
        <v>#N/A</v>
      </c>
      <c r="I258" s="210">
        <f t="shared" ca="1" si="25"/>
        <v>0</v>
      </c>
      <c r="K258" s="208"/>
    </row>
    <row r="259" spans="1:11" x14ac:dyDescent="0.25">
      <c r="A259" s="1">
        <f t="shared" si="26"/>
        <v>257</v>
      </c>
      <c r="B259" s="175" t="str">
        <f t="shared" ca="1" si="27"/>
        <v/>
      </c>
      <c r="C259" s="88" t="str">
        <f t="shared" ref="C259:C322" ca="1" si="30">IF(B259="","",VLOOKUP(A259, INDIRECT( $I$1&amp;"!$A$4:$E$2000"),5,0))</f>
        <v/>
      </c>
      <c r="D259" s="56" t="str">
        <f ca="1">IF(C259="","",IFERROR(VLOOKUP(C259,'[1]BẢNG MÃ RING'!$A$2:$C$322,2,0),0))</f>
        <v/>
      </c>
      <c r="E259" s="60" t="str">
        <f t="shared" ref="E259:E322" ca="1" si="31">IF(B259="","",VLOOKUP(A259, INDIRECT( $I$1&amp;"!$A$4:$G$2000"),7,0))</f>
        <v/>
      </c>
      <c r="F259" s="60" t="str">
        <f t="shared" ref="F259:F322" ca="1" si="32">IF(B259="","",VLOOKUP(A259, INDIRECT( $I$1&amp;"!$A$4:$H$2000"),8,0))</f>
        <v/>
      </c>
      <c r="G259" s="60"/>
      <c r="H259" s="95" t="e">
        <f ca="1">VLOOKUP(C259,data!E229:J308,6,0)</f>
        <v>#N/A</v>
      </c>
      <c r="I259" s="210">
        <f t="shared" ref="I259:I322" ca="1" si="33">COUNTIF($D$3:$D$208,D259)</f>
        <v>0</v>
      </c>
      <c r="K259" s="208"/>
    </row>
    <row r="260" spans="1:11" x14ac:dyDescent="0.25">
      <c r="A260" s="1">
        <f t="shared" ref="A260:A323" si="34">IF(A259="",1,A259+1)</f>
        <v>258</v>
      </c>
      <c r="B260" s="175" t="str">
        <f t="shared" ref="B260:B323" ca="1" si="35">IFERROR( VLOOKUP(A260, INDIRECT( $I$1&amp;"!$A$4:$C$2000"),3,0),"")</f>
        <v/>
      </c>
      <c r="C260" s="88" t="str">
        <f t="shared" ca="1" si="30"/>
        <v/>
      </c>
      <c r="D260" s="56" t="str">
        <f ca="1">IF(C260="","",IFERROR(VLOOKUP(C260,'[1]BẢNG MÃ RING'!$A$2:$C$322,2,0),0))</f>
        <v/>
      </c>
      <c r="E260" s="60" t="str">
        <f t="shared" ca="1" si="31"/>
        <v/>
      </c>
      <c r="F260" s="60" t="str">
        <f t="shared" ca="1" si="32"/>
        <v/>
      </c>
      <c r="G260" s="60"/>
      <c r="H260" s="95" t="e">
        <f ca="1">VLOOKUP(C260,data!E229:J309,6,0)</f>
        <v>#N/A</v>
      </c>
      <c r="I260" s="210">
        <f t="shared" ca="1" si="33"/>
        <v>0</v>
      </c>
      <c r="K260" s="208"/>
    </row>
    <row r="261" spans="1:11" x14ac:dyDescent="0.25">
      <c r="A261" s="1">
        <f t="shared" si="34"/>
        <v>259</v>
      </c>
      <c r="B261" s="175" t="str">
        <f t="shared" ca="1" si="35"/>
        <v/>
      </c>
      <c r="C261" s="88" t="str">
        <f t="shared" ca="1" si="30"/>
        <v/>
      </c>
      <c r="D261" s="56" t="str">
        <f ca="1">IF(C261="","",IFERROR(VLOOKUP(C261,'[1]BẢNG MÃ RING'!$A$2:$C$322,2,0),0))</f>
        <v/>
      </c>
      <c r="E261" s="60" t="str">
        <f t="shared" ca="1" si="31"/>
        <v/>
      </c>
      <c r="F261" s="60" t="str">
        <f t="shared" ca="1" si="32"/>
        <v/>
      </c>
      <c r="G261" s="60"/>
      <c r="H261" s="95" t="e">
        <f ca="1">VLOOKUP(C261,data!E229:J310,6,0)</f>
        <v>#N/A</v>
      </c>
      <c r="I261" s="210">
        <f t="shared" ca="1" si="33"/>
        <v>0</v>
      </c>
      <c r="K261" s="208"/>
    </row>
    <row r="262" spans="1:11" x14ac:dyDescent="0.25">
      <c r="A262" s="1">
        <f t="shared" si="34"/>
        <v>260</v>
      </c>
      <c r="B262" s="175" t="str">
        <f t="shared" ca="1" si="35"/>
        <v/>
      </c>
      <c r="C262" s="88" t="str">
        <f t="shared" ca="1" si="30"/>
        <v/>
      </c>
      <c r="D262" s="56" t="str">
        <f ca="1">IF(C262="","",IFERROR(VLOOKUP(C262,'[1]BẢNG MÃ RING'!$A$2:$C$322,2,0),0))</f>
        <v/>
      </c>
      <c r="E262" s="60" t="str">
        <f t="shared" ca="1" si="31"/>
        <v/>
      </c>
      <c r="F262" s="60" t="str">
        <f t="shared" ca="1" si="32"/>
        <v/>
      </c>
      <c r="G262" s="60"/>
      <c r="H262" s="95" t="e">
        <f ca="1">VLOOKUP(C262,data!E229:J311,6,0)</f>
        <v>#N/A</v>
      </c>
      <c r="I262" s="210">
        <f t="shared" ca="1" si="33"/>
        <v>0</v>
      </c>
      <c r="K262" s="208"/>
    </row>
    <row r="263" spans="1:11" x14ac:dyDescent="0.25">
      <c r="A263" s="1">
        <f t="shared" si="34"/>
        <v>261</v>
      </c>
      <c r="B263" s="175" t="str">
        <f t="shared" ca="1" si="35"/>
        <v/>
      </c>
      <c r="C263" s="88" t="str">
        <f t="shared" ca="1" si="30"/>
        <v/>
      </c>
      <c r="D263" s="56" t="str">
        <f ca="1">IF(C263="","",IFERROR(VLOOKUP(C263,'[1]BẢNG MÃ RING'!$A$2:$C$322,2,0),0))</f>
        <v/>
      </c>
      <c r="E263" s="60" t="str">
        <f t="shared" ca="1" si="31"/>
        <v/>
      </c>
      <c r="F263" s="60" t="str">
        <f t="shared" ca="1" si="32"/>
        <v/>
      </c>
      <c r="G263" s="60"/>
      <c r="H263" s="95" t="e">
        <f ca="1">VLOOKUP(C263,data!E229:J312,6,0)</f>
        <v>#N/A</v>
      </c>
      <c r="I263" s="210">
        <f t="shared" ca="1" si="33"/>
        <v>0</v>
      </c>
      <c r="K263" s="208"/>
    </row>
    <row r="264" spans="1:11" x14ac:dyDescent="0.25">
      <c r="A264" s="1">
        <f t="shared" si="34"/>
        <v>262</v>
      </c>
      <c r="B264" s="175" t="str">
        <f t="shared" ca="1" si="35"/>
        <v/>
      </c>
      <c r="C264" s="88" t="str">
        <f t="shared" ca="1" si="30"/>
        <v/>
      </c>
      <c r="D264" s="56" t="str">
        <f ca="1">IF(C264="","",IFERROR(VLOOKUP(C264,'[1]BẢNG MÃ RING'!$A$2:$C$322,2,0),0))</f>
        <v/>
      </c>
      <c r="E264" s="60" t="str">
        <f t="shared" ca="1" si="31"/>
        <v/>
      </c>
      <c r="F264" s="60" t="str">
        <f t="shared" ca="1" si="32"/>
        <v/>
      </c>
      <c r="G264" s="60"/>
      <c r="H264" s="95" t="e">
        <f ca="1">VLOOKUP(C264,data!E229:J313,6,0)</f>
        <v>#N/A</v>
      </c>
      <c r="I264" s="210">
        <f t="shared" ca="1" si="33"/>
        <v>0</v>
      </c>
      <c r="K264" s="208"/>
    </row>
    <row r="265" spans="1:11" x14ac:dyDescent="0.25">
      <c r="A265" s="1">
        <f t="shared" si="34"/>
        <v>263</v>
      </c>
      <c r="B265" s="175" t="str">
        <f t="shared" ca="1" si="35"/>
        <v/>
      </c>
      <c r="C265" s="88" t="str">
        <f t="shared" ca="1" si="30"/>
        <v/>
      </c>
      <c r="D265" s="56" t="str">
        <f ca="1">IF(C265="","",IFERROR(VLOOKUP(C265,'[1]BẢNG MÃ RING'!$A$2:$C$322,2,0),0))</f>
        <v/>
      </c>
      <c r="E265" s="60" t="str">
        <f t="shared" ca="1" si="31"/>
        <v/>
      </c>
      <c r="F265" s="60" t="str">
        <f t="shared" ca="1" si="32"/>
        <v/>
      </c>
      <c r="G265" s="60"/>
      <c r="H265" s="95" t="e">
        <f ca="1">VLOOKUP(C265,data!E229:J314,6,0)</f>
        <v>#N/A</v>
      </c>
      <c r="I265" s="210">
        <f t="shared" ca="1" si="33"/>
        <v>0</v>
      </c>
      <c r="K265" s="208"/>
    </row>
    <row r="266" spans="1:11" x14ac:dyDescent="0.25">
      <c r="A266" s="1">
        <f t="shared" si="34"/>
        <v>264</v>
      </c>
      <c r="B266" s="175" t="str">
        <f t="shared" ca="1" si="35"/>
        <v/>
      </c>
      <c r="C266" s="88" t="str">
        <f t="shared" ca="1" si="30"/>
        <v/>
      </c>
      <c r="D266" s="56" t="str">
        <f ca="1">IF(C266="","",IFERROR(VLOOKUP(C266,'[1]BẢNG MÃ RING'!$A$2:$C$322,2,0),0))</f>
        <v/>
      </c>
      <c r="E266" s="60" t="str">
        <f t="shared" ca="1" si="31"/>
        <v/>
      </c>
      <c r="F266" s="60" t="str">
        <f t="shared" ca="1" si="32"/>
        <v/>
      </c>
      <c r="G266" s="60"/>
      <c r="H266" s="95" t="e">
        <f ca="1">VLOOKUP(C266,data!E229:J315,6,0)</f>
        <v>#N/A</v>
      </c>
      <c r="I266" s="210">
        <f t="shared" ca="1" si="33"/>
        <v>0</v>
      </c>
      <c r="K266" s="208"/>
    </row>
    <row r="267" spans="1:11" x14ac:dyDescent="0.25">
      <c r="A267" s="1">
        <f t="shared" si="34"/>
        <v>265</v>
      </c>
      <c r="B267" s="175" t="str">
        <f t="shared" ca="1" si="35"/>
        <v/>
      </c>
      <c r="C267" s="88" t="str">
        <f t="shared" ca="1" si="30"/>
        <v/>
      </c>
      <c r="D267" s="56" t="str">
        <f ca="1">IF(C267="","",IFERROR(VLOOKUP(C267,'[1]BẢNG MÃ RING'!$A$2:$C$322,2,0),0))</f>
        <v/>
      </c>
      <c r="E267" s="60" t="str">
        <f t="shared" ca="1" si="31"/>
        <v/>
      </c>
      <c r="F267" s="60" t="str">
        <f t="shared" ca="1" si="32"/>
        <v/>
      </c>
      <c r="G267" s="60"/>
      <c r="H267" s="95" t="e">
        <f ca="1">VLOOKUP(C267,data!E229:J316,6,0)</f>
        <v>#N/A</v>
      </c>
      <c r="I267" s="210">
        <f t="shared" ca="1" si="33"/>
        <v>0</v>
      </c>
      <c r="K267" s="208"/>
    </row>
    <row r="268" spans="1:11" x14ac:dyDescent="0.25">
      <c r="A268" s="1">
        <f t="shared" si="34"/>
        <v>266</v>
      </c>
      <c r="B268" s="175" t="str">
        <f t="shared" ca="1" si="35"/>
        <v/>
      </c>
      <c r="C268" s="88" t="str">
        <f t="shared" ca="1" si="30"/>
        <v/>
      </c>
      <c r="D268" s="56" t="str">
        <f ca="1">IF(C268="","",IFERROR(VLOOKUP(C268,'[1]BẢNG MÃ RING'!$A$2:$C$322,2,0),0))</f>
        <v/>
      </c>
      <c r="E268" s="60" t="str">
        <f t="shared" ca="1" si="31"/>
        <v/>
      </c>
      <c r="F268" s="60" t="str">
        <f t="shared" ca="1" si="32"/>
        <v/>
      </c>
      <c r="G268" s="60"/>
      <c r="H268" s="95" t="e">
        <f ca="1">VLOOKUP(C268,data!E229:J317,6,0)</f>
        <v>#N/A</v>
      </c>
      <c r="I268" s="210">
        <f t="shared" ca="1" si="33"/>
        <v>0</v>
      </c>
      <c r="K268" s="208"/>
    </row>
    <row r="269" spans="1:11" x14ac:dyDescent="0.25">
      <c r="A269" s="1">
        <f t="shared" si="34"/>
        <v>267</v>
      </c>
      <c r="B269" s="175" t="str">
        <f t="shared" ca="1" si="35"/>
        <v/>
      </c>
      <c r="C269" s="88" t="str">
        <f t="shared" ca="1" si="30"/>
        <v/>
      </c>
      <c r="D269" s="56" t="str">
        <f ca="1">IF(C269="","",IFERROR(VLOOKUP(C269,'[1]BẢNG MÃ RING'!$A$2:$C$322,2,0),0))</f>
        <v/>
      </c>
      <c r="E269" s="60" t="str">
        <f t="shared" ca="1" si="31"/>
        <v/>
      </c>
      <c r="F269" s="60" t="str">
        <f t="shared" ca="1" si="32"/>
        <v/>
      </c>
      <c r="G269" s="60"/>
      <c r="H269" s="95" t="e">
        <f ca="1">VLOOKUP(C269,data!E229:J318,6,0)</f>
        <v>#N/A</v>
      </c>
      <c r="I269" s="210">
        <f t="shared" ca="1" si="33"/>
        <v>0</v>
      </c>
      <c r="K269" s="208"/>
    </row>
    <row r="270" spans="1:11" x14ac:dyDescent="0.25">
      <c r="A270" s="1">
        <f t="shared" si="34"/>
        <v>268</v>
      </c>
      <c r="B270" s="175" t="str">
        <f t="shared" ca="1" si="35"/>
        <v/>
      </c>
      <c r="C270" s="88" t="str">
        <f t="shared" ca="1" si="30"/>
        <v/>
      </c>
      <c r="D270" s="56" t="str">
        <f ca="1">IF(C270="","",IFERROR(VLOOKUP(C270,'[1]BẢNG MÃ RING'!$A$2:$C$322,2,0),0))</f>
        <v/>
      </c>
      <c r="E270" s="60" t="str">
        <f t="shared" ca="1" si="31"/>
        <v/>
      </c>
      <c r="F270" s="60" t="str">
        <f t="shared" ca="1" si="32"/>
        <v/>
      </c>
      <c r="G270" s="60"/>
      <c r="H270" s="95" t="e">
        <f ca="1">VLOOKUP(C270,data!E229:J319,6,0)</f>
        <v>#N/A</v>
      </c>
      <c r="I270" s="210">
        <f t="shared" ca="1" si="33"/>
        <v>0</v>
      </c>
      <c r="K270" s="208"/>
    </row>
    <row r="271" spans="1:11" x14ac:dyDescent="0.25">
      <c r="A271" s="1">
        <f t="shared" si="34"/>
        <v>269</v>
      </c>
      <c r="B271" s="175" t="str">
        <f t="shared" ca="1" si="35"/>
        <v/>
      </c>
      <c r="C271" s="88" t="str">
        <f t="shared" ca="1" si="30"/>
        <v/>
      </c>
      <c r="D271" s="56" t="str">
        <f ca="1">IF(C271="","",IFERROR(VLOOKUP(C271,'[1]BẢNG MÃ RING'!$A$2:$C$322,2,0),0))</f>
        <v/>
      </c>
      <c r="E271" s="60" t="str">
        <f t="shared" ca="1" si="31"/>
        <v/>
      </c>
      <c r="F271" s="60" t="str">
        <f t="shared" ca="1" si="32"/>
        <v/>
      </c>
      <c r="G271" s="60"/>
      <c r="H271" s="95" t="e">
        <f ca="1">VLOOKUP(C271,data!E229:J320,6,0)</f>
        <v>#N/A</v>
      </c>
      <c r="I271" s="210">
        <f t="shared" ca="1" si="33"/>
        <v>0</v>
      </c>
      <c r="K271" s="208"/>
    </row>
    <row r="272" spans="1:11" x14ac:dyDescent="0.25">
      <c r="A272" s="1">
        <f t="shared" si="34"/>
        <v>270</v>
      </c>
      <c r="B272" s="175" t="str">
        <f t="shared" ca="1" si="35"/>
        <v/>
      </c>
      <c r="C272" s="88" t="str">
        <f t="shared" ca="1" si="30"/>
        <v/>
      </c>
      <c r="D272" s="56" t="str">
        <f ca="1">IF(C272="","",IFERROR(VLOOKUP(C272,'[1]BẢNG MÃ RING'!$A$2:$C$322,2,0),0))</f>
        <v/>
      </c>
      <c r="E272" s="60" t="str">
        <f t="shared" ca="1" si="31"/>
        <v/>
      </c>
      <c r="F272" s="60" t="str">
        <f t="shared" ca="1" si="32"/>
        <v/>
      </c>
      <c r="G272" s="60"/>
      <c r="H272" s="95" t="e">
        <f ca="1">VLOOKUP(C272,data!E229:J321,6,0)</f>
        <v>#N/A</v>
      </c>
      <c r="I272" s="210">
        <f t="shared" ca="1" si="33"/>
        <v>0</v>
      </c>
      <c r="K272" s="208"/>
    </row>
    <row r="273" spans="1:11" x14ac:dyDescent="0.25">
      <c r="A273" s="1">
        <f t="shared" si="34"/>
        <v>271</v>
      </c>
      <c r="B273" s="175" t="str">
        <f t="shared" ca="1" si="35"/>
        <v/>
      </c>
      <c r="C273" s="88" t="str">
        <f t="shared" ca="1" si="30"/>
        <v/>
      </c>
      <c r="D273" s="56" t="str">
        <f ca="1">IF(C273="","",IFERROR(VLOOKUP(C273,'[1]BẢNG MÃ RING'!$A$2:$C$322,2,0),0))</f>
        <v/>
      </c>
      <c r="E273" s="60" t="str">
        <f t="shared" ca="1" si="31"/>
        <v/>
      </c>
      <c r="F273" s="60" t="str">
        <f t="shared" ca="1" si="32"/>
        <v/>
      </c>
      <c r="G273" s="60"/>
      <c r="H273" s="95" t="e">
        <f ca="1">VLOOKUP(C273,data!E229:J322,6,0)</f>
        <v>#N/A</v>
      </c>
      <c r="I273" s="210">
        <f t="shared" ca="1" si="33"/>
        <v>0</v>
      </c>
      <c r="K273" s="208"/>
    </row>
    <row r="274" spans="1:11" x14ac:dyDescent="0.25">
      <c r="A274" s="1">
        <f t="shared" si="34"/>
        <v>272</v>
      </c>
      <c r="B274" s="175" t="str">
        <f ca="1">IFERROR( VLOOKUP(A274, INDIRECT( $I$1&amp;"!$A$4:$C$2000"),3,0),"")</f>
        <v/>
      </c>
      <c r="C274" s="88" t="str">
        <f t="shared" ca="1" si="30"/>
        <v/>
      </c>
      <c r="D274" s="56" t="str">
        <f ca="1">IF(C274="","",IFERROR(VLOOKUP(C274,'[1]BẢNG MÃ RING'!$A$2:$C$322,2,0),0))</f>
        <v/>
      </c>
      <c r="E274" s="60" t="str">
        <f t="shared" ca="1" si="31"/>
        <v/>
      </c>
      <c r="F274" s="60" t="str">
        <f t="shared" ca="1" si="32"/>
        <v/>
      </c>
      <c r="G274" s="60"/>
      <c r="H274" s="95" t="e">
        <f ca="1">VLOOKUP(C274,data!E229:J323,6,0)</f>
        <v>#N/A</v>
      </c>
      <c r="I274" s="210">
        <f t="shared" ca="1" si="33"/>
        <v>0</v>
      </c>
      <c r="K274" s="208"/>
    </row>
    <row r="275" spans="1:11" x14ac:dyDescent="0.25">
      <c r="A275" s="1">
        <f t="shared" si="34"/>
        <v>273</v>
      </c>
      <c r="B275" s="175" t="str">
        <f t="shared" ca="1" si="35"/>
        <v/>
      </c>
      <c r="C275" s="88" t="str">
        <f t="shared" ca="1" si="30"/>
        <v/>
      </c>
      <c r="D275" s="56" t="str">
        <f ca="1">IF(C275="","",IFERROR(VLOOKUP(C275,'[1]BẢNG MÃ RING'!$A$2:$C$322,2,0),0))</f>
        <v/>
      </c>
      <c r="E275" s="60" t="str">
        <f t="shared" ca="1" si="31"/>
        <v/>
      </c>
      <c r="F275" s="60" t="str">
        <f t="shared" ca="1" si="32"/>
        <v/>
      </c>
      <c r="G275" s="60"/>
      <c r="H275" s="95" t="e">
        <f ca="1">VLOOKUP(C275,data!E229:J324,6,0)</f>
        <v>#N/A</v>
      </c>
      <c r="I275" s="210">
        <f t="shared" ca="1" si="33"/>
        <v>0</v>
      </c>
      <c r="K275" s="208"/>
    </row>
    <row r="276" spans="1:11" x14ac:dyDescent="0.25">
      <c r="A276" s="1">
        <f t="shared" si="34"/>
        <v>274</v>
      </c>
      <c r="B276" s="175" t="str">
        <f t="shared" ca="1" si="35"/>
        <v/>
      </c>
      <c r="C276" s="88" t="str">
        <f t="shared" ca="1" si="30"/>
        <v/>
      </c>
      <c r="D276" s="56" t="str">
        <f ca="1">IF(C276="","",IFERROR(VLOOKUP(C276,'[1]BẢNG MÃ RING'!$A$2:$C$322,2,0),0))</f>
        <v/>
      </c>
      <c r="E276" s="60" t="str">
        <f t="shared" ca="1" si="31"/>
        <v/>
      </c>
      <c r="F276" s="60" t="str">
        <f t="shared" ca="1" si="32"/>
        <v/>
      </c>
      <c r="G276" s="60"/>
      <c r="H276" s="95" t="e">
        <f ca="1">VLOOKUP(C276,data!E229:J325,6,0)</f>
        <v>#N/A</v>
      </c>
      <c r="I276" s="210">
        <f t="shared" ca="1" si="33"/>
        <v>0</v>
      </c>
      <c r="K276" s="208"/>
    </row>
    <row r="277" spans="1:11" x14ac:dyDescent="0.25">
      <c r="A277" s="1">
        <f t="shared" si="34"/>
        <v>275</v>
      </c>
      <c r="B277" s="175" t="str">
        <f t="shared" ca="1" si="35"/>
        <v/>
      </c>
      <c r="C277" s="88" t="str">
        <f t="shared" ca="1" si="30"/>
        <v/>
      </c>
      <c r="D277" s="56" t="str">
        <f ca="1">IF(C277="","",IFERROR(VLOOKUP(C277,'[1]BẢNG MÃ RING'!$A$2:$C$322,2,0),0))</f>
        <v/>
      </c>
      <c r="E277" s="60" t="str">
        <f t="shared" ca="1" si="31"/>
        <v/>
      </c>
      <c r="F277" s="60" t="str">
        <f t="shared" ca="1" si="32"/>
        <v/>
      </c>
      <c r="G277" s="60"/>
      <c r="H277" s="95" t="e">
        <f ca="1">VLOOKUP(C277,data!E229:J326,6,0)</f>
        <v>#N/A</v>
      </c>
      <c r="I277" s="210">
        <f t="shared" ca="1" si="33"/>
        <v>0</v>
      </c>
      <c r="K277" s="208"/>
    </row>
    <row r="278" spans="1:11" x14ac:dyDescent="0.25">
      <c r="A278" s="1">
        <f t="shared" si="34"/>
        <v>276</v>
      </c>
      <c r="B278" s="175" t="str">
        <f t="shared" ca="1" si="35"/>
        <v/>
      </c>
      <c r="C278" s="88" t="str">
        <f t="shared" ca="1" si="30"/>
        <v/>
      </c>
      <c r="D278" s="56" t="str">
        <f ca="1">IF(C278="","",IFERROR(VLOOKUP(C278,'[1]BẢNG MÃ RING'!$A$2:$C$322,2,0),0))</f>
        <v/>
      </c>
      <c r="E278" s="60" t="str">
        <f t="shared" ca="1" si="31"/>
        <v/>
      </c>
      <c r="F278" s="60" t="str">
        <f t="shared" ca="1" si="32"/>
        <v/>
      </c>
      <c r="G278" s="60"/>
      <c r="H278" s="95" t="e">
        <f ca="1">VLOOKUP(C278,data!E229:J327,6,0)</f>
        <v>#N/A</v>
      </c>
      <c r="I278" s="210">
        <f t="shared" ca="1" si="33"/>
        <v>0</v>
      </c>
      <c r="K278" s="208"/>
    </row>
    <row r="279" spans="1:11" x14ac:dyDescent="0.25">
      <c r="A279" s="1">
        <f t="shared" si="34"/>
        <v>277</v>
      </c>
      <c r="B279" s="175" t="str">
        <f t="shared" ca="1" si="35"/>
        <v/>
      </c>
      <c r="C279" s="88" t="str">
        <f t="shared" ca="1" si="30"/>
        <v/>
      </c>
      <c r="D279" s="56" t="str">
        <f ca="1">IF(C279="","",IFERROR(VLOOKUP(C279,'[1]BẢNG MÃ RING'!$A$2:$C$322,2,0),0))</f>
        <v/>
      </c>
      <c r="E279" s="60" t="str">
        <f t="shared" ca="1" si="31"/>
        <v/>
      </c>
      <c r="F279" s="60" t="str">
        <f t="shared" ca="1" si="32"/>
        <v/>
      </c>
      <c r="G279" s="60"/>
      <c r="H279" s="95" t="e">
        <f ca="1">VLOOKUP(C279,data!E229:J328,6,0)</f>
        <v>#N/A</v>
      </c>
      <c r="I279" s="210">
        <f t="shared" ca="1" si="33"/>
        <v>0</v>
      </c>
      <c r="K279" s="208"/>
    </row>
    <row r="280" spans="1:11" x14ac:dyDescent="0.25">
      <c r="A280" s="1">
        <f t="shared" si="34"/>
        <v>278</v>
      </c>
      <c r="B280" s="175" t="str">
        <f t="shared" ca="1" si="35"/>
        <v/>
      </c>
      <c r="C280" s="88" t="str">
        <f t="shared" ca="1" si="30"/>
        <v/>
      </c>
      <c r="D280" s="56" t="str">
        <f ca="1">IF(C280="","",IFERROR(VLOOKUP(C280,'[1]BẢNG MÃ RING'!$A$2:$C$322,2,0),0))</f>
        <v/>
      </c>
      <c r="E280" s="60" t="str">
        <f t="shared" ca="1" si="31"/>
        <v/>
      </c>
      <c r="F280" s="60" t="str">
        <f t="shared" ca="1" si="32"/>
        <v/>
      </c>
      <c r="G280" s="60"/>
      <c r="H280" s="95" t="e">
        <f ca="1">VLOOKUP(C280,data!E229:J329,6,0)</f>
        <v>#N/A</v>
      </c>
      <c r="I280" s="210">
        <f t="shared" ca="1" si="33"/>
        <v>0</v>
      </c>
      <c r="K280" s="208"/>
    </row>
    <row r="281" spans="1:11" x14ac:dyDescent="0.25">
      <c r="A281" s="1">
        <f t="shared" si="34"/>
        <v>279</v>
      </c>
      <c r="B281" s="175" t="str">
        <f t="shared" ca="1" si="35"/>
        <v/>
      </c>
      <c r="C281" s="88" t="str">
        <f t="shared" ca="1" si="30"/>
        <v/>
      </c>
      <c r="D281" s="56" t="str">
        <f ca="1">IF(C281="","",IFERROR(VLOOKUP(C281,'[1]BẢNG MÃ RING'!$A$2:$C$322,2,0),0))</f>
        <v/>
      </c>
      <c r="E281" s="60" t="str">
        <f t="shared" ca="1" si="31"/>
        <v/>
      </c>
      <c r="F281" s="60" t="str">
        <f t="shared" ca="1" si="32"/>
        <v/>
      </c>
      <c r="G281" s="60"/>
      <c r="H281" s="95" t="e">
        <f ca="1">VLOOKUP(C281,data!E229:J330,6,0)</f>
        <v>#N/A</v>
      </c>
      <c r="I281" s="210">
        <f t="shared" ca="1" si="33"/>
        <v>0</v>
      </c>
      <c r="K281" s="208"/>
    </row>
    <row r="282" spans="1:11" x14ac:dyDescent="0.25">
      <c r="A282" s="1">
        <f t="shared" si="34"/>
        <v>280</v>
      </c>
      <c r="B282" s="175" t="str">
        <f t="shared" ca="1" si="35"/>
        <v/>
      </c>
      <c r="C282" s="88" t="str">
        <f t="shared" ca="1" si="30"/>
        <v/>
      </c>
      <c r="D282" s="56" t="str">
        <f ca="1">IF(C282="","",IFERROR(VLOOKUP(C282,'[1]BẢNG MÃ RING'!$A$2:$C$322,2,0),0))</f>
        <v/>
      </c>
      <c r="E282" s="60" t="str">
        <f t="shared" ca="1" si="31"/>
        <v/>
      </c>
      <c r="F282" s="60" t="str">
        <f t="shared" ca="1" si="32"/>
        <v/>
      </c>
      <c r="G282" s="60"/>
      <c r="H282" s="95"/>
      <c r="I282" s="210">
        <f t="shared" ca="1" si="33"/>
        <v>0</v>
      </c>
    </row>
    <row r="283" spans="1:11" x14ac:dyDescent="0.25">
      <c r="A283" s="1">
        <f t="shared" si="34"/>
        <v>281</v>
      </c>
      <c r="B283" s="175" t="str">
        <f t="shared" ca="1" si="35"/>
        <v/>
      </c>
      <c r="C283" s="88" t="str">
        <f t="shared" ca="1" si="30"/>
        <v/>
      </c>
      <c r="D283" s="56" t="str">
        <f ca="1">IF(C283="","",IFERROR(VLOOKUP(C283,'[1]BẢNG MÃ RING'!$A$2:$C$322,2,0),0))</f>
        <v/>
      </c>
      <c r="E283" s="60" t="str">
        <f t="shared" ca="1" si="31"/>
        <v/>
      </c>
      <c r="F283" s="60" t="str">
        <f t="shared" ca="1" si="32"/>
        <v/>
      </c>
      <c r="G283" s="60"/>
      <c r="H283" s="95"/>
      <c r="I283" s="210">
        <f t="shared" ca="1" si="33"/>
        <v>0</v>
      </c>
    </row>
    <row r="284" spans="1:11" x14ac:dyDescent="0.25">
      <c r="A284" s="1">
        <f t="shared" si="34"/>
        <v>282</v>
      </c>
      <c r="B284" s="175" t="str">
        <f t="shared" ca="1" si="35"/>
        <v/>
      </c>
      <c r="C284" s="88" t="str">
        <f t="shared" ca="1" si="30"/>
        <v/>
      </c>
      <c r="D284" s="56" t="str">
        <f ca="1">IF(C284="","",IFERROR(VLOOKUP(C284,'[1]BẢNG MÃ RING'!$A$2:$C$322,2,0),0))</f>
        <v/>
      </c>
      <c r="E284" s="60" t="str">
        <f t="shared" ca="1" si="31"/>
        <v/>
      </c>
      <c r="F284" s="60" t="str">
        <f t="shared" ca="1" si="32"/>
        <v/>
      </c>
      <c r="G284" s="60"/>
      <c r="H284" s="95"/>
      <c r="I284" s="210">
        <f t="shared" ca="1" si="33"/>
        <v>0</v>
      </c>
    </row>
    <row r="285" spans="1:11" x14ac:dyDescent="0.25">
      <c r="A285" s="1">
        <f t="shared" si="34"/>
        <v>283</v>
      </c>
      <c r="B285" s="175" t="str">
        <f t="shared" ca="1" si="35"/>
        <v/>
      </c>
      <c r="C285" s="88" t="str">
        <f t="shared" ca="1" si="30"/>
        <v/>
      </c>
      <c r="D285" s="56" t="str">
        <f ca="1">IF(C285="","",IFERROR(VLOOKUP(C285,'[1]BẢNG MÃ RING'!$A$2:$C$322,2,0),0))</f>
        <v/>
      </c>
      <c r="E285" s="60" t="str">
        <f t="shared" ca="1" si="31"/>
        <v/>
      </c>
      <c r="F285" s="60" t="str">
        <f t="shared" ca="1" si="32"/>
        <v/>
      </c>
      <c r="G285" s="60"/>
      <c r="H285" s="95"/>
      <c r="I285" s="210">
        <f t="shared" ca="1" si="33"/>
        <v>0</v>
      </c>
    </row>
    <row r="286" spans="1:11" x14ac:dyDescent="0.25">
      <c r="A286" s="1">
        <f t="shared" si="34"/>
        <v>284</v>
      </c>
      <c r="B286" s="175" t="str">
        <f t="shared" ca="1" si="35"/>
        <v/>
      </c>
      <c r="C286" s="88" t="str">
        <f t="shared" ca="1" si="30"/>
        <v/>
      </c>
      <c r="D286" s="56" t="str">
        <f ca="1">IF(C286="","",IFERROR(VLOOKUP(C286,'[1]BẢNG MÃ RING'!$A$2:$C$322,2,0),0))</f>
        <v/>
      </c>
      <c r="E286" s="60" t="str">
        <f t="shared" ca="1" si="31"/>
        <v/>
      </c>
      <c r="F286" s="60" t="str">
        <f t="shared" ca="1" si="32"/>
        <v/>
      </c>
      <c r="G286" s="60"/>
      <c r="H286" s="95"/>
      <c r="I286" s="210">
        <f t="shared" ca="1" si="33"/>
        <v>0</v>
      </c>
    </row>
    <row r="287" spans="1:11" x14ac:dyDescent="0.25">
      <c r="A287" s="1">
        <f t="shared" si="34"/>
        <v>285</v>
      </c>
      <c r="B287" s="175" t="str">
        <f t="shared" ca="1" si="35"/>
        <v/>
      </c>
      <c r="C287" s="88" t="str">
        <f t="shared" ca="1" si="30"/>
        <v/>
      </c>
      <c r="D287" s="56" t="str">
        <f ca="1">IF(C287="","",IFERROR(VLOOKUP(C287,'[1]BẢNG MÃ RING'!$A$2:$C$322,2,0),0))</f>
        <v/>
      </c>
      <c r="E287" s="60" t="str">
        <f t="shared" ca="1" si="31"/>
        <v/>
      </c>
      <c r="F287" s="60" t="str">
        <f t="shared" ca="1" si="32"/>
        <v/>
      </c>
      <c r="G287" s="60"/>
      <c r="H287" s="95"/>
      <c r="I287" s="210">
        <f t="shared" ca="1" si="33"/>
        <v>0</v>
      </c>
    </row>
    <row r="288" spans="1:11" x14ac:dyDescent="0.25">
      <c r="A288" s="1">
        <f t="shared" si="34"/>
        <v>286</v>
      </c>
      <c r="B288" s="175" t="str">
        <f t="shared" ca="1" si="35"/>
        <v/>
      </c>
      <c r="C288" s="88" t="str">
        <f t="shared" ca="1" si="30"/>
        <v/>
      </c>
      <c r="D288" s="56" t="str">
        <f ca="1">IF(C288="","",IFERROR(VLOOKUP(C288,'[1]BẢNG MÃ RING'!$A$2:$C$322,2,0),0))</f>
        <v/>
      </c>
      <c r="E288" s="60" t="str">
        <f t="shared" ca="1" si="31"/>
        <v/>
      </c>
      <c r="F288" s="60" t="str">
        <f t="shared" ca="1" si="32"/>
        <v/>
      </c>
      <c r="G288" s="60"/>
      <c r="H288" s="95"/>
      <c r="I288" s="210">
        <f t="shared" ca="1" si="33"/>
        <v>0</v>
      </c>
    </row>
    <row r="289" spans="1:9" x14ac:dyDescent="0.25">
      <c r="A289" s="1">
        <f t="shared" si="34"/>
        <v>287</v>
      </c>
      <c r="B289" s="175" t="str">
        <f t="shared" ca="1" si="35"/>
        <v/>
      </c>
      <c r="C289" s="88" t="str">
        <f t="shared" ca="1" si="30"/>
        <v/>
      </c>
      <c r="D289" s="56" t="str">
        <f ca="1">IF(C289="","",IFERROR(VLOOKUP(C289,'[1]BẢNG MÃ RING'!$A$2:$C$322,2,0),0))</f>
        <v/>
      </c>
      <c r="E289" s="60" t="str">
        <f t="shared" ca="1" si="31"/>
        <v/>
      </c>
      <c r="F289" s="60" t="str">
        <f t="shared" ca="1" si="32"/>
        <v/>
      </c>
      <c r="G289" s="60"/>
      <c r="H289" s="95"/>
      <c r="I289" s="210">
        <f t="shared" ca="1" si="33"/>
        <v>0</v>
      </c>
    </row>
    <row r="290" spans="1:9" x14ac:dyDescent="0.25">
      <c r="A290" s="1">
        <f t="shared" si="34"/>
        <v>288</v>
      </c>
      <c r="B290" s="175" t="str">
        <f t="shared" ca="1" si="35"/>
        <v/>
      </c>
      <c r="C290" s="88" t="str">
        <f t="shared" ca="1" si="30"/>
        <v/>
      </c>
      <c r="D290" s="56" t="str">
        <f ca="1">IF(C290="","",IFERROR(VLOOKUP(C290,'[1]BẢNG MÃ RING'!$A$2:$C$322,2,0),0))</f>
        <v/>
      </c>
      <c r="E290" s="60" t="str">
        <f t="shared" ca="1" si="31"/>
        <v/>
      </c>
      <c r="F290" s="60" t="str">
        <f t="shared" ca="1" si="32"/>
        <v/>
      </c>
      <c r="G290" s="60"/>
      <c r="H290" s="95"/>
      <c r="I290" s="210">
        <f t="shared" ca="1" si="33"/>
        <v>0</v>
      </c>
    </row>
    <row r="291" spans="1:9" x14ac:dyDescent="0.25">
      <c r="A291" s="1">
        <f t="shared" si="34"/>
        <v>289</v>
      </c>
      <c r="B291" s="175" t="str">
        <f t="shared" ca="1" si="35"/>
        <v/>
      </c>
      <c r="C291" s="88" t="str">
        <f t="shared" ca="1" si="30"/>
        <v/>
      </c>
      <c r="D291" s="56" t="str">
        <f ca="1">IF(C291="","",IFERROR(VLOOKUP(C291,'[1]BẢNG MÃ RING'!$A$2:$C$322,2,0),0))</f>
        <v/>
      </c>
      <c r="E291" s="60" t="str">
        <f t="shared" ca="1" si="31"/>
        <v/>
      </c>
      <c r="F291" s="60" t="str">
        <f t="shared" ca="1" si="32"/>
        <v/>
      </c>
      <c r="G291" s="60"/>
      <c r="H291" s="95"/>
      <c r="I291" s="210">
        <f t="shared" ca="1" si="33"/>
        <v>0</v>
      </c>
    </row>
    <row r="292" spans="1:9" x14ac:dyDescent="0.25">
      <c r="A292" s="1">
        <f t="shared" si="34"/>
        <v>290</v>
      </c>
      <c r="B292" s="175" t="str">
        <f t="shared" ca="1" si="35"/>
        <v/>
      </c>
      <c r="C292" s="88" t="str">
        <f t="shared" ca="1" si="30"/>
        <v/>
      </c>
      <c r="D292" s="56" t="str">
        <f ca="1">IF(C292="","",IFERROR(VLOOKUP(C292,'[1]BẢNG MÃ RING'!$A$2:$C$322,2,0),0))</f>
        <v/>
      </c>
      <c r="E292" s="60" t="str">
        <f t="shared" ca="1" si="31"/>
        <v/>
      </c>
      <c r="F292" s="60" t="str">
        <f t="shared" ca="1" si="32"/>
        <v/>
      </c>
      <c r="G292" s="60"/>
      <c r="H292" s="95"/>
      <c r="I292" s="210">
        <f t="shared" ca="1" si="33"/>
        <v>0</v>
      </c>
    </row>
    <row r="293" spans="1:9" x14ac:dyDescent="0.25">
      <c r="A293" s="1">
        <f t="shared" si="34"/>
        <v>291</v>
      </c>
      <c r="B293" s="175" t="str">
        <f t="shared" ca="1" si="35"/>
        <v/>
      </c>
      <c r="C293" s="88" t="str">
        <f t="shared" ca="1" si="30"/>
        <v/>
      </c>
      <c r="D293" s="56" t="str">
        <f ca="1">IF(C293="","",IFERROR(VLOOKUP(C293,'[1]BẢNG MÃ RING'!$A$2:$C$322,2,0),0))</f>
        <v/>
      </c>
      <c r="E293" s="60" t="str">
        <f t="shared" ca="1" si="31"/>
        <v/>
      </c>
      <c r="F293" s="60" t="str">
        <f t="shared" ca="1" si="32"/>
        <v/>
      </c>
      <c r="G293" s="60"/>
      <c r="H293" s="95"/>
      <c r="I293" s="210">
        <f t="shared" ca="1" si="33"/>
        <v>0</v>
      </c>
    </row>
    <row r="294" spans="1:9" x14ac:dyDescent="0.25">
      <c r="A294" s="1">
        <f t="shared" si="34"/>
        <v>292</v>
      </c>
      <c r="B294" s="175" t="str">
        <f t="shared" ca="1" si="35"/>
        <v/>
      </c>
      <c r="C294" s="88" t="str">
        <f t="shared" ca="1" si="30"/>
        <v/>
      </c>
      <c r="D294" s="56" t="str">
        <f ca="1">IF(C294="","",IFERROR(VLOOKUP(C294,'[1]BẢNG MÃ RING'!$A$2:$C$322,2,0),0))</f>
        <v/>
      </c>
      <c r="E294" s="60" t="str">
        <f t="shared" ca="1" si="31"/>
        <v/>
      </c>
      <c r="F294" s="60" t="str">
        <f t="shared" ca="1" si="32"/>
        <v/>
      </c>
      <c r="G294" s="60"/>
      <c r="H294" s="95"/>
      <c r="I294" s="210">
        <f t="shared" ca="1" si="33"/>
        <v>0</v>
      </c>
    </row>
    <row r="295" spans="1:9" x14ac:dyDescent="0.25">
      <c r="A295" s="1">
        <f t="shared" si="34"/>
        <v>293</v>
      </c>
      <c r="B295" s="175" t="str">
        <f t="shared" ca="1" si="35"/>
        <v/>
      </c>
      <c r="C295" s="88" t="str">
        <f t="shared" ca="1" si="30"/>
        <v/>
      </c>
      <c r="D295" s="56" t="str">
        <f ca="1">IF(C295="","",IFERROR(VLOOKUP(C295,'[1]BẢNG MÃ RING'!$A$2:$C$322,2,0),0))</f>
        <v/>
      </c>
      <c r="E295" s="60" t="str">
        <f t="shared" ca="1" si="31"/>
        <v/>
      </c>
      <c r="F295" s="60" t="str">
        <f t="shared" ca="1" si="32"/>
        <v/>
      </c>
      <c r="G295" s="60"/>
      <c r="H295" s="95"/>
      <c r="I295" s="210">
        <f t="shared" ca="1" si="33"/>
        <v>0</v>
      </c>
    </row>
    <row r="296" spans="1:9" x14ac:dyDescent="0.25">
      <c r="A296" s="1">
        <f t="shared" si="34"/>
        <v>294</v>
      </c>
      <c r="B296" s="175" t="str">
        <f t="shared" ca="1" si="35"/>
        <v/>
      </c>
      <c r="C296" s="88" t="str">
        <f t="shared" ca="1" si="30"/>
        <v/>
      </c>
      <c r="D296" s="56" t="str">
        <f ca="1">IF(C296="","",IFERROR(VLOOKUP(C296,'[1]BẢNG MÃ RING'!$A$2:$C$322,2,0),0))</f>
        <v/>
      </c>
      <c r="E296" s="60" t="str">
        <f t="shared" ca="1" si="31"/>
        <v/>
      </c>
      <c r="F296" s="60" t="str">
        <f t="shared" ca="1" si="32"/>
        <v/>
      </c>
      <c r="G296" s="60"/>
      <c r="H296" s="95"/>
      <c r="I296" s="210">
        <f t="shared" ca="1" si="33"/>
        <v>0</v>
      </c>
    </row>
    <row r="297" spans="1:9" x14ac:dyDescent="0.25">
      <c r="A297" s="1">
        <f t="shared" si="34"/>
        <v>295</v>
      </c>
      <c r="B297" s="175" t="str">
        <f t="shared" ca="1" si="35"/>
        <v/>
      </c>
      <c r="C297" s="88" t="str">
        <f t="shared" ca="1" si="30"/>
        <v/>
      </c>
      <c r="D297" s="56" t="str">
        <f ca="1">IF(C297="","",IFERROR(VLOOKUP(C297,'[1]BẢNG MÃ RING'!$A$2:$C$322,2,0),0))</f>
        <v/>
      </c>
      <c r="E297" s="60" t="str">
        <f t="shared" ca="1" si="31"/>
        <v/>
      </c>
      <c r="F297" s="60" t="str">
        <f t="shared" ca="1" si="32"/>
        <v/>
      </c>
      <c r="G297" s="60"/>
      <c r="H297" s="95"/>
      <c r="I297" s="210">
        <f t="shared" ca="1" si="33"/>
        <v>0</v>
      </c>
    </row>
    <row r="298" spans="1:9" x14ac:dyDescent="0.25">
      <c r="A298" s="1">
        <f t="shared" si="34"/>
        <v>296</v>
      </c>
      <c r="B298" s="175" t="str">
        <f t="shared" ca="1" si="35"/>
        <v/>
      </c>
      <c r="C298" s="88" t="str">
        <f t="shared" ca="1" si="30"/>
        <v/>
      </c>
      <c r="D298" s="56" t="str">
        <f ca="1">IF(C298="","",IFERROR(VLOOKUP(C298,'[1]BẢNG MÃ RING'!$A$2:$C$322,2,0),0))</f>
        <v/>
      </c>
      <c r="E298" s="60" t="str">
        <f t="shared" ca="1" si="31"/>
        <v/>
      </c>
      <c r="F298" s="60" t="str">
        <f t="shared" ca="1" si="32"/>
        <v/>
      </c>
      <c r="G298" s="60"/>
      <c r="H298" s="95"/>
      <c r="I298" s="210">
        <f t="shared" ca="1" si="33"/>
        <v>0</v>
      </c>
    </row>
    <row r="299" spans="1:9" x14ac:dyDescent="0.25">
      <c r="A299" s="1">
        <f t="shared" si="34"/>
        <v>297</v>
      </c>
      <c r="B299" s="175" t="str">
        <f t="shared" ca="1" si="35"/>
        <v/>
      </c>
      <c r="C299" s="88" t="str">
        <f t="shared" ca="1" si="30"/>
        <v/>
      </c>
      <c r="D299" s="56" t="str">
        <f ca="1">IF(C299="","",IFERROR(VLOOKUP(C299,'[1]BẢNG MÃ RING'!$A$2:$C$322,2,0),0))</f>
        <v/>
      </c>
      <c r="E299" s="60" t="str">
        <f t="shared" ca="1" si="31"/>
        <v/>
      </c>
      <c r="F299" s="60" t="str">
        <f t="shared" ca="1" si="32"/>
        <v/>
      </c>
      <c r="G299" s="60"/>
      <c r="H299" s="95"/>
      <c r="I299" s="210">
        <f t="shared" ca="1" si="33"/>
        <v>0</v>
      </c>
    </row>
    <row r="300" spans="1:9" x14ac:dyDescent="0.25">
      <c r="A300" s="1">
        <f t="shared" si="34"/>
        <v>298</v>
      </c>
      <c r="B300" s="175" t="str">
        <f t="shared" ca="1" si="35"/>
        <v/>
      </c>
      <c r="C300" s="88" t="str">
        <f t="shared" ca="1" si="30"/>
        <v/>
      </c>
      <c r="D300" s="56" t="str">
        <f ca="1">IF(C300="","",IFERROR(VLOOKUP(C300,'[1]BẢNG MÃ RING'!$A$2:$C$322,2,0),0))</f>
        <v/>
      </c>
      <c r="E300" s="60" t="str">
        <f t="shared" ca="1" si="31"/>
        <v/>
      </c>
      <c r="F300" s="60" t="str">
        <f t="shared" ca="1" si="32"/>
        <v/>
      </c>
      <c r="G300" s="60"/>
      <c r="H300" s="95"/>
      <c r="I300" s="210">
        <f t="shared" ca="1" si="33"/>
        <v>0</v>
      </c>
    </row>
    <row r="301" spans="1:9" x14ac:dyDescent="0.25">
      <c r="A301" s="1">
        <f t="shared" si="34"/>
        <v>299</v>
      </c>
      <c r="B301" s="175" t="str">
        <f t="shared" ca="1" si="35"/>
        <v/>
      </c>
      <c r="C301" s="88" t="str">
        <f t="shared" ca="1" si="30"/>
        <v/>
      </c>
      <c r="D301" s="56" t="str">
        <f ca="1">IF(C301="","",IFERROR(VLOOKUP(C301,'[1]BẢNG MÃ RING'!$A$2:$C$322,2,0),0))</f>
        <v/>
      </c>
      <c r="E301" s="60" t="str">
        <f t="shared" ca="1" si="31"/>
        <v/>
      </c>
      <c r="F301" s="60" t="str">
        <f t="shared" ca="1" si="32"/>
        <v/>
      </c>
      <c r="G301" s="60"/>
      <c r="H301" s="95"/>
      <c r="I301" s="210">
        <f t="shared" ca="1" si="33"/>
        <v>0</v>
      </c>
    </row>
    <row r="302" spans="1:9" x14ac:dyDescent="0.25">
      <c r="A302" s="1">
        <f t="shared" si="34"/>
        <v>300</v>
      </c>
      <c r="B302" s="175" t="str">
        <f t="shared" ca="1" si="35"/>
        <v/>
      </c>
      <c r="C302" s="88" t="str">
        <f t="shared" ca="1" si="30"/>
        <v/>
      </c>
      <c r="D302" s="56" t="str">
        <f ca="1">IF(C302="","",IFERROR(VLOOKUP(C302,'[1]BẢNG MÃ RING'!$A$2:$C$322,2,0),0))</f>
        <v/>
      </c>
      <c r="E302" s="60" t="str">
        <f t="shared" ca="1" si="31"/>
        <v/>
      </c>
      <c r="F302" s="60" t="str">
        <f t="shared" ca="1" si="32"/>
        <v/>
      </c>
      <c r="G302" s="60"/>
      <c r="H302" s="95"/>
      <c r="I302" s="210">
        <f t="shared" ca="1" si="33"/>
        <v>0</v>
      </c>
    </row>
    <row r="303" spans="1:9" x14ac:dyDescent="0.25">
      <c r="A303" s="1">
        <f t="shared" si="34"/>
        <v>301</v>
      </c>
      <c r="B303" s="175" t="str">
        <f t="shared" ca="1" si="35"/>
        <v/>
      </c>
      <c r="C303" s="88" t="str">
        <f t="shared" ca="1" si="30"/>
        <v/>
      </c>
      <c r="D303" s="56" t="str">
        <f ca="1">IF(C303="","",IFERROR(VLOOKUP(C303,'[1]BẢNG MÃ RING'!$A$2:$C$322,2,0),0))</f>
        <v/>
      </c>
      <c r="E303" s="60" t="str">
        <f t="shared" ca="1" si="31"/>
        <v/>
      </c>
      <c r="F303" s="60" t="str">
        <f t="shared" ca="1" si="32"/>
        <v/>
      </c>
      <c r="G303" s="60"/>
      <c r="H303" s="95"/>
      <c r="I303" s="210">
        <f t="shared" ca="1" si="33"/>
        <v>0</v>
      </c>
    </row>
    <row r="304" spans="1:9" x14ac:dyDescent="0.25">
      <c r="A304" s="1">
        <f t="shared" si="34"/>
        <v>302</v>
      </c>
      <c r="B304" s="175" t="str">
        <f t="shared" ca="1" si="35"/>
        <v/>
      </c>
      <c r="C304" s="88" t="str">
        <f t="shared" ca="1" si="30"/>
        <v/>
      </c>
      <c r="D304" s="56" t="str">
        <f ca="1">IF(C304="","",IFERROR(VLOOKUP(C304,'[1]BẢNG MÃ RING'!$A$2:$C$322,2,0),0))</f>
        <v/>
      </c>
      <c r="E304" s="60" t="str">
        <f t="shared" ca="1" si="31"/>
        <v/>
      </c>
      <c r="F304" s="60" t="str">
        <f t="shared" ca="1" si="32"/>
        <v/>
      </c>
      <c r="G304" s="60"/>
      <c r="H304" s="95"/>
      <c r="I304" s="210">
        <f t="shared" ca="1" si="33"/>
        <v>0</v>
      </c>
    </row>
    <row r="305" spans="1:9" x14ac:dyDescent="0.25">
      <c r="A305" s="1">
        <f t="shared" si="34"/>
        <v>303</v>
      </c>
      <c r="B305" s="175" t="str">
        <f t="shared" ca="1" si="35"/>
        <v/>
      </c>
      <c r="C305" s="88" t="str">
        <f t="shared" ca="1" si="30"/>
        <v/>
      </c>
      <c r="D305" s="56" t="str">
        <f ca="1">IF(C305="","",IFERROR(VLOOKUP(C305,'[1]BẢNG MÃ RING'!$A$2:$C$322,2,0),0))</f>
        <v/>
      </c>
      <c r="E305" s="60" t="str">
        <f t="shared" ca="1" si="31"/>
        <v/>
      </c>
      <c r="F305" s="60" t="str">
        <f t="shared" ca="1" si="32"/>
        <v/>
      </c>
      <c r="G305" s="60"/>
      <c r="H305" s="95"/>
      <c r="I305" s="210">
        <f t="shared" ca="1" si="33"/>
        <v>0</v>
      </c>
    </row>
    <row r="306" spans="1:9" x14ac:dyDescent="0.25">
      <c r="A306" s="1">
        <f t="shared" si="34"/>
        <v>304</v>
      </c>
      <c r="B306" s="175" t="str">
        <f t="shared" ca="1" si="35"/>
        <v/>
      </c>
      <c r="C306" s="88" t="str">
        <f t="shared" ca="1" si="30"/>
        <v/>
      </c>
      <c r="D306" s="56" t="str">
        <f ca="1">IF(C306="","",IFERROR(VLOOKUP(C306,'[1]BẢNG MÃ RING'!$A$2:$C$322,2,0),0))</f>
        <v/>
      </c>
      <c r="E306" s="60" t="str">
        <f t="shared" ca="1" si="31"/>
        <v/>
      </c>
      <c r="F306" s="60" t="str">
        <f t="shared" ca="1" si="32"/>
        <v/>
      </c>
      <c r="G306" s="60"/>
      <c r="H306" s="95"/>
      <c r="I306" s="210">
        <f t="shared" ca="1" si="33"/>
        <v>0</v>
      </c>
    </row>
    <row r="307" spans="1:9" x14ac:dyDescent="0.25">
      <c r="A307" s="1">
        <f t="shared" si="34"/>
        <v>305</v>
      </c>
      <c r="B307" s="175" t="str">
        <f t="shared" ca="1" si="35"/>
        <v/>
      </c>
      <c r="C307" s="88" t="str">
        <f t="shared" ca="1" si="30"/>
        <v/>
      </c>
      <c r="D307" s="56" t="str">
        <f ca="1">IF(C307="","",IFERROR(VLOOKUP(C307,'[1]BẢNG MÃ RING'!$A$2:$C$322,2,0),0))</f>
        <v/>
      </c>
      <c r="E307" s="60" t="str">
        <f t="shared" ca="1" si="31"/>
        <v/>
      </c>
      <c r="F307" s="60" t="str">
        <f t="shared" ca="1" si="32"/>
        <v/>
      </c>
      <c r="G307" s="60"/>
      <c r="H307" s="95"/>
      <c r="I307" s="210">
        <f t="shared" ca="1" si="33"/>
        <v>0</v>
      </c>
    </row>
    <row r="308" spans="1:9" x14ac:dyDescent="0.25">
      <c r="A308" s="1">
        <f t="shared" si="34"/>
        <v>306</v>
      </c>
      <c r="B308" s="175" t="str">
        <f t="shared" ca="1" si="35"/>
        <v/>
      </c>
      <c r="C308" s="88" t="str">
        <f t="shared" ca="1" si="30"/>
        <v/>
      </c>
      <c r="D308" s="56" t="str">
        <f ca="1">IF(C308="","",IFERROR(VLOOKUP(C308,'[1]BẢNG MÃ RING'!$A$2:$C$322,2,0),0))</f>
        <v/>
      </c>
      <c r="E308" s="60" t="str">
        <f t="shared" ca="1" si="31"/>
        <v/>
      </c>
      <c r="F308" s="60" t="str">
        <f t="shared" ca="1" si="32"/>
        <v/>
      </c>
      <c r="G308" s="60"/>
      <c r="H308" s="95"/>
      <c r="I308" s="210">
        <f t="shared" ca="1" si="33"/>
        <v>0</v>
      </c>
    </row>
    <row r="309" spans="1:9" x14ac:dyDescent="0.25">
      <c r="A309" s="1">
        <f t="shared" si="34"/>
        <v>307</v>
      </c>
      <c r="B309" s="175" t="str">
        <f t="shared" ca="1" si="35"/>
        <v/>
      </c>
      <c r="C309" s="88" t="str">
        <f t="shared" ca="1" si="30"/>
        <v/>
      </c>
      <c r="D309" s="56" t="str">
        <f ca="1">IF(C309="","",IFERROR(VLOOKUP(C309,'[1]BẢNG MÃ RING'!$A$2:$C$322,2,0),0))</f>
        <v/>
      </c>
      <c r="E309" s="60" t="str">
        <f t="shared" ca="1" si="31"/>
        <v/>
      </c>
      <c r="F309" s="60" t="str">
        <f t="shared" ca="1" si="32"/>
        <v/>
      </c>
      <c r="G309" s="60"/>
      <c r="H309" s="95"/>
      <c r="I309" s="210">
        <f t="shared" ca="1" si="33"/>
        <v>0</v>
      </c>
    </row>
    <row r="310" spans="1:9" x14ac:dyDescent="0.25">
      <c r="A310" s="1">
        <f t="shared" si="34"/>
        <v>308</v>
      </c>
      <c r="B310" s="175" t="str">
        <f t="shared" ca="1" si="35"/>
        <v/>
      </c>
      <c r="C310" s="88" t="str">
        <f t="shared" ca="1" si="30"/>
        <v/>
      </c>
      <c r="D310" s="56" t="str">
        <f ca="1">IF(C310="","",IFERROR(VLOOKUP(C310,'[1]BẢNG MÃ RING'!$A$2:$C$322,2,0),0))</f>
        <v/>
      </c>
      <c r="E310" s="60" t="str">
        <f t="shared" ca="1" si="31"/>
        <v/>
      </c>
      <c r="F310" s="60" t="str">
        <f t="shared" ca="1" si="32"/>
        <v/>
      </c>
      <c r="G310" s="60"/>
      <c r="H310" s="95"/>
      <c r="I310" s="210">
        <f t="shared" ca="1" si="33"/>
        <v>0</v>
      </c>
    </row>
    <row r="311" spans="1:9" x14ac:dyDescent="0.25">
      <c r="A311" s="1">
        <f t="shared" si="34"/>
        <v>309</v>
      </c>
      <c r="B311" s="175" t="str">
        <f t="shared" ca="1" si="35"/>
        <v/>
      </c>
      <c r="C311" s="88" t="str">
        <f t="shared" ca="1" si="30"/>
        <v/>
      </c>
      <c r="D311" s="56" t="str">
        <f ca="1">IF(C311="","",IFERROR(VLOOKUP(C311,'[1]BẢNG MÃ RING'!$A$2:$C$322,2,0),0))</f>
        <v/>
      </c>
      <c r="E311" s="60" t="str">
        <f t="shared" ca="1" si="31"/>
        <v/>
      </c>
      <c r="F311" s="60" t="str">
        <f t="shared" ca="1" si="32"/>
        <v/>
      </c>
      <c r="G311" s="60"/>
      <c r="H311" s="95"/>
      <c r="I311" s="210">
        <f t="shared" ca="1" si="33"/>
        <v>0</v>
      </c>
    </row>
    <row r="312" spans="1:9" x14ac:dyDescent="0.25">
      <c r="A312" s="1">
        <f t="shared" si="34"/>
        <v>310</v>
      </c>
      <c r="B312" s="175" t="str">
        <f t="shared" ca="1" si="35"/>
        <v/>
      </c>
      <c r="C312" s="88" t="str">
        <f t="shared" ca="1" si="30"/>
        <v/>
      </c>
      <c r="D312" s="56" t="str">
        <f ca="1">IF(C312="","",IFERROR(VLOOKUP(C312,'[1]BẢNG MÃ RING'!$A$2:$C$322,2,0),0))</f>
        <v/>
      </c>
      <c r="E312" s="60" t="str">
        <f t="shared" ca="1" si="31"/>
        <v/>
      </c>
      <c r="F312" s="60" t="str">
        <f t="shared" ca="1" si="32"/>
        <v/>
      </c>
      <c r="G312" s="60"/>
      <c r="H312" s="95"/>
      <c r="I312" s="210">
        <f t="shared" ca="1" si="33"/>
        <v>0</v>
      </c>
    </row>
    <row r="313" spans="1:9" x14ac:dyDescent="0.25">
      <c r="A313" s="1">
        <f t="shared" si="34"/>
        <v>311</v>
      </c>
      <c r="B313" s="175" t="str">
        <f t="shared" ca="1" si="35"/>
        <v/>
      </c>
      <c r="C313" s="88" t="str">
        <f t="shared" ca="1" si="30"/>
        <v/>
      </c>
      <c r="D313" s="56" t="str">
        <f ca="1">IF(C313="","",IFERROR(VLOOKUP(C313,'[1]BẢNG MÃ RING'!$A$2:$C$322,2,0),0))</f>
        <v/>
      </c>
      <c r="E313" s="60" t="str">
        <f t="shared" ca="1" si="31"/>
        <v/>
      </c>
      <c r="F313" s="60" t="str">
        <f t="shared" ca="1" si="32"/>
        <v/>
      </c>
      <c r="G313" s="60"/>
      <c r="H313" s="95"/>
      <c r="I313" s="210">
        <f t="shared" ca="1" si="33"/>
        <v>0</v>
      </c>
    </row>
    <row r="314" spans="1:9" x14ac:dyDescent="0.25">
      <c r="A314" s="1">
        <f t="shared" si="34"/>
        <v>312</v>
      </c>
      <c r="B314" s="175" t="str">
        <f t="shared" ca="1" si="35"/>
        <v/>
      </c>
      <c r="C314" s="88" t="str">
        <f t="shared" ca="1" si="30"/>
        <v/>
      </c>
      <c r="D314" s="56" t="str">
        <f ca="1">IF(C314="","",IFERROR(VLOOKUP(C314,'[1]BẢNG MÃ RING'!$A$2:$C$322,2,0),0))</f>
        <v/>
      </c>
      <c r="E314" s="60" t="str">
        <f t="shared" ca="1" si="31"/>
        <v/>
      </c>
      <c r="F314" s="60" t="str">
        <f t="shared" ca="1" si="32"/>
        <v/>
      </c>
      <c r="G314" s="60"/>
      <c r="H314" s="95"/>
      <c r="I314" s="210">
        <f t="shared" ca="1" si="33"/>
        <v>0</v>
      </c>
    </row>
    <row r="315" spans="1:9" x14ac:dyDescent="0.25">
      <c r="A315" s="1">
        <f t="shared" si="34"/>
        <v>313</v>
      </c>
      <c r="B315" s="175" t="str">
        <f t="shared" ca="1" si="35"/>
        <v/>
      </c>
      <c r="C315" s="88" t="str">
        <f t="shared" ca="1" si="30"/>
        <v/>
      </c>
      <c r="D315" s="56" t="str">
        <f ca="1">IF(C315="","",IFERROR(VLOOKUP(C315,'[1]BẢNG MÃ RING'!$A$2:$C$322,2,0),0))</f>
        <v/>
      </c>
      <c r="E315" s="60" t="str">
        <f t="shared" ca="1" si="31"/>
        <v/>
      </c>
      <c r="F315" s="60" t="str">
        <f t="shared" ca="1" si="32"/>
        <v/>
      </c>
      <c r="G315" s="60"/>
      <c r="H315" s="95"/>
      <c r="I315" s="210">
        <f t="shared" ca="1" si="33"/>
        <v>0</v>
      </c>
    </row>
    <row r="316" spans="1:9" x14ac:dyDescent="0.25">
      <c r="A316" s="1">
        <f t="shared" si="34"/>
        <v>314</v>
      </c>
      <c r="B316" s="175" t="str">
        <f t="shared" ca="1" si="35"/>
        <v/>
      </c>
      <c r="C316" s="88" t="str">
        <f t="shared" ca="1" si="30"/>
        <v/>
      </c>
      <c r="D316" s="56" t="str">
        <f ca="1">IF(C316="","",IFERROR(VLOOKUP(C316,'[1]BẢNG MÃ RING'!$A$2:$C$322,2,0),0))</f>
        <v/>
      </c>
      <c r="E316" s="60" t="str">
        <f t="shared" ca="1" si="31"/>
        <v/>
      </c>
      <c r="F316" s="60" t="str">
        <f t="shared" ca="1" si="32"/>
        <v/>
      </c>
      <c r="G316" s="60"/>
      <c r="H316" s="95"/>
      <c r="I316" s="210">
        <f t="shared" ca="1" si="33"/>
        <v>0</v>
      </c>
    </row>
    <row r="317" spans="1:9" x14ac:dyDescent="0.25">
      <c r="A317" s="1">
        <f t="shared" si="34"/>
        <v>315</v>
      </c>
      <c r="B317" s="175" t="str">
        <f t="shared" ca="1" si="35"/>
        <v/>
      </c>
      <c r="C317" s="88" t="str">
        <f t="shared" ca="1" si="30"/>
        <v/>
      </c>
      <c r="D317" s="56" t="str">
        <f ca="1">IF(C317="","",IFERROR(VLOOKUP(C317,'[1]BẢNG MÃ RING'!$A$2:$C$322,2,0),0))</f>
        <v/>
      </c>
      <c r="E317" s="60" t="str">
        <f t="shared" ca="1" si="31"/>
        <v/>
      </c>
      <c r="F317" s="60" t="str">
        <f t="shared" ca="1" si="32"/>
        <v/>
      </c>
      <c r="G317" s="60"/>
      <c r="H317" s="95"/>
      <c r="I317" s="210">
        <f t="shared" ca="1" si="33"/>
        <v>0</v>
      </c>
    </row>
    <row r="318" spans="1:9" x14ac:dyDescent="0.25">
      <c r="A318" s="1">
        <f t="shared" si="34"/>
        <v>316</v>
      </c>
      <c r="B318" s="175" t="str">
        <f t="shared" ca="1" si="35"/>
        <v/>
      </c>
      <c r="C318" s="88" t="str">
        <f t="shared" ca="1" si="30"/>
        <v/>
      </c>
      <c r="D318" s="56" t="str">
        <f ca="1">IF(C318="","",IFERROR(VLOOKUP(C318,'[1]BẢNG MÃ RING'!$A$2:$C$322,2,0),0))</f>
        <v/>
      </c>
      <c r="E318" s="60" t="str">
        <f t="shared" ca="1" si="31"/>
        <v/>
      </c>
      <c r="F318" s="60" t="str">
        <f t="shared" ca="1" si="32"/>
        <v/>
      </c>
      <c r="G318" s="60"/>
      <c r="H318" s="95"/>
      <c r="I318" s="210">
        <f t="shared" ca="1" si="33"/>
        <v>0</v>
      </c>
    </row>
    <row r="319" spans="1:9" x14ac:dyDescent="0.25">
      <c r="A319" s="1">
        <f t="shared" si="34"/>
        <v>317</v>
      </c>
      <c r="B319" s="175" t="str">
        <f t="shared" ca="1" si="35"/>
        <v/>
      </c>
      <c r="C319" s="88" t="str">
        <f t="shared" ca="1" si="30"/>
        <v/>
      </c>
      <c r="D319" s="56" t="str">
        <f ca="1">IF(C319="","",IFERROR(VLOOKUP(C319,'[1]BẢNG MÃ RING'!$A$2:$C$322,2,0),0))</f>
        <v/>
      </c>
      <c r="E319" s="60" t="str">
        <f t="shared" ca="1" si="31"/>
        <v/>
      </c>
      <c r="F319" s="60" t="str">
        <f t="shared" ca="1" si="32"/>
        <v/>
      </c>
      <c r="G319" s="60"/>
      <c r="H319" s="95"/>
      <c r="I319" s="210">
        <f t="shared" ca="1" si="33"/>
        <v>0</v>
      </c>
    </row>
    <row r="320" spans="1:9" x14ac:dyDescent="0.25">
      <c r="A320" s="1">
        <f t="shared" si="34"/>
        <v>318</v>
      </c>
      <c r="B320" s="175" t="str">
        <f t="shared" ca="1" si="35"/>
        <v/>
      </c>
      <c r="C320" s="88" t="str">
        <f t="shared" ca="1" si="30"/>
        <v/>
      </c>
      <c r="D320" s="56" t="str">
        <f ca="1">IF(C320="","",IFERROR(VLOOKUP(C320,'[1]BẢNG MÃ RING'!$A$2:$C$322,2,0),0))</f>
        <v/>
      </c>
      <c r="E320" s="60" t="str">
        <f t="shared" ca="1" si="31"/>
        <v/>
      </c>
      <c r="F320" s="60" t="str">
        <f t="shared" ca="1" si="32"/>
        <v/>
      </c>
      <c r="G320" s="60"/>
      <c r="H320" s="95"/>
      <c r="I320" s="210">
        <f t="shared" ca="1" si="33"/>
        <v>0</v>
      </c>
    </row>
    <row r="321" spans="1:9" x14ac:dyDescent="0.25">
      <c r="A321" s="1">
        <f t="shared" si="34"/>
        <v>319</v>
      </c>
      <c r="B321" s="175" t="str">
        <f t="shared" ca="1" si="35"/>
        <v/>
      </c>
      <c r="C321" s="88" t="str">
        <f t="shared" ca="1" si="30"/>
        <v/>
      </c>
      <c r="D321" s="56" t="str">
        <f ca="1">IF(C321="","",IFERROR(VLOOKUP(C321,'[1]BẢNG MÃ RING'!$A$2:$C$322,2,0),0))</f>
        <v/>
      </c>
      <c r="E321" s="60" t="str">
        <f t="shared" ca="1" si="31"/>
        <v/>
      </c>
      <c r="F321" s="60" t="str">
        <f t="shared" ca="1" si="32"/>
        <v/>
      </c>
      <c r="G321" s="60"/>
      <c r="H321" s="95"/>
      <c r="I321" s="210">
        <f t="shared" ca="1" si="33"/>
        <v>0</v>
      </c>
    </row>
    <row r="322" spans="1:9" x14ac:dyDescent="0.25">
      <c r="A322" s="1">
        <f t="shared" si="34"/>
        <v>320</v>
      </c>
      <c r="B322" s="175" t="str">
        <f t="shared" ca="1" si="35"/>
        <v/>
      </c>
      <c r="C322" s="88" t="str">
        <f t="shared" ca="1" si="30"/>
        <v/>
      </c>
      <c r="D322" s="56" t="str">
        <f ca="1">IF(C322="","",IFERROR(VLOOKUP(C322,'[1]BẢNG MÃ RING'!$A$2:$C$322,2,0),0))</f>
        <v/>
      </c>
      <c r="E322" s="60" t="str">
        <f t="shared" ca="1" si="31"/>
        <v/>
      </c>
      <c r="F322" s="60" t="str">
        <f t="shared" ca="1" si="32"/>
        <v/>
      </c>
      <c r="G322" s="60"/>
      <c r="H322" s="95"/>
      <c r="I322" s="210">
        <f t="shared" ca="1" si="33"/>
        <v>0</v>
      </c>
    </row>
    <row r="323" spans="1:9" x14ac:dyDescent="0.25">
      <c r="A323" s="1">
        <f t="shared" si="34"/>
        <v>321</v>
      </c>
      <c r="B323" s="175" t="str">
        <f t="shared" ca="1" si="35"/>
        <v/>
      </c>
      <c r="C323" s="88" t="str">
        <f t="shared" ref="C323:C356" ca="1" si="36">IF(B323="","",VLOOKUP(A323, INDIRECT( $I$1&amp;"!$A$4:$E$2000"),5,0))</f>
        <v/>
      </c>
      <c r="D323" s="56" t="str">
        <f ca="1">IF(C323="","",IFERROR(VLOOKUP(C323,'[1]BẢNG MÃ RING'!$A$2:$C$322,2,0),0))</f>
        <v/>
      </c>
      <c r="E323" s="60" t="str">
        <f t="shared" ref="E323:E356" ca="1" si="37">IF(B323="","",VLOOKUP(A323, INDIRECT( $I$1&amp;"!$A$4:$G$2000"),7,0))</f>
        <v/>
      </c>
      <c r="F323" s="60" t="str">
        <f t="shared" ref="F323:F356" ca="1" si="38">IF(B323="","",VLOOKUP(A323, INDIRECT( $I$1&amp;"!$A$4:$H$2000"),8,0))</f>
        <v/>
      </c>
      <c r="G323" s="60"/>
      <c r="H323" s="95"/>
      <c r="I323" s="210">
        <f t="shared" ref="I323:I356" ca="1" si="39">COUNTIF($D$3:$D$208,D323)</f>
        <v>0</v>
      </c>
    </row>
    <row r="324" spans="1:9" x14ac:dyDescent="0.25">
      <c r="A324" s="1">
        <f t="shared" ref="A324:A356" si="40">IF(A323="",1,A323+1)</f>
        <v>322</v>
      </c>
      <c r="B324" s="175" t="str">
        <f t="shared" ref="B324:B356" ca="1" si="41">IFERROR( VLOOKUP(A324, INDIRECT( $I$1&amp;"!$A$4:$C$2000"),3,0),"")</f>
        <v/>
      </c>
      <c r="C324" s="88" t="str">
        <f t="shared" ca="1" si="36"/>
        <v/>
      </c>
      <c r="D324" s="56" t="str">
        <f ca="1">IF(C324="","",IFERROR(VLOOKUP(C324,'[1]BẢNG MÃ RING'!$A$2:$C$322,2,0),0))</f>
        <v/>
      </c>
      <c r="E324" s="60" t="str">
        <f t="shared" ca="1" si="37"/>
        <v/>
      </c>
      <c r="F324" s="60" t="str">
        <f t="shared" ca="1" si="38"/>
        <v/>
      </c>
      <c r="G324" s="60"/>
      <c r="H324" s="95"/>
      <c r="I324" s="210">
        <f t="shared" ca="1" si="39"/>
        <v>0</v>
      </c>
    </row>
    <row r="325" spans="1:9" x14ac:dyDescent="0.25">
      <c r="A325" s="1">
        <f t="shared" si="40"/>
        <v>323</v>
      </c>
      <c r="B325" s="175" t="str">
        <f t="shared" ca="1" si="41"/>
        <v/>
      </c>
      <c r="C325" s="88" t="str">
        <f t="shared" ca="1" si="36"/>
        <v/>
      </c>
      <c r="D325" s="56" t="str">
        <f ca="1">IF(C325="","",IFERROR(VLOOKUP(C325,'[1]BẢNG MÃ RING'!$A$2:$C$322,2,0),0))</f>
        <v/>
      </c>
      <c r="E325" s="60" t="str">
        <f t="shared" ca="1" si="37"/>
        <v/>
      </c>
      <c r="F325" s="60" t="str">
        <f t="shared" ca="1" si="38"/>
        <v/>
      </c>
      <c r="G325" s="60"/>
      <c r="H325" s="95"/>
      <c r="I325" s="210">
        <f t="shared" ca="1" si="39"/>
        <v>0</v>
      </c>
    </row>
    <row r="326" spans="1:9" x14ac:dyDescent="0.25">
      <c r="A326" s="1">
        <f t="shared" si="40"/>
        <v>324</v>
      </c>
      <c r="B326" s="175" t="str">
        <f t="shared" ca="1" si="41"/>
        <v/>
      </c>
      <c r="C326" s="88" t="str">
        <f t="shared" ca="1" si="36"/>
        <v/>
      </c>
      <c r="D326" s="56" t="str">
        <f ca="1">IF(C326="","",IFERROR(VLOOKUP(C326,'[1]BẢNG MÃ RING'!$A$2:$C$322,2,0),0))</f>
        <v/>
      </c>
      <c r="E326" s="60" t="str">
        <f t="shared" ca="1" si="37"/>
        <v/>
      </c>
      <c r="F326" s="60" t="str">
        <f t="shared" ca="1" si="38"/>
        <v/>
      </c>
      <c r="G326" s="60"/>
      <c r="H326" s="95"/>
      <c r="I326" s="210">
        <f t="shared" ca="1" si="39"/>
        <v>0</v>
      </c>
    </row>
    <row r="327" spans="1:9" x14ac:dyDescent="0.25">
      <c r="A327" s="1">
        <f t="shared" si="40"/>
        <v>325</v>
      </c>
      <c r="B327" s="175" t="str">
        <f t="shared" ca="1" si="41"/>
        <v/>
      </c>
      <c r="C327" s="88" t="str">
        <f t="shared" ca="1" si="36"/>
        <v/>
      </c>
      <c r="D327" s="56" t="str">
        <f ca="1">IF(C327="","",IFERROR(VLOOKUP(C327,'[1]BẢNG MÃ RING'!$A$2:$C$322,2,0),0))</f>
        <v/>
      </c>
      <c r="E327" s="60" t="str">
        <f t="shared" ca="1" si="37"/>
        <v/>
      </c>
      <c r="F327" s="60" t="str">
        <f t="shared" ca="1" si="38"/>
        <v/>
      </c>
      <c r="G327" s="60"/>
      <c r="H327" s="95"/>
      <c r="I327" s="210">
        <f t="shared" ca="1" si="39"/>
        <v>0</v>
      </c>
    </row>
    <row r="328" spans="1:9" x14ac:dyDescent="0.25">
      <c r="A328" s="1">
        <f t="shared" si="40"/>
        <v>326</v>
      </c>
      <c r="B328" s="175" t="str">
        <f t="shared" ca="1" si="41"/>
        <v/>
      </c>
      <c r="C328" s="88" t="str">
        <f t="shared" ca="1" si="36"/>
        <v/>
      </c>
      <c r="D328" s="56" t="str">
        <f ca="1">IF(C328="","",IFERROR(VLOOKUP(C328,'[1]BẢNG MÃ RING'!$A$2:$C$322,2,0),0))</f>
        <v/>
      </c>
      <c r="E328" s="60" t="str">
        <f t="shared" ca="1" si="37"/>
        <v/>
      </c>
      <c r="F328" s="60" t="str">
        <f t="shared" ca="1" si="38"/>
        <v/>
      </c>
      <c r="G328" s="60"/>
      <c r="H328" s="95"/>
      <c r="I328" s="210">
        <f t="shared" ca="1" si="39"/>
        <v>0</v>
      </c>
    </row>
    <row r="329" spans="1:9" x14ac:dyDescent="0.25">
      <c r="A329" s="1">
        <f t="shared" si="40"/>
        <v>327</v>
      </c>
      <c r="B329" s="175" t="str">
        <f t="shared" ca="1" si="41"/>
        <v/>
      </c>
      <c r="C329" s="88" t="str">
        <f t="shared" ca="1" si="36"/>
        <v/>
      </c>
      <c r="D329" s="56" t="str">
        <f ca="1">IF(C329="","",IFERROR(VLOOKUP(C329,'[1]BẢNG MÃ RING'!$A$2:$C$322,2,0),0))</f>
        <v/>
      </c>
      <c r="E329" s="60" t="str">
        <f t="shared" ca="1" si="37"/>
        <v/>
      </c>
      <c r="F329" s="60" t="str">
        <f t="shared" ca="1" si="38"/>
        <v/>
      </c>
      <c r="G329" s="60"/>
      <c r="H329" s="95"/>
      <c r="I329" s="210">
        <f t="shared" ca="1" si="39"/>
        <v>0</v>
      </c>
    </row>
    <row r="330" spans="1:9" x14ac:dyDescent="0.25">
      <c r="A330" s="1">
        <f t="shared" si="40"/>
        <v>328</v>
      </c>
      <c r="B330" s="175" t="str">
        <f t="shared" ca="1" si="41"/>
        <v/>
      </c>
      <c r="C330" s="88" t="str">
        <f t="shared" ca="1" si="36"/>
        <v/>
      </c>
      <c r="D330" s="56" t="str">
        <f ca="1">IF(C330="","",IFERROR(VLOOKUP(C330,'[1]BẢNG MÃ RING'!$A$2:$C$322,2,0),0))</f>
        <v/>
      </c>
      <c r="E330" s="60" t="str">
        <f t="shared" ca="1" si="37"/>
        <v/>
      </c>
      <c r="F330" s="60" t="str">
        <f t="shared" ca="1" si="38"/>
        <v/>
      </c>
      <c r="G330" s="60"/>
      <c r="H330" s="95"/>
      <c r="I330" s="210">
        <f t="shared" ca="1" si="39"/>
        <v>0</v>
      </c>
    </row>
    <row r="331" spans="1:9" x14ac:dyDescent="0.25">
      <c r="A331" s="1">
        <f t="shared" si="40"/>
        <v>329</v>
      </c>
      <c r="B331" s="175" t="str">
        <f t="shared" ca="1" si="41"/>
        <v/>
      </c>
      <c r="C331" s="88" t="str">
        <f t="shared" ca="1" si="36"/>
        <v/>
      </c>
      <c r="D331" s="56" t="str">
        <f ca="1">IF(C331="","",IFERROR(VLOOKUP(C331,'[1]BẢNG MÃ RING'!$A$2:$C$322,2,0),0))</f>
        <v/>
      </c>
      <c r="E331" s="60" t="str">
        <f t="shared" ca="1" si="37"/>
        <v/>
      </c>
      <c r="F331" s="60" t="str">
        <f t="shared" ca="1" si="38"/>
        <v/>
      </c>
      <c r="G331" s="60"/>
      <c r="H331" s="95"/>
      <c r="I331" s="210">
        <f t="shared" ca="1" si="39"/>
        <v>0</v>
      </c>
    </row>
    <row r="332" spans="1:9" x14ac:dyDescent="0.25">
      <c r="A332" s="1">
        <f t="shared" si="40"/>
        <v>330</v>
      </c>
      <c r="B332" s="175" t="str">
        <f t="shared" ca="1" si="41"/>
        <v/>
      </c>
      <c r="C332" s="88" t="str">
        <f t="shared" ca="1" si="36"/>
        <v/>
      </c>
      <c r="D332" s="56" t="str">
        <f ca="1">IF(C332="","",IFERROR(VLOOKUP(C332,'[1]BẢNG MÃ RING'!$A$2:$C$322,2,0),0))</f>
        <v/>
      </c>
      <c r="E332" s="60" t="str">
        <f t="shared" ca="1" si="37"/>
        <v/>
      </c>
      <c r="F332" s="60" t="str">
        <f t="shared" ca="1" si="38"/>
        <v/>
      </c>
      <c r="G332" s="60"/>
      <c r="H332" s="95"/>
      <c r="I332" s="210">
        <f t="shared" ca="1" si="39"/>
        <v>0</v>
      </c>
    </row>
    <row r="333" spans="1:9" x14ac:dyDescent="0.25">
      <c r="A333" s="1">
        <f t="shared" si="40"/>
        <v>331</v>
      </c>
      <c r="B333" s="175" t="str">
        <f t="shared" ca="1" si="41"/>
        <v/>
      </c>
      <c r="C333" s="88" t="str">
        <f t="shared" ca="1" si="36"/>
        <v/>
      </c>
      <c r="D333" s="56" t="str">
        <f ca="1">IF(C333="","",IFERROR(VLOOKUP(C333,'[1]BẢNG MÃ RING'!$A$2:$C$322,2,0),0))</f>
        <v/>
      </c>
      <c r="E333" s="60" t="str">
        <f t="shared" ca="1" si="37"/>
        <v/>
      </c>
      <c r="F333" s="60" t="str">
        <f t="shared" ca="1" si="38"/>
        <v/>
      </c>
      <c r="G333" s="60"/>
      <c r="H333" s="95"/>
      <c r="I333" s="210">
        <f t="shared" ca="1" si="39"/>
        <v>0</v>
      </c>
    </row>
    <row r="334" spans="1:9" x14ac:dyDescent="0.25">
      <c r="A334" s="1">
        <f t="shared" si="40"/>
        <v>332</v>
      </c>
      <c r="B334" s="175" t="str">
        <f t="shared" ca="1" si="41"/>
        <v/>
      </c>
      <c r="C334" s="88" t="str">
        <f t="shared" ca="1" si="36"/>
        <v/>
      </c>
      <c r="D334" s="56" t="str">
        <f ca="1">IF(C334="","",IFERROR(VLOOKUP(C334,'[1]BẢNG MÃ RING'!$A$2:$C$322,2,0),0))</f>
        <v/>
      </c>
      <c r="E334" s="60" t="str">
        <f t="shared" ca="1" si="37"/>
        <v/>
      </c>
      <c r="F334" s="60" t="str">
        <f t="shared" ca="1" si="38"/>
        <v/>
      </c>
      <c r="G334" s="60"/>
      <c r="H334" s="95"/>
      <c r="I334" s="210">
        <f t="shared" ca="1" si="39"/>
        <v>0</v>
      </c>
    </row>
    <row r="335" spans="1:9" x14ac:dyDescent="0.25">
      <c r="A335" s="1">
        <f t="shared" si="40"/>
        <v>333</v>
      </c>
      <c r="B335" s="175" t="str">
        <f t="shared" ca="1" si="41"/>
        <v/>
      </c>
      <c r="C335" s="88" t="str">
        <f t="shared" ca="1" si="36"/>
        <v/>
      </c>
      <c r="D335" s="56" t="str">
        <f ca="1">IF(C335="","",IFERROR(VLOOKUP(C335,'[1]BẢNG MÃ RING'!$A$2:$C$322,2,0),0))</f>
        <v/>
      </c>
      <c r="E335" s="60" t="str">
        <f t="shared" ca="1" si="37"/>
        <v/>
      </c>
      <c r="F335" s="60" t="str">
        <f t="shared" ca="1" si="38"/>
        <v/>
      </c>
      <c r="G335" s="60"/>
      <c r="H335" s="95"/>
      <c r="I335" s="210">
        <f t="shared" ca="1" si="39"/>
        <v>0</v>
      </c>
    </row>
    <row r="336" spans="1:9" x14ac:dyDescent="0.25">
      <c r="A336" s="1">
        <f t="shared" si="40"/>
        <v>334</v>
      </c>
      <c r="B336" s="175" t="str">
        <f t="shared" ca="1" si="41"/>
        <v/>
      </c>
      <c r="C336" s="88" t="str">
        <f t="shared" ca="1" si="36"/>
        <v/>
      </c>
      <c r="D336" s="56" t="str">
        <f ca="1">IF(C336="","",IFERROR(VLOOKUP(C336,'[1]BẢNG MÃ RING'!$A$2:$C$322,2,0),0))</f>
        <v/>
      </c>
      <c r="E336" s="60" t="str">
        <f t="shared" ca="1" si="37"/>
        <v/>
      </c>
      <c r="F336" s="60" t="str">
        <f t="shared" ca="1" si="38"/>
        <v/>
      </c>
      <c r="G336" s="60"/>
      <c r="H336" s="95"/>
      <c r="I336" s="210">
        <f t="shared" ca="1" si="39"/>
        <v>0</v>
      </c>
    </row>
    <row r="337" spans="1:9" x14ac:dyDescent="0.25">
      <c r="A337" s="1">
        <f t="shared" si="40"/>
        <v>335</v>
      </c>
      <c r="B337" s="175" t="str">
        <f t="shared" ca="1" si="41"/>
        <v/>
      </c>
      <c r="C337" s="88" t="str">
        <f t="shared" ca="1" si="36"/>
        <v/>
      </c>
      <c r="D337" s="56" t="str">
        <f ca="1">IF(C337="","",IFERROR(VLOOKUP(C337,'[1]BẢNG MÃ RING'!$A$2:$C$322,2,0),0))</f>
        <v/>
      </c>
      <c r="E337" s="60" t="str">
        <f t="shared" ca="1" si="37"/>
        <v/>
      </c>
      <c r="F337" s="60" t="str">
        <f t="shared" ca="1" si="38"/>
        <v/>
      </c>
      <c r="G337" s="60"/>
      <c r="H337" s="95"/>
      <c r="I337" s="210">
        <f t="shared" ca="1" si="39"/>
        <v>0</v>
      </c>
    </row>
    <row r="338" spans="1:9" x14ac:dyDescent="0.25">
      <c r="A338" s="1">
        <f t="shared" si="40"/>
        <v>336</v>
      </c>
      <c r="B338" s="175" t="str">
        <f t="shared" ca="1" si="41"/>
        <v/>
      </c>
      <c r="C338" s="88" t="str">
        <f t="shared" ca="1" si="36"/>
        <v/>
      </c>
      <c r="D338" s="56" t="str">
        <f ca="1">IF(C338="","",IFERROR(VLOOKUP(C338,'[1]BẢNG MÃ RING'!$A$2:$C$322,2,0),0))</f>
        <v/>
      </c>
      <c r="E338" s="60" t="str">
        <f t="shared" ca="1" si="37"/>
        <v/>
      </c>
      <c r="F338" s="60" t="str">
        <f t="shared" ca="1" si="38"/>
        <v/>
      </c>
      <c r="G338" s="60"/>
      <c r="H338" s="95"/>
      <c r="I338" s="210">
        <f t="shared" ca="1" si="39"/>
        <v>0</v>
      </c>
    </row>
    <row r="339" spans="1:9" x14ac:dyDescent="0.25">
      <c r="A339" s="1">
        <f t="shared" si="40"/>
        <v>337</v>
      </c>
      <c r="B339" s="175" t="str">
        <f t="shared" ca="1" si="41"/>
        <v/>
      </c>
      <c r="C339" s="88" t="str">
        <f t="shared" ca="1" si="36"/>
        <v/>
      </c>
      <c r="D339" s="56" t="str">
        <f ca="1">IF(C339="","",IFERROR(VLOOKUP(C339,'[1]BẢNG MÃ RING'!$A$2:$C$322,2,0),0))</f>
        <v/>
      </c>
      <c r="E339" s="60" t="str">
        <f t="shared" ca="1" si="37"/>
        <v/>
      </c>
      <c r="F339" s="60" t="str">
        <f t="shared" ca="1" si="38"/>
        <v/>
      </c>
      <c r="G339" s="60"/>
      <c r="H339" s="95"/>
      <c r="I339" s="210">
        <f t="shared" ca="1" si="39"/>
        <v>0</v>
      </c>
    </row>
    <row r="340" spans="1:9" x14ac:dyDescent="0.25">
      <c r="A340" s="1">
        <f t="shared" si="40"/>
        <v>338</v>
      </c>
      <c r="B340" s="175" t="str">
        <f t="shared" ca="1" si="41"/>
        <v/>
      </c>
      <c r="C340" s="88" t="str">
        <f t="shared" ca="1" si="36"/>
        <v/>
      </c>
      <c r="D340" s="56" t="str">
        <f ca="1">IF(C340="","",IFERROR(VLOOKUP(C340,'[1]BẢNG MÃ RING'!$A$2:$C$322,2,0),0))</f>
        <v/>
      </c>
      <c r="E340" s="60" t="str">
        <f t="shared" ca="1" si="37"/>
        <v/>
      </c>
      <c r="F340" s="60" t="str">
        <f t="shared" ca="1" si="38"/>
        <v/>
      </c>
      <c r="G340" s="60"/>
      <c r="H340" s="95"/>
      <c r="I340" s="210">
        <f t="shared" ca="1" si="39"/>
        <v>0</v>
      </c>
    </row>
    <row r="341" spans="1:9" x14ac:dyDescent="0.25">
      <c r="A341" s="1">
        <f t="shared" si="40"/>
        <v>339</v>
      </c>
      <c r="B341" s="175" t="str">
        <f t="shared" ca="1" si="41"/>
        <v/>
      </c>
      <c r="C341" s="88" t="str">
        <f t="shared" ca="1" si="36"/>
        <v/>
      </c>
      <c r="D341" s="56" t="str">
        <f ca="1">IF(C341="","",IFERROR(VLOOKUP(C341,'[1]BẢNG MÃ RING'!$A$2:$C$322,2,0),0))</f>
        <v/>
      </c>
      <c r="E341" s="60" t="str">
        <f t="shared" ca="1" si="37"/>
        <v/>
      </c>
      <c r="F341" s="60" t="str">
        <f t="shared" ca="1" si="38"/>
        <v/>
      </c>
      <c r="G341" s="60"/>
      <c r="H341" s="95"/>
      <c r="I341" s="210">
        <f t="shared" ca="1" si="39"/>
        <v>0</v>
      </c>
    </row>
    <row r="342" spans="1:9" x14ac:dyDescent="0.25">
      <c r="A342" s="1">
        <f t="shared" si="40"/>
        <v>340</v>
      </c>
      <c r="B342" s="175" t="str">
        <f t="shared" ca="1" si="41"/>
        <v/>
      </c>
      <c r="C342" s="88" t="str">
        <f t="shared" ca="1" si="36"/>
        <v/>
      </c>
      <c r="D342" s="56" t="str">
        <f ca="1">IF(C342="","",IFERROR(VLOOKUP(C342,'[1]BẢNG MÃ RING'!$A$2:$C$322,2,0),0))</f>
        <v/>
      </c>
      <c r="E342" s="60" t="str">
        <f t="shared" ca="1" si="37"/>
        <v/>
      </c>
      <c r="F342" s="60" t="str">
        <f t="shared" ca="1" si="38"/>
        <v/>
      </c>
      <c r="G342" s="60"/>
      <c r="H342" s="95"/>
      <c r="I342" s="210">
        <f t="shared" ca="1" si="39"/>
        <v>0</v>
      </c>
    </row>
    <row r="343" spans="1:9" x14ac:dyDescent="0.25">
      <c r="A343" s="1">
        <f t="shared" si="40"/>
        <v>341</v>
      </c>
      <c r="B343" s="175" t="str">
        <f t="shared" ca="1" si="41"/>
        <v/>
      </c>
      <c r="C343" s="88" t="str">
        <f t="shared" ca="1" si="36"/>
        <v/>
      </c>
      <c r="D343" s="56" t="str">
        <f ca="1">IF(C343="","",IFERROR(VLOOKUP(C343,'[1]BẢNG MÃ RING'!$A$2:$C$322,2,0),0))</f>
        <v/>
      </c>
      <c r="E343" s="60" t="str">
        <f t="shared" ca="1" si="37"/>
        <v/>
      </c>
      <c r="F343" s="60" t="str">
        <f t="shared" ca="1" si="38"/>
        <v/>
      </c>
      <c r="G343" s="60"/>
      <c r="H343" s="95"/>
      <c r="I343" s="210">
        <f t="shared" ca="1" si="39"/>
        <v>0</v>
      </c>
    </row>
    <row r="344" spans="1:9" x14ac:dyDescent="0.25">
      <c r="A344" s="1">
        <f t="shared" si="40"/>
        <v>342</v>
      </c>
      <c r="B344" s="175" t="str">
        <f t="shared" ca="1" si="41"/>
        <v/>
      </c>
      <c r="C344" s="88" t="str">
        <f t="shared" ca="1" si="36"/>
        <v/>
      </c>
      <c r="D344" s="56" t="str">
        <f ca="1">IF(C344="","",IFERROR(VLOOKUP(C344,'[1]BẢNG MÃ RING'!$A$2:$C$322,2,0),0))</f>
        <v/>
      </c>
      <c r="E344" s="60" t="str">
        <f t="shared" ca="1" si="37"/>
        <v/>
      </c>
      <c r="F344" s="60" t="str">
        <f t="shared" ca="1" si="38"/>
        <v/>
      </c>
      <c r="G344" s="60"/>
      <c r="H344" s="95"/>
      <c r="I344" s="210">
        <f t="shared" ca="1" si="39"/>
        <v>0</v>
      </c>
    </row>
    <row r="345" spans="1:9" x14ac:dyDescent="0.25">
      <c r="A345" s="1">
        <f t="shared" si="40"/>
        <v>343</v>
      </c>
      <c r="B345" s="175" t="str">
        <f t="shared" ca="1" si="41"/>
        <v/>
      </c>
      <c r="C345" s="88" t="str">
        <f t="shared" ca="1" si="36"/>
        <v/>
      </c>
      <c r="D345" s="56" t="str">
        <f ca="1">IF(C345="","",IFERROR(VLOOKUP(C345,'[1]BẢNG MÃ RING'!$A$2:$C$322,2,0),0))</f>
        <v/>
      </c>
      <c r="E345" s="60" t="str">
        <f t="shared" ca="1" si="37"/>
        <v/>
      </c>
      <c r="F345" s="60" t="str">
        <f t="shared" ca="1" si="38"/>
        <v/>
      </c>
      <c r="G345" s="60"/>
      <c r="H345" s="95"/>
      <c r="I345" s="210">
        <f t="shared" ca="1" si="39"/>
        <v>0</v>
      </c>
    </row>
    <row r="346" spans="1:9" x14ac:dyDescent="0.25">
      <c r="A346" s="1">
        <f t="shared" si="40"/>
        <v>344</v>
      </c>
      <c r="B346" s="175" t="str">
        <f t="shared" ca="1" si="41"/>
        <v/>
      </c>
      <c r="C346" s="88" t="str">
        <f t="shared" ca="1" si="36"/>
        <v/>
      </c>
      <c r="D346" s="56" t="str">
        <f ca="1">IF(C346="","",IFERROR(VLOOKUP(C346,'[1]BẢNG MÃ RING'!$A$2:$C$322,2,0),0))</f>
        <v/>
      </c>
      <c r="E346" s="60" t="str">
        <f t="shared" ca="1" si="37"/>
        <v/>
      </c>
      <c r="F346" s="60" t="str">
        <f t="shared" ca="1" si="38"/>
        <v/>
      </c>
      <c r="G346" s="60"/>
      <c r="H346" s="95"/>
      <c r="I346" s="210">
        <f t="shared" ca="1" si="39"/>
        <v>0</v>
      </c>
    </row>
    <row r="347" spans="1:9" x14ac:dyDescent="0.25">
      <c r="A347" s="1">
        <f t="shared" si="40"/>
        <v>345</v>
      </c>
      <c r="B347" s="175" t="str">
        <f t="shared" ca="1" si="41"/>
        <v/>
      </c>
      <c r="C347" s="88" t="str">
        <f t="shared" ca="1" si="36"/>
        <v/>
      </c>
      <c r="D347" s="56" t="str">
        <f ca="1">IF(C347="","",IFERROR(VLOOKUP(C347,'[1]BẢNG MÃ RING'!$A$2:$C$322,2,0),0))</f>
        <v/>
      </c>
      <c r="E347" s="60" t="str">
        <f t="shared" ca="1" si="37"/>
        <v/>
      </c>
      <c r="F347" s="60" t="str">
        <f t="shared" ca="1" si="38"/>
        <v/>
      </c>
      <c r="G347" s="60"/>
      <c r="H347" s="95"/>
      <c r="I347" s="210">
        <f t="shared" ca="1" si="39"/>
        <v>0</v>
      </c>
    </row>
    <row r="348" spans="1:9" x14ac:dyDescent="0.25">
      <c r="A348" s="1">
        <f t="shared" si="40"/>
        <v>346</v>
      </c>
      <c r="B348" s="175" t="str">
        <f t="shared" ca="1" si="41"/>
        <v/>
      </c>
      <c r="C348" s="88" t="str">
        <f t="shared" ca="1" si="36"/>
        <v/>
      </c>
      <c r="D348" s="56" t="str">
        <f ca="1">IF(C348="","",IFERROR(VLOOKUP(C348,'[1]BẢNG MÃ RING'!$A$2:$C$322,2,0),0))</f>
        <v/>
      </c>
      <c r="E348" s="60" t="str">
        <f t="shared" ca="1" si="37"/>
        <v/>
      </c>
      <c r="F348" s="60" t="str">
        <f t="shared" ca="1" si="38"/>
        <v/>
      </c>
      <c r="G348" s="60"/>
      <c r="H348" s="95"/>
      <c r="I348" s="210">
        <f t="shared" ca="1" si="39"/>
        <v>0</v>
      </c>
    </row>
    <row r="349" spans="1:9" x14ac:dyDescent="0.25">
      <c r="A349" s="1">
        <f t="shared" si="40"/>
        <v>347</v>
      </c>
      <c r="B349" s="175" t="str">
        <f t="shared" ca="1" si="41"/>
        <v/>
      </c>
      <c r="C349" s="88" t="str">
        <f t="shared" ca="1" si="36"/>
        <v/>
      </c>
      <c r="D349" s="56" t="str">
        <f ca="1">IF(C349="","",IFERROR(VLOOKUP(C349,'[1]BẢNG MÃ RING'!$A$2:$C$322,2,0),0))</f>
        <v/>
      </c>
      <c r="E349" s="60" t="str">
        <f t="shared" ca="1" si="37"/>
        <v/>
      </c>
      <c r="F349" s="60" t="str">
        <f t="shared" ca="1" si="38"/>
        <v/>
      </c>
      <c r="G349" s="60"/>
      <c r="H349" s="95"/>
      <c r="I349" s="210">
        <f t="shared" ca="1" si="39"/>
        <v>0</v>
      </c>
    </row>
    <row r="350" spans="1:9" x14ac:dyDescent="0.25">
      <c r="A350" s="1">
        <f t="shared" si="40"/>
        <v>348</v>
      </c>
      <c r="B350" s="175" t="str">
        <f t="shared" ca="1" si="41"/>
        <v/>
      </c>
      <c r="C350" s="88" t="str">
        <f t="shared" ca="1" si="36"/>
        <v/>
      </c>
      <c r="D350" s="56" t="str">
        <f ca="1">IF(C350="","",IFERROR(VLOOKUP(C350,'[1]BẢNG MÃ RING'!$A$2:$C$322,2,0),0))</f>
        <v/>
      </c>
      <c r="E350" s="60" t="str">
        <f t="shared" ca="1" si="37"/>
        <v/>
      </c>
      <c r="F350" s="60" t="str">
        <f t="shared" ca="1" si="38"/>
        <v/>
      </c>
      <c r="G350" s="60"/>
      <c r="H350" s="95"/>
      <c r="I350" s="210">
        <f t="shared" ca="1" si="39"/>
        <v>0</v>
      </c>
    </row>
    <row r="351" spans="1:9" x14ac:dyDescent="0.25">
      <c r="A351" s="1">
        <f t="shared" si="40"/>
        <v>349</v>
      </c>
      <c r="B351" s="175" t="str">
        <f t="shared" ca="1" si="41"/>
        <v/>
      </c>
      <c r="C351" s="88" t="str">
        <f t="shared" ca="1" si="36"/>
        <v/>
      </c>
      <c r="D351" s="56" t="str">
        <f ca="1">IF(C351="","",IFERROR(VLOOKUP(C351,'[1]BẢNG MÃ RING'!$A$2:$C$322,2,0),0))</f>
        <v/>
      </c>
      <c r="E351" s="60" t="str">
        <f t="shared" ca="1" si="37"/>
        <v/>
      </c>
      <c r="F351" s="60" t="str">
        <f t="shared" ca="1" si="38"/>
        <v/>
      </c>
      <c r="G351" s="60"/>
      <c r="H351" s="95"/>
      <c r="I351" s="210">
        <f t="shared" ca="1" si="39"/>
        <v>0</v>
      </c>
    </row>
    <row r="352" spans="1:9" x14ac:dyDescent="0.25">
      <c r="A352" s="1">
        <f t="shared" si="40"/>
        <v>350</v>
      </c>
      <c r="B352" s="175" t="str">
        <f t="shared" ca="1" si="41"/>
        <v/>
      </c>
      <c r="C352" s="88" t="str">
        <f t="shared" ca="1" si="36"/>
        <v/>
      </c>
      <c r="D352" s="56" t="str">
        <f ca="1">IF(C352="","",IFERROR(VLOOKUP(C352,'[1]BẢNG MÃ RING'!$A$2:$C$322,2,0),0))</f>
        <v/>
      </c>
      <c r="E352" s="60" t="str">
        <f t="shared" ca="1" si="37"/>
        <v/>
      </c>
      <c r="F352" s="60" t="str">
        <f t="shared" ca="1" si="38"/>
        <v/>
      </c>
      <c r="G352" s="60"/>
      <c r="H352" s="95"/>
      <c r="I352" s="210">
        <f t="shared" ca="1" si="39"/>
        <v>0</v>
      </c>
    </row>
    <row r="353" spans="1:9" x14ac:dyDescent="0.25">
      <c r="A353" s="1">
        <f t="shared" si="40"/>
        <v>351</v>
      </c>
      <c r="B353" s="175" t="str">
        <f t="shared" ca="1" si="41"/>
        <v/>
      </c>
      <c r="C353" s="88" t="str">
        <f t="shared" ca="1" si="36"/>
        <v/>
      </c>
      <c r="D353" s="56" t="str">
        <f ca="1">IF(C353="","",IFERROR(VLOOKUP(C353,'[1]BẢNG MÃ RING'!$A$2:$C$322,2,0),0))</f>
        <v/>
      </c>
      <c r="E353" s="60" t="str">
        <f t="shared" ca="1" si="37"/>
        <v/>
      </c>
      <c r="F353" s="60" t="str">
        <f t="shared" ca="1" si="38"/>
        <v/>
      </c>
      <c r="G353" s="60"/>
      <c r="H353" s="95"/>
      <c r="I353" s="210">
        <f t="shared" ca="1" si="39"/>
        <v>0</v>
      </c>
    </row>
    <row r="354" spans="1:9" x14ac:dyDescent="0.25">
      <c r="A354" s="1">
        <f t="shared" si="40"/>
        <v>352</v>
      </c>
      <c r="B354" s="175" t="str">
        <f t="shared" ca="1" si="41"/>
        <v/>
      </c>
      <c r="C354" s="88" t="str">
        <f t="shared" ca="1" si="36"/>
        <v/>
      </c>
      <c r="D354" s="56" t="str">
        <f ca="1">IF(C354="","",IFERROR(VLOOKUP(C354,'[1]BẢNG MÃ RING'!$A$2:$C$322,2,0),0))</f>
        <v/>
      </c>
      <c r="E354" s="60" t="str">
        <f t="shared" ca="1" si="37"/>
        <v/>
      </c>
      <c r="F354" s="60" t="str">
        <f t="shared" ca="1" si="38"/>
        <v/>
      </c>
      <c r="G354" s="60"/>
      <c r="H354" s="95"/>
      <c r="I354" s="210">
        <f t="shared" ca="1" si="39"/>
        <v>0</v>
      </c>
    </row>
    <row r="355" spans="1:9" x14ac:dyDescent="0.25">
      <c r="A355" s="1">
        <f t="shared" si="40"/>
        <v>353</v>
      </c>
      <c r="B355" s="175" t="str">
        <f t="shared" ca="1" si="41"/>
        <v/>
      </c>
      <c r="C355" s="88" t="str">
        <f t="shared" ca="1" si="36"/>
        <v/>
      </c>
      <c r="D355" s="56" t="str">
        <f ca="1">IF(C355="","",IFERROR(VLOOKUP(C355,'[1]BẢNG MÃ RING'!$A$2:$C$322,2,0),0))</f>
        <v/>
      </c>
      <c r="E355" s="60" t="str">
        <f t="shared" ca="1" si="37"/>
        <v/>
      </c>
      <c r="F355" s="60" t="str">
        <f t="shared" ca="1" si="38"/>
        <v/>
      </c>
      <c r="G355" s="60"/>
      <c r="H355" s="95"/>
      <c r="I355" s="210">
        <f t="shared" ca="1" si="39"/>
        <v>0</v>
      </c>
    </row>
    <row r="356" spans="1:9" x14ac:dyDescent="0.25">
      <c r="A356" s="1">
        <f t="shared" si="40"/>
        <v>354</v>
      </c>
      <c r="B356" s="175" t="str">
        <f t="shared" ca="1" si="41"/>
        <v/>
      </c>
      <c r="C356" s="88" t="str">
        <f t="shared" ca="1" si="36"/>
        <v/>
      </c>
      <c r="D356" s="56" t="str">
        <f ca="1">IF(C356="","",IFERROR(VLOOKUP(C356,'[1]BẢNG MÃ RING'!$A$2:$C$322,2,0),0))</f>
        <v/>
      </c>
      <c r="E356" s="60" t="str">
        <f t="shared" ca="1" si="37"/>
        <v/>
      </c>
      <c r="F356" s="60" t="str">
        <f t="shared" ca="1" si="38"/>
        <v/>
      </c>
      <c r="G356" s="60"/>
      <c r="H356" s="95"/>
      <c r="I356" s="210">
        <f t="shared" ca="1" si="39"/>
        <v>0</v>
      </c>
    </row>
  </sheetData>
  <autoFilter ref="A2:J356">
    <sortState ref="A3:J356">
      <sortCondition ref="H2:H208"/>
    </sortState>
  </autoFilter>
  <conditionalFormatting sqref="D1:D2 D357:D1048576">
    <cfRule type="duplicateValues" dxfId="12" priority="9" stopIfTrue="1"/>
  </conditionalFormatting>
  <conditionalFormatting sqref="A1:A1048576">
    <cfRule type="duplicateValues" dxfId="11" priority="3" stopIfTrue="1"/>
  </conditionalFormatting>
  <conditionalFormatting sqref="C3:C356">
    <cfRule type="duplicateValues" dxfId="10" priority="4037" stopIfTrue="1"/>
  </conditionalFormatting>
  <conditionalFormatting sqref="D3:D356">
    <cfRule type="duplicateValues" dxfId="9" priority="1" stopIfTrue="1"/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466"/>
  <sheetViews>
    <sheetView zoomScale="130" zoomScaleNormal="130" workbookViewId="0">
      <pane ySplit="2" topLeftCell="A3" activePane="bottomLeft" state="frozen"/>
      <selection activeCell="G213" sqref="G213:H307"/>
      <selection pane="bottomLeft" activeCell="I9" sqref="I9"/>
    </sheetView>
  </sheetViews>
  <sheetFormatPr defaultRowHeight="15" x14ac:dyDescent="0.25"/>
  <cols>
    <col min="1" max="1" width="5" bestFit="1" customWidth="1"/>
    <col min="2" max="2" width="21.140625" style="169" customWidth="1"/>
    <col min="3" max="3" width="13.7109375" style="46" customWidth="1"/>
    <col min="4" max="4" width="19.140625" style="45" customWidth="1"/>
    <col min="5" max="6" width="13.7109375" style="59" customWidth="1"/>
    <col min="7" max="7" width="12.28515625" style="59" customWidth="1"/>
    <col min="8" max="8" width="15.7109375" style="96" customWidth="1"/>
  </cols>
  <sheetData>
    <row r="1" spans="1:13" ht="26.25" customHeight="1" x14ac:dyDescent="0.25">
      <c r="A1" s="92" t="s">
        <v>469</v>
      </c>
      <c r="B1" s="167" t="s">
        <v>468</v>
      </c>
      <c r="C1" s="89" t="s">
        <v>463</v>
      </c>
      <c r="D1" s="91" t="s">
        <v>382</v>
      </c>
      <c r="E1" s="89" t="s">
        <v>464</v>
      </c>
      <c r="F1" s="89" t="s">
        <v>465</v>
      </c>
      <c r="G1" s="90" t="s">
        <v>466</v>
      </c>
      <c r="H1" s="93" t="s">
        <v>467</v>
      </c>
      <c r="I1" t="s">
        <v>470</v>
      </c>
    </row>
    <row r="2" spans="1:13" s="65" customFormat="1" ht="31.5" customHeight="1" x14ac:dyDescent="0.25">
      <c r="B2" s="168"/>
      <c r="C2" s="66"/>
      <c r="D2" s="67"/>
      <c r="E2" s="155">
        <f>SUM(E3:E3476)</f>
        <v>24500</v>
      </c>
      <c r="F2" s="155"/>
      <c r="G2" s="176">
        <f>SUM(G3:G1067)</f>
        <v>12760.746000000003</v>
      </c>
      <c r="H2" s="94"/>
      <c r="I2" s="71"/>
      <c r="M2" s="65" t="s">
        <v>471</v>
      </c>
    </row>
    <row r="3" spans="1:13" x14ac:dyDescent="0.25">
      <c r="B3" s="175" t="s">
        <v>844</v>
      </c>
      <c r="C3" s="88">
        <v>742513200</v>
      </c>
      <c r="D3" s="56" t="s">
        <v>642</v>
      </c>
      <c r="E3" s="60">
        <v>40</v>
      </c>
      <c r="F3" s="60">
        <v>0.48299999999999998</v>
      </c>
      <c r="G3" s="60">
        <v>19.32</v>
      </c>
      <c r="H3" s="95">
        <f>VLOOKUP(C3,data!E4:J106,6,0)</f>
        <v>44539</v>
      </c>
    </row>
    <row r="4" spans="1:13" x14ac:dyDescent="0.25">
      <c r="B4" s="175" t="s">
        <v>845</v>
      </c>
      <c r="C4" s="88">
        <v>742513200</v>
      </c>
      <c r="D4" s="56" t="s">
        <v>642</v>
      </c>
      <c r="E4" s="60">
        <v>110</v>
      </c>
      <c r="F4" s="60">
        <v>0.48299999999999998</v>
      </c>
      <c r="G4" s="60">
        <v>53.129999999999995</v>
      </c>
      <c r="H4" s="95">
        <f>VLOOKUP(C4,data!E5:J107,6,0)</f>
        <v>44539</v>
      </c>
    </row>
    <row r="5" spans="1:13" x14ac:dyDescent="0.25">
      <c r="B5" s="175" t="s">
        <v>844</v>
      </c>
      <c r="C5" s="88">
        <v>742513300</v>
      </c>
      <c r="D5" s="56" t="s">
        <v>643</v>
      </c>
      <c r="E5" s="60">
        <v>80</v>
      </c>
      <c r="F5" s="60">
        <v>0.5635</v>
      </c>
      <c r="G5" s="60">
        <v>45.08</v>
      </c>
      <c r="H5" s="95">
        <f>VLOOKUP(C5,data!E6:J108,6,0)</f>
        <v>44539</v>
      </c>
    </row>
    <row r="6" spans="1:13" x14ac:dyDescent="0.25">
      <c r="B6" s="175" t="s">
        <v>845</v>
      </c>
      <c r="C6" s="88">
        <v>742513300</v>
      </c>
      <c r="D6" s="56" t="s">
        <v>643</v>
      </c>
      <c r="E6" s="60">
        <v>110</v>
      </c>
      <c r="F6" s="60">
        <v>0.5635</v>
      </c>
      <c r="G6" s="60">
        <v>61.984999999999999</v>
      </c>
      <c r="H6" s="95">
        <f>VLOOKUP(C6,data!E7:J109,6,0)</f>
        <v>44539</v>
      </c>
    </row>
    <row r="7" spans="1:13" x14ac:dyDescent="0.25">
      <c r="B7" s="175" t="s">
        <v>844</v>
      </c>
      <c r="C7" s="88">
        <v>742513400</v>
      </c>
      <c r="D7" s="56" t="s">
        <v>644</v>
      </c>
      <c r="E7" s="60">
        <v>80</v>
      </c>
      <c r="F7" s="60">
        <v>0.5</v>
      </c>
      <c r="G7" s="60">
        <v>40</v>
      </c>
      <c r="H7" s="95">
        <f>VLOOKUP(C7,data!E8:J110,6,0)</f>
        <v>44539</v>
      </c>
    </row>
    <row r="8" spans="1:13" x14ac:dyDescent="0.25">
      <c r="B8" s="175" t="s">
        <v>845</v>
      </c>
      <c r="C8" s="88">
        <v>742513400</v>
      </c>
      <c r="D8" s="56" t="s">
        <v>644</v>
      </c>
      <c r="E8" s="60">
        <v>110</v>
      </c>
      <c r="F8" s="60">
        <v>0.5</v>
      </c>
      <c r="G8" s="60">
        <v>55</v>
      </c>
      <c r="H8" s="95">
        <f>VLOOKUP(C8,data!E9:J111,6,0)</f>
        <v>44539</v>
      </c>
    </row>
    <row r="9" spans="1:13" x14ac:dyDescent="0.25">
      <c r="B9" s="175" t="s">
        <v>844</v>
      </c>
      <c r="C9" s="88">
        <v>742513500</v>
      </c>
      <c r="D9" s="56" t="s">
        <v>645</v>
      </c>
      <c r="E9" s="60">
        <v>160</v>
      </c>
      <c r="F9" s="60">
        <v>0.33</v>
      </c>
      <c r="G9" s="60">
        <v>52.800000000000004</v>
      </c>
      <c r="H9" s="95">
        <f>VLOOKUP(C9,data!E10:J112,6,0)</f>
        <v>44539</v>
      </c>
    </row>
    <row r="10" spans="1:13" x14ac:dyDescent="0.25">
      <c r="B10" s="175" t="s">
        <v>845</v>
      </c>
      <c r="C10" s="88">
        <v>742513500</v>
      </c>
      <c r="D10" s="56" t="s">
        <v>645</v>
      </c>
      <c r="E10" s="60">
        <v>220</v>
      </c>
      <c r="F10" s="60">
        <v>0.33</v>
      </c>
      <c r="G10" s="60">
        <v>72.600000000000009</v>
      </c>
      <c r="H10" s="95">
        <f>VLOOKUP(C10,data!E11:J113,6,0)</f>
        <v>44539</v>
      </c>
    </row>
    <row r="11" spans="1:13" x14ac:dyDescent="0.25">
      <c r="B11" s="175" t="s">
        <v>846</v>
      </c>
      <c r="C11" s="88">
        <v>742514400</v>
      </c>
      <c r="D11" s="56" t="s">
        <v>672</v>
      </c>
      <c r="E11" s="60">
        <v>90</v>
      </c>
      <c r="F11" s="60">
        <v>0.45</v>
      </c>
      <c r="G11" s="60">
        <v>40.5</v>
      </c>
      <c r="H11" s="95">
        <f>VLOOKUP(C11,data!E12:J114,6,0)</f>
        <v>44539</v>
      </c>
    </row>
    <row r="12" spans="1:13" x14ac:dyDescent="0.25">
      <c r="B12" s="175" t="s">
        <v>846</v>
      </c>
      <c r="C12" s="88">
        <v>742514500</v>
      </c>
      <c r="D12" s="56" t="s">
        <v>715</v>
      </c>
      <c r="E12" s="60">
        <v>80</v>
      </c>
      <c r="F12" s="60">
        <v>0.4</v>
      </c>
      <c r="G12" s="60">
        <v>32</v>
      </c>
      <c r="H12" s="95">
        <f>VLOOKUP(C12,data!E13:J115,6,0)</f>
        <v>44539</v>
      </c>
    </row>
    <row r="13" spans="1:13" x14ac:dyDescent="0.25">
      <c r="B13" s="175" t="s">
        <v>847</v>
      </c>
      <c r="C13" s="88">
        <v>742517000</v>
      </c>
      <c r="D13" s="56" t="s">
        <v>717</v>
      </c>
      <c r="E13" s="60">
        <v>10</v>
      </c>
      <c r="F13" s="60">
        <v>0.49</v>
      </c>
      <c r="G13" s="60">
        <v>4.9000000000000004</v>
      </c>
      <c r="H13" s="95">
        <f>VLOOKUP(C13,data!E14:J116,6,0)</f>
        <v>44560</v>
      </c>
    </row>
    <row r="14" spans="1:13" x14ac:dyDescent="0.25">
      <c r="B14" s="175" t="s">
        <v>848</v>
      </c>
      <c r="C14" s="88">
        <v>742517000</v>
      </c>
      <c r="D14" s="56" t="s">
        <v>717</v>
      </c>
      <c r="E14" s="60">
        <v>220</v>
      </c>
      <c r="F14" s="60">
        <v>0.49</v>
      </c>
      <c r="G14" s="60">
        <v>107.8</v>
      </c>
      <c r="H14" s="95">
        <f>VLOOKUP(C14,data!E15:J117,6,0)</f>
        <v>44560</v>
      </c>
    </row>
    <row r="15" spans="1:13" x14ac:dyDescent="0.25">
      <c r="B15" s="175" t="s">
        <v>849</v>
      </c>
      <c r="C15" s="88">
        <v>742517000</v>
      </c>
      <c r="D15" s="56" t="s">
        <v>717</v>
      </c>
      <c r="E15" s="60">
        <v>110</v>
      </c>
      <c r="F15" s="60">
        <v>0.49</v>
      </c>
      <c r="G15" s="60">
        <v>53.9</v>
      </c>
      <c r="H15" s="95">
        <f>VLOOKUP(C15,data!E16:J118,6,0)</f>
        <v>44560</v>
      </c>
    </row>
    <row r="16" spans="1:13" x14ac:dyDescent="0.25">
      <c r="B16" s="175" t="s">
        <v>850</v>
      </c>
      <c r="C16" s="88">
        <v>742517000</v>
      </c>
      <c r="D16" s="56" t="s">
        <v>717</v>
      </c>
      <c r="E16" s="60">
        <v>110</v>
      </c>
      <c r="F16" s="60">
        <v>0.49</v>
      </c>
      <c r="G16" s="60">
        <v>53.9</v>
      </c>
      <c r="H16" s="95">
        <f>VLOOKUP(C16,data!E17:J119,6,0)</f>
        <v>44560</v>
      </c>
    </row>
    <row r="17" spans="2:8" x14ac:dyDescent="0.25">
      <c r="B17" s="175" t="s">
        <v>848</v>
      </c>
      <c r="C17" s="88">
        <v>742517010</v>
      </c>
      <c r="D17" s="56" t="s">
        <v>718</v>
      </c>
      <c r="E17" s="60">
        <v>70</v>
      </c>
      <c r="F17" s="60">
        <v>0.49</v>
      </c>
      <c r="G17" s="60">
        <v>34.299999999999997</v>
      </c>
      <c r="H17" s="95">
        <f>VLOOKUP(C17,data!E18:J120,6,0)</f>
        <v>44560</v>
      </c>
    </row>
    <row r="18" spans="2:8" x14ac:dyDescent="0.25">
      <c r="B18" s="175" t="s">
        <v>849</v>
      </c>
      <c r="C18" s="88">
        <v>742517010</v>
      </c>
      <c r="D18" s="56" t="s">
        <v>718</v>
      </c>
      <c r="E18" s="60">
        <v>110</v>
      </c>
      <c r="F18" s="60">
        <v>0.49</v>
      </c>
      <c r="G18" s="60">
        <v>53.9</v>
      </c>
      <c r="H18" s="95">
        <f>VLOOKUP(C18,data!E19:J121,6,0)</f>
        <v>44560</v>
      </c>
    </row>
    <row r="19" spans="2:8" x14ac:dyDescent="0.25">
      <c r="B19" s="175" t="s">
        <v>850</v>
      </c>
      <c r="C19" s="88">
        <v>742517010</v>
      </c>
      <c r="D19" s="56" t="s">
        <v>718</v>
      </c>
      <c r="E19" s="60">
        <v>110</v>
      </c>
      <c r="F19" s="60">
        <v>0.49</v>
      </c>
      <c r="G19" s="60">
        <v>53.9</v>
      </c>
      <c r="H19" s="95">
        <f>VLOOKUP(C19,data!E20:J122,6,0)</f>
        <v>44560</v>
      </c>
    </row>
    <row r="20" spans="2:8" x14ac:dyDescent="0.25">
      <c r="B20" s="175" t="s">
        <v>847</v>
      </c>
      <c r="C20" s="88">
        <v>742517200</v>
      </c>
      <c r="D20" s="56" t="s">
        <v>719</v>
      </c>
      <c r="E20" s="60">
        <v>110</v>
      </c>
      <c r="F20" s="60">
        <v>0.52</v>
      </c>
      <c r="G20" s="60">
        <v>57.2</v>
      </c>
      <c r="H20" s="95">
        <f>VLOOKUP(C20,data!E21:J123,6,0)</f>
        <v>44560</v>
      </c>
    </row>
    <row r="21" spans="2:8" x14ac:dyDescent="0.25">
      <c r="B21" s="175" t="s">
        <v>848</v>
      </c>
      <c r="C21" s="88">
        <v>742517200</v>
      </c>
      <c r="D21" s="56" t="s">
        <v>719</v>
      </c>
      <c r="E21" s="60">
        <v>220</v>
      </c>
      <c r="F21" s="60">
        <v>0.52</v>
      </c>
      <c r="G21" s="60">
        <v>114.4</v>
      </c>
      <c r="H21" s="95">
        <f>VLOOKUP(C21,data!E22:J124,6,0)</f>
        <v>44560</v>
      </c>
    </row>
    <row r="22" spans="2:8" x14ac:dyDescent="0.25">
      <c r="B22" s="175" t="s">
        <v>849</v>
      </c>
      <c r="C22" s="88">
        <v>742517200</v>
      </c>
      <c r="D22" s="56" t="s">
        <v>719</v>
      </c>
      <c r="E22" s="60">
        <v>110</v>
      </c>
      <c r="F22" s="60">
        <v>0.52</v>
      </c>
      <c r="G22" s="60">
        <v>57.2</v>
      </c>
      <c r="H22" s="95">
        <f>VLOOKUP(C22,data!E23:J125,6,0)</f>
        <v>44560</v>
      </c>
    </row>
    <row r="23" spans="2:8" x14ac:dyDescent="0.25">
      <c r="B23" s="175" t="s">
        <v>850</v>
      </c>
      <c r="C23" s="88">
        <v>742517200</v>
      </c>
      <c r="D23" s="56" t="s">
        <v>719</v>
      </c>
      <c r="E23" s="60">
        <v>110</v>
      </c>
      <c r="F23" s="60">
        <v>0.52</v>
      </c>
      <c r="G23" s="60">
        <v>57.2</v>
      </c>
      <c r="H23" s="95">
        <f>VLOOKUP(C23,data!E24:J126,6,0)</f>
        <v>44560</v>
      </c>
    </row>
    <row r="24" spans="2:8" x14ac:dyDescent="0.25">
      <c r="B24" s="175" t="s">
        <v>848</v>
      </c>
      <c r="C24" s="88">
        <v>742517300</v>
      </c>
      <c r="D24" s="56" t="s">
        <v>720</v>
      </c>
      <c r="E24" s="60">
        <v>190</v>
      </c>
      <c r="F24" s="60">
        <v>0.5</v>
      </c>
      <c r="G24" s="60">
        <v>95</v>
      </c>
      <c r="H24" s="95">
        <f>VLOOKUP(C24,data!E25:J127,6,0)</f>
        <v>44560</v>
      </c>
    </row>
    <row r="25" spans="2:8" x14ac:dyDescent="0.25">
      <c r="B25" s="175" t="s">
        <v>849</v>
      </c>
      <c r="C25" s="88">
        <v>742517300</v>
      </c>
      <c r="D25" s="56" t="s">
        <v>720</v>
      </c>
      <c r="E25" s="60">
        <v>110</v>
      </c>
      <c r="F25" s="60">
        <v>0.5</v>
      </c>
      <c r="G25" s="60">
        <v>55</v>
      </c>
      <c r="H25" s="95">
        <f>VLOOKUP(C25,data!E26:J128,6,0)</f>
        <v>44560</v>
      </c>
    </row>
    <row r="26" spans="2:8" x14ac:dyDescent="0.25">
      <c r="B26" s="175" t="s">
        <v>850</v>
      </c>
      <c r="C26" s="88">
        <v>742517300</v>
      </c>
      <c r="D26" s="56" t="s">
        <v>720</v>
      </c>
      <c r="E26" s="60">
        <v>110</v>
      </c>
      <c r="F26" s="60">
        <v>0.5</v>
      </c>
      <c r="G26" s="60">
        <v>55</v>
      </c>
      <c r="H26" s="95">
        <f>VLOOKUP(C26,data!E27:J129,6,0)</f>
        <v>44560</v>
      </c>
    </row>
    <row r="27" spans="2:8" x14ac:dyDescent="0.25">
      <c r="B27" s="175" t="s">
        <v>851</v>
      </c>
      <c r="C27" s="88">
        <v>742529300</v>
      </c>
      <c r="D27" s="56" t="s">
        <v>826</v>
      </c>
      <c r="E27" s="60">
        <v>70</v>
      </c>
      <c r="F27" s="60">
        <v>0.48</v>
      </c>
      <c r="G27" s="60">
        <v>33.6</v>
      </c>
      <c r="H27" s="95">
        <f>VLOOKUP(C27,data!E28:J130,6,0)</f>
        <v>44560</v>
      </c>
    </row>
    <row r="28" spans="2:8" x14ac:dyDescent="0.25">
      <c r="B28" s="175" t="s">
        <v>852</v>
      </c>
      <c r="C28" s="88">
        <v>742535100</v>
      </c>
      <c r="D28" s="56" t="s">
        <v>1156</v>
      </c>
      <c r="E28" s="60">
        <v>110</v>
      </c>
      <c r="F28" s="60">
        <v>0.28999999999999998</v>
      </c>
      <c r="G28" s="60">
        <v>31.9</v>
      </c>
      <c r="H28" s="95">
        <f>VLOOKUP(C28,data!E29:J131,6,0)</f>
        <v>44546</v>
      </c>
    </row>
    <row r="29" spans="2:8" x14ac:dyDescent="0.25">
      <c r="B29" s="175" t="s">
        <v>853</v>
      </c>
      <c r="C29" s="88">
        <v>742535100</v>
      </c>
      <c r="D29" s="56" t="s">
        <v>1156</v>
      </c>
      <c r="E29" s="60">
        <v>60</v>
      </c>
      <c r="F29" s="60">
        <v>0.28999999999999998</v>
      </c>
      <c r="G29" s="60">
        <v>17.399999999999999</v>
      </c>
      <c r="H29" s="95">
        <f>VLOOKUP(C29,data!E30:J132,6,0)</f>
        <v>44560</v>
      </c>
    </row>
    <row r="30" spans="2:8" x14ac:dyDescent="0.25">
      <c r="B30" s="175" t="s">
        <v>854</v>
      </c>
      <c r="C30" s="88">
        <v>742535700</v>
      </c>
      <c r="D30" s="56" t="s">
        <v>828</v>
      </c>
      <c r="E30" s="60">
        <v>220</v>
      </c>
      <c r="F30" s="60">
        <v>0.49</v>
      </c>
      <c r="G30" s="60">
        <v>107.8</v>
      </c>
      <c r="H30" s="95">
        <f>VLOOKUP(C30,data!E31:J133,6,0)</f>
        <v>44546</v>
      </c>
    </row>
    <row r="31" spans="2:8" x14ac:dyDescent="0.25">
      <c r="B31" s="175" t="s">
        <v>855</v>
      </c>
      <c r="C31" s="88">
        <v>742535700</v>
      </c>
      <c r="D31" s="56" t="s">
        <v>828</v>
      </c>
      <c r="E31" s="60">
        <v>220</v>
      </c>
      <c r="F31" s="60">
        <v>0.49</v>
      </c>
      <c r="G31" s="60">
        <v>107.8</v>
      </c>
      <c r="H31" s="95">
        <f>VLOOKUP(C31,data!E32:J134,6,0)</f>
        <v>44546</v>
      </c>
    </row>
    <row r="32" spans="2:8" x14ac:dyDescent="0.25">
      <c r="B32" s="175" t="s">
        <v>856</v>
      </c>
      <c r="C32" s="88">
        <v>742535700</v>
      </c>
      <c r="D32" s="56" t="s">
        <v>828</v>
      </c>
      <c r="E32" s="60">
        <v>110</v>
      </c>
      <c r="F32" s="60">
        <v>0.49</v>
      </c>
      <c r="G32" s="60">
        <v>53.9</v>
      </c>
      <c r="H32" s="95">
        <f>VLOOKUP(C32,data!E33:J135,6,0)</f>
        <v>44546</v>
      </c>
    </row>
    <row r="33" spans="2:8" x14ac:dyDescent="0.25">
      <c r="B33" s="175" t="s">
        <v>857</v>
      </c>
      <c r="C33" s="88">
        <v>742535710</v>
      </c>
      <c r="D33" s="56" t="s">
        <v>1157</v>
      </c>
      <c r="E33" s="60">
        <v>90</v>
      </c>
      <c r="F33" s="60">
        <v>0.49</v>
      </c>
      <c r="G33" s="60">
        <v>44.1</v>
      </c>
      <c r="H33" s="95">
        <f>VLOOKUP(C33,data!E34:J136,6,0)</f>
        <v>44546</v>
      </c>
    </row>
    <row r="34" spans="2:8" x14ac:dyDescent="0.25">
      <c r="B34" s="175" t="s">
        <v>858</v>
      </c>
      <c r="C34" s="88">
        <v>742535710</v>
      </c>
      <c r="D34" s="56" t="s">
        <v>1157</v>
      </c>
      <c r="E34" s="60">
        <v>110</v>
      </c>
      <c r="F34" s="60">
        <v>0.49</v>
      </c>
      <c r="G34" s="60">
        <v>53.9</v>
      </c>
      <c r="H34" s="95">
        <f>VLOOKUP(C34,data!E35:J137,6,0)</f>
        <v>44546</v>
      </c>
    </row>
    <row r="35" spans="2:8" x14ac:dyDescent="0.25">
      <c r="B35" s="175" t="s">
        <v>859</v>
      </c>
      <c r="C35" s="88">
        <v>742535720</v>
      </c>
      <c r="D35" s="56" t="s">
        <v>827</v>
      </c>
      <c r="E35" s="60">
        <v>200</v>
      </c>
      <c r="F35" s="60">
        <v>0.49</v>
      </c>
      <c r="G35" s="60">
        <v>98</v>
      </c>
      <c r="H35" s="95">
        <f>VLOOKUP(C35,data!E36:J138,6,0)</f>
        <v>44546</v>
      </c>
    </row>
    <row r="36" spans="2:8" x14ac:dyDescent="0.25">
      <c r="B36" s="175" t="s">
        <v>860</v>
      </c>
      <c r="C36" s="88">
        <v>742535730</v>
      </c>
      <c r="D36" s="56" t="s">
        <v>829</v>
      </c>
      <c r="E36" s="60">
        <v>180</v>
      </c>
      <c r="F36" s="60">
        <v>0.49</v>
      </c>
      <c r="G36" s="60">
        <v>88.2</v>
      </c>
      <c r="H36" s="95">
        <f>VLOOKUP(C36,data!E37:J139,6,0)</f>
        <v>44546</v>
      </c>
    </row>
    <row r="37" spans="2:8" x14ac:dyDescent="0.25">
      <c r="B37" s="175" t="s">
        <v>861</v>
      </c>
      <c r="C37" s="88">
        <v>742535730</v>
      </c>
      <c r="D37" s="56" t="s">
        <v>829</v>
      </c>
      <c r="E37" s="60">
        <v>110</v>
      </c>
      <c r="F37" s="60">
        <v>0.49</v>
      </c>
      <c r="G37" s="60">
        <v>53.9</v>
      </c>
      <c r="H37" s="95">
        <f>VLOOKUP(C37,data!E38:J140,6,0)</f>
        <v>44546</v>
      </c>
    </row>
    <row r="38" spans="2:8" x14ac:dyDescent="0.25">
      <c r="B38" s="175" t="s">
        <v>862</v>
      </c>
      <c r="C38" s="88">
        <v>742535740</v>
      </c>
      <c r="D38" s="56" t="s">
        <v>1158</v>
      </c>
      <c r="E38" s="60">
        <v>220</v>
      </c>
      <c r="F38" s="60">
        <v>0.49</v>
      </c>
      <c r="G38" s="60">
        <v>107.8</v>
      </c>
      <c r="H38" s="95">
        <f>VLOOKUP(C38,data!E39:J141,6,0)</f>
        <v>44546</v>
      </c>
    </row>
    <row r="39" spans="2:8" x14ac:dyDescent="0.25">
      <c r="B39" s="175" t="s">
        <v>863</v>
      </c>
      <c r="C39" s="88">
        <v>742535750</v>
      </c>
      <c r="D39" s="56" t="s">
        <v>1159</v>
      </c>
      <c r="E39" s="60">
        <v>110</v>
      </c>
      <c r="F39" s="60">
        <v>0.49</v>
      </c>
      <c r="G39" s="60">
        <v>53.9</v>
      </c>
      <c r="H39" s="95">
        <f>VLOOKUP(C39,data!E40:J142,6,0)</f>
        <v>44546</v>
      </c>
    </row>
    <row r="40" spans="2:8" x14ac:dyDescent="0.25">
      <c r="B40" s="175" t="s">
        <v>864</v>
      </c>
      <c r="C40" s="88">
        <v>742542400</v>
      </c>
      <c r="D40" s="56" t="s">
        <v>1160</v>
      </c>
      <c r="E40" s="60">
        <v>50</v>
      </c>
      <c r="F40" s="60">
        <v>0.52</v>
      </c>
      <c r="G40" s="60">
        <v>26</v>
      </c>
      <c r="H40" s="95">
        <f>VLOOKUP(C40,data!E41:J143,6,0)</f>
        <v>44560</v>
      </c>
    </row>
    <row r="41" spans="2:8" x14ac:dyDescent="0.25">
      <c r="B41" s="175" t="s">
        <v>865</v>
      </c>
      <c r="C41" s="88">
        <v>742545700</v>
      </c>
      <c r="D41" s="56" t="s">
        <v>1161</v>
      </c>
      <c r="E41" s="60">
        <v>60</v>
      </c>
      <c r="F41" s="60">
        <v>0.44</v>
      </c>
      <c r="G41" s="60">
        <v>26.4</v>
      </c>
      <c r="H41" s="95">
        <f>VLOOKUP(C41,data!E42:J144,6,0)</f>
        <v>44560</v>
      </c>
    </row>
    <row r="42" spans="2:8" x14ac:dyDescent="0.25">
      <c r="B42" s="175" t="s">
        <v>866</v>
      </c>
      <c r="C42" s="88">
        <v>742545700</v>
      </c>
      <c r="D42" s="56" t="s">
        <v>1161</v>
      </c>
      <c r="E42" s="60">
        <v>60</v>
      </c>
      <c r="F42" s="60">
        <v>0.44</v>
      </c>
      <c r="G42" s="60">
        <v>26.4</v>
      </c>
      <c r="H42" s="95">
        <f>VLOOKUP(C42,data!E43:J145,6,0)</f>
        <v>44560</v>
      </c>
    </row>
    <row r="43" spans="2:8" x14ac:dyDescent="0.25">
      <c r="B43" s="175" t="s">
        <v>867</v>
      </c>
      <c r="C43" s="88">
        <v>742546001</v>
      </c>
      <c r="D43" s="56" t="s">
        <v>830</v>
      </c>
      <c r="E43" s="60">
        <v>200</v>
      </c>
      <c r="F43" s="60">
        <v>0.59</v>
      </c>
      <c r="G43" s="60">
        <v>118</v>
      </c>
      <c r="H43" s="95">
        <f>VLOOKUP(C43,data!E44:J146,6,0)</f>
        <v>44546</v>
      </c>
    </row>
    <row r="44" spans="2:8" x14ac:dyDescent="0.25">
      <c r="B44" s="175" t="s">
        <v>868</v>
      </c>
      <c r="C44" s="88">
        <v>742546001</v>
      </c>
      <c r="D44" s="56" t="s">
        <v>830</v>
      </c>
      <c r="E44" s="60">
        <v>220</v>
      </c>
      <c r="F44" s="60">
        <v>0.59</v>
      </c>
      <c r="G44" s="60">
        <v>129.79999999999998</v>
      </c>
      <c r="H44" s="95">
        <f>VLOOKUP(C44,data!E45:J147,6,0)</f>
        <v>44546</v>
      </c>
    </row>
    <row r="45" spans="2:8" x14ac:dyDescent="0.25">
      <c r="B45" s="175" t="s">
        <v>869</v>
      </c>
      <c r="C45" s="88">
        <v>742546001</v>
      </c>
      <c r="D45" s="56" t="s">
        <v>830</v>
      </c>
      <c r="E45" s="60">
        <v>110</v>
      </c>
      <c r="F45" s="60">
        <v>0.59</v>
      </c>
      <c r="G45" s="60">
        <v>64.899999999999991</v>
      </c>
      <c r="H45" s="95">
        <f>VLOOKUP(C45,data!E46:J148,6,0)</f>
        <v>44546</v>
      </c>
    </row>
    <row r="46" spans="2:8" x14ac:dyDescent="0.25">
      <c r="B46" s="175" t="s">
        <v>870</v>
      </c>
      <c r="C46" s="88">
        <v>742546001</v>
      </c>
      <c r="D46" s="56" t="s">
        <v>830</v>
      </c>
      <c r="E46" s="60">
        <v>220</v>
      </c>
      <c r="F46" s="60">
        <v>0.59</v>
      </c>
      <c r="G46" s="60">
        <v>129.79999999999998</v>
      </c>
      <c r="H46" s="95">
        <f>VLOOKUP(C46,data!E47:J149,6,0)</f>
        <v>44546</v>
      </c>
    </row>
    <row r="47" spans="2:8" x14ac:dyDescent="0.25">
      <c r="B47" s="175" t="s">
        <v>871</v>
      </c>
      <c r="C47" s="88">
        <v>742546001</v>
      </c>
      <c r="D47" s="56" t="s">
        <v>830</v>
      </c>
      <c r="E47" s="60">
        <v>220</v>
      </c>
      <c r="F47" s="60">
        <v>0.59</v>
      </c>
      <c r="G47" s="60">
        <v>129.79999999999998</v>
      </c>
      <c r="H47" s="95">
        <f>VLOOKUP(C47,data!E48:J150,6,0)</f>
        <v>44546</v>
      </c>
    </row>
    <row r="48" spans="2:8" x14ac:dyDescent="0.25">
      <c r="B48" s="175" t="s">
        <v>872</v>
      </c>
      <c r="C48" s="88">
        <v>742546001</v>
      </c>
      <c r="D48" s="56" t="s">
        <v>830</v>
      </c>
      <c r="E48" s="60">
        <v>220</v>
      </c>
      <c r="F48" s="60">
        <v>0.59</v>
      </c>
      <c r="G48" s="60">
        <v>129.79999999999998</v>
      </c>
      <c r="H48" s="95">
        <f>VLOOKUP(C48,data!E49:J151,6,0)</f>
        <v>44546</v>
      </c>
    </row>
    <row r="49" spans="2:8" x14ac:dyDescent="0.25">
      <c r="B49" s="175" t="s">
        <v>873</v>
      </c>
      <c r="C49" s="88">
        <v>742546001</v>
      </c>
      <c r="D49" s="56" t="s">
        <v>830</v>
      </c>
      <c r="E49" s="60">
        <v>220</v>
      </c>
      <c r="F49" s="60">
        <v>0.59</v>
      </c>
      <c r="G49" s="60">
        <v>129.79999999999998</v>
      </c>
      <c r="H49" s="95">
        <f>VLOOKUP(C49,data!E50:J152,6,0)</f>
        <v>44546</v>
      </c>
    </row>
    <row r="50" spans="2:8" x14ac:dyDescent="0.25">
      <c r="B50" s="175" t="s">
        <v>874</v>
      </c>
      <c r="C50" s="88">
        <v>742546001</v>
      </c>
      <c r="D50" s="56" t="s">
        <v>830</v>
      </c>
      <c r="E50" s="60">
        <v>110</v>
      </c>
      <c r="F50" s="60">
        <v>0.59</v>
      </c>
      <c r="G50" s="60">
        <v>64.899999999999991</v>
      </c>
      <c r="H50" s="95">
        <f>VLOOKUP(C50,data!E51:J153,6,0)</f>
        <v>44546</v>
      </c>
    </row>
    <row r="51" spans="2:8" x14ac:dyDescent="0.25">
      <c r="B51" s="175" t="s">
        <v>875</v>
      </c>
      <c r="C51" s="88">
        <v>742546001</v>
      </c>
      <c r="D51" s="56" t="s">
        <v>830</v>
      </c>
      <c r="E51" s="60">
        <v>60</v>
      </c>
      <c r="F51" s="60">
        <v>0.59</v>
      </c>
      <c r="G51" s="60">
        <v>35.4</v>
      </c>
      <c r="H51" s="95">
        <f>VLOOKUP(C51,data!E52:J154,6,0)</f>
        <v>44546</v>
      </c>
    </row>
    <row r="52" spans="2:8" x14ac:dyDescent="0.25">
      <c r="B52" s="175" t="s">
        <v>876</v>
      </c>
      <c r="C52" s="88">
        <v>742546001</v>
      </c>
      <c r="D52" s="56" t="s">
        <v>830</v>
      </c>
      <c r="E52" s="60">
        <v>110</v>
      </c>
      <c r="F52" s="60">
        <v>0.59</v>
      </c>
      <c r="G52" s="60">
        <v>64.899999999999991</v>
      </c>
      <c r="H52" s="95">
        <f>VLOOKUP(C52,data!E53:J155,6,0)</f>
        <v>44546</v>
      </c>
    </row>
    <row r="53" spans="2:8" x14ac:dyDescent="0.25">
      <c r="B53" s="175" t="s">
        <v>877</v>
      </c>
      <c r="C53" s="88">
        <v>742546001</v>
      </c>
      <c r="D53" s="56" t="s">
        <v>830</v>
      </c>
      <c r="E53" s="60">
        <v>170</v>
      </c>
      <c r="F53" s="60">
        <v>0.59</v>
      </c>
      <c r="G53" s="60">
        <v>100.3</v>
      </c>
      <c r="H53" s="95">
        <f>VLOOKUP(C53,data!E54:J156,6,0)</f>
        <v>44546</v>
      </c>
    </row>
    <row r="54" spans="2:8" x14ac:dyDescent="0.25">
      <c r="B54" s="175" t="s">
        <v>878</v>
      </c>
      <c r="C54" s="88">
        <v>742546001</v>
      </c>
      <c r="D54" s="56" t="s">
        <v>830</v>
      </c>
      <c r="E54" s="60">
        <v>60</v>
      </c>
      <c r="F54" s="60">
        <v>0.59</v>
      </c>
      <c r="G54" s="60">
        <v>35.4</v>
      </c>
      <c r="H54" s="95">
        <f>VLOOKUP(C54,data!E55:J157,6,0)</f>
        <v>44546</v>
      </c>
    </row>
    <row r="55" spans="2:8" x14ac:dyDescent="0.25">
      <c r="B55" s="175" t="s">
        <v>879</v>
      </c>
      <c r="C55" s="88">
        <v>742548001</v>
      </c>
      <c r="D55" s="56" t="s">
        <v>831</v>
      </c>
      <c r="E55" s="60">
        <v>220</v>
      </c>
      <c r="F55" s="60">
        <v>0.59</v>
      </c>
      <c r="G55" s="60">
        <v>129.79999999999998</v>
      </c>
      <c r="H55" s="95">
        <f>VLOOKUP(C55,data!E56:J158,6,0)</f>
        <v>44546</v>
      </c>
    </row>
    <row r="56" spans="2:8" x14ac:dyDescent="0.25">
      <c r="B56" s="175" t="s">
        <v>880</v>
      </c>
      <c r="C56" s="88">
        <v>742548001</v>
      </c>
      <c r="D56" s="56" t="s">
        <v>831</v>
      </c>
      <c r="E56" s="60">
        <v>220</v>
      </c>
      <c r="F56" s="60">
        <v>0.59</v>
      </c>
      <c r="G56" s="60">
        <v>129.79999999999998</v>
      </c>
      <c r="H56" s="95">
        <f>VLOOKUP(C56,data!E57:J159,6,0)</f>
        <v>44546</v>
      </c>
    </row>
    <row r="57" spans="2:8" x14ac:dyDescent="0.25">
      <c r="B57" s="175" t="s">
        <v>881</v>
      </c>
      <c r="C57" s="88">
        <v>742548001</v>
      </c>
      <c r="D57" s="56" t="s">
        <v>831</v>
      </c>
      <c r="E57" s="60">
        <v>220</v>
      </c>
      <c r="F57" s="60">
        <v>0.59</v>
      </c>
      <c r="G57" s="60">
        <v>129.79999999999998</v>
      </c>
      <c r="H57" s="95">
        <f>VLOOKUP(C57,data!E58:J160,6,0)</f>
        <v>44546</v>
      </c>
    </row>
    <row r="58" spans="2:8" x14ac:dyDescent="0.25">
      <c r="B58" s="175" t="s">
        <v>882</v>
      </c>
      <c r="C58" s="88">
        <v>742548001</v>
      </c>
      <c r="D58" s="56" t="s">
        <v>831</v>
      </c>
      <c r="E58" s="60">
        <v>220</v>
      </c>
      <c r="F58" s="60">
        <v>0.59</v>
      </c>
      <c r="G58" s="60">
        <v>129.79999999999998</v>
      </c>
      <c r="H58" s="95">
        <f>VLOOKUP(C58,data!E59:J161,6,0)</f>
        <v>44553</v>
      </c>
    </row>
    <row r="59" spans="2:8" x14ac:dyDescent="0.25">
      <c r="B59" s="175" t="s">
        <v>883</v>
      </c>
      <c r="C59" s="88">
        <v>742548001</v>
      </c>
      <c r="D59" s="56" t="s">
        <v>831</v>
      </c>
      <c r="E59" s="60">
        <v>220</v>
      </c>
      <c r="F59" s="60">
        <v>0.59</v>
      </c>
      <c r="G59" s="60">
        <v>129.79999999999998</v>
      </c>
      <c r="H59" s="95">
        <f>VLOOKUP(C59,data!E60:J162,6,0)</f>
        <v>44553</v>
      </c>
    </row>
    <row r="60" spans="2:8" x14ac:dyDescent="0.25">
      <c r="B60" s="175" t="s">
        <v>884</v>
      </c>
      <c r="C60" s="88">
        <v>742548001</v>
      </c>
      <c r="D60" s="56" t="s">
        <v>831</v>
      </c>
      <c r="E60" s="60">
        <v>170</v>
      </c>
      <c r="F60" s="60">
        <v>0.59</v>
      </c>
      <c r="G60" s="60">
        <v>100.3</v>
      </c>
      <c r="H60" s="95">
        <f>VLOOKUP(C60,data!E61:J163,6,0)</f>
        <v>44546</v>
      </c>
    </row>
    <row r="61" spans="2:8" x14ac:dyDescent="0.25">
      <c r="B61" s="175" t="s">
        <v>885</v>
      </c>
      <c r="C61" s="88">
        <v>742548001</v>
      </c>
      <c r="D61" s="56" t="s">
        <v>831</v>
      </c>
      <c r="E61" s="60">
        <v>110</v>
      </c>
      <c r="F61" s="60">
        <v>0.59</v>
      </c>
      <c r="G61" s="60">
        <v>64.899999999999991</v>
      </c>
      <c r="H61" s="95">
        <f>VLOOKUP(C61,data!E62:J164,6,0)</f>
        <v>44546</v>
      </c>
    </row>
    <row r="62" spans="2:8" x14ac:dyDescent="0.25">
      <c r="B62" s="175" t="s">
        <v>886</v>
      </c>
      <c r="C62" s="88">
        <v>742548011</v>
      </c>
      <c r="D62" s="56" t="s">
        <v>832</v>
      </c>
      <c r="E62" s="60">
        <v>70</v>
      </c>
      <c r="F62" s="60">
        <v>0.59</v>
      </c>
      <c r="G62" s="60">
        <v>41.3</v>
      </c>
      <c r="H62" s="95">
        <f>VLOOKUP(C62,data!E63:J165,6,0)</f>
        <v>44560</v>
      </c>
    </row>
    <row r="63" spans="2:8" x14ac:dyDescent="0.25">
      <c r="B63" s="175" t="s">
        <v>887</v>
      </c>
      <c r="C63" s="88">
        <v>742548011</v>
      </c>
      <c r="D63" s="56" t="s">
        <v>832</v>
      </c>
      <c r="E63" s="60">
        <v>110</v>
      </c>
      <c r="F63" s="60">
        <v>0.59</v>
      </c>
      <c r="G63" s="60">
        <v>64.899999999999991</v>
      </c>
      <c r="H63" s="95">
        <f>VLOOKUP(C63,data!E64:J166,6,0)</f>
        <v>44560</v>
      </c>
    </row>
    <row r="64" spans="2:8" x14ac:dyDescent="0.25">
      <c r="B64" s="175" t="s">
        <v>888</v>
      </c>
      <c r="C64" s="88">
        <v>742548011</v>
      </c>
      <c r="D64" s="56" t="s">
        <v>832</v>
      </c>
      <c r="E64" s="60">
        <v>110</v>
      </c>
      <c r="F64" s="60">
        <v>0.59</v>
      </c>
      <c r="G64" s="60">
        <v>64.899999999999991</v>
      </c>
      <c r="H64" s="95">
        <f>VLOOKUP(C64,data!E65:J167,6,0)</f>
        <v>44560</v>
      </c>
    </row>
    <row r="65" spans="2:8" x14ac:dyDescent="0.25">
      <c r="B65" s="175" t="s">
        <v>889</v>
      </c>
      <c r="C65" s="88">
        <v>742548011</v>
      </c>
      <c r="D65" s="56" t="s">
        <v>832</v>
      </c>
      <c r="E65" s="60">
        <v>110</v>
      </c>
      <c r="F65" s="60">
        <v>0.59</v>
      </c>
      <c r="G65" s="60">
        <v>64.899999999999991</v>
      </c>
      <c r="H65" s="95">
        <f>VLOOKUP(C65,data!E66:J168,6,0)</f>
        <v>44560</v>
      </c>
    </row>
    <row r="66" spans="2:8" x14ac:dyDescent="0.25">
      <c r="B66" s="175" t="s">
        <v>890</v>
      </c>
      <c r="C66" s="88">
        <v>742548011</v>
      </c>
      <c r="D66" s="56" t="s">
        <v>832</v>
      </c>
      <c r="E66" s="60">
        <v>220</v>
      </c>
      <c r="F66" s="60">
        <v>0.59</v>
      </c>
      <c r="G66" s="60">
        <v>129.79999999999998</v>
      </c>
      <c r="H66" s="95">
        <f>VLOOKUP(C66,data!E67:J169,6,0)</f>
        <v>44560</v>
      </c>
    </row>
    <row r="67" spans="2:8" x14ac:dyDescent="0.25">
      <c r="B67" s="175" t="s">
        <v>891</v>
      </c>
      <c r="C67" s="88">
        <v>742548011</v>
      </c>
      <c r="D67" s="56" t="s">
        <v>832</v>
      </c>
      <c r="E67" s="60">
        <v>220</v>
      </c>
      <c r="F67" s="60">
        <v>0.59</v>
      </c>
      <c r="G67" s="60">
        <v>129.79999999999998</v>
      </c>
      <c r="H67" s="95">
        <f>VLOOKUP(C67,data!E68:J170,6,0)</f>
        <v>44560</v>
      </c>
    </row>
    <row r="68" spans="2:8" x14ac:dyDescent="0.25">
      <c r="B68" s="175" t="s">
        <v>892</v>
      </c>
      <c r="C68" s="88">
        <v>742548011</v>
      </c>
      <c r="D68" s="56" t="s">
        <v>832</v>
      </c>
      <c r="E68" s="60">
        <v>60</v>
      </c>
      <c r="F68" s="60">
        <v>0.59</v>
      </c>
      <c r="G68" s="60">
        <v>35.4</v>
      </c>
      <c r="H68" s="95">
        <f>VLOOKUP(C68,data!E69:J171,6,0)</f>
        <v>44560</v>
      </c>
    </row>
    <row r="69" spans="2:8" x14ac:dyDescent="0.25">
      <c r="B69" s="175" t="s">
        <v>893</v>
      </c>
      <c r="C69" s="88">
        <v>742549000</v>
      </c>
      <c r="D69" s="56" t="s">
        <v>1162</v>
      </c>
      <c r="E69" s="60">
        <v>100</v>
      </c>
      <c r="F69" s="60">
        <v>0.44</v>
      </c>
      <c r="G69" s="60">
        <v>44</v>
      </c>
      <c r="H69" s="95">
        <f>VLOOKUP(C69,data!E70:J172,6,0)</f>
        <v>44560</v>
      </c>
    </row>
    <row r="70" spans="2:8" x14ac:dyDescent="0.25">
      <c r="B70" s="175" t="s">
        <v>894</v>
      </c>
      <c r="C70" s="88" t="s">
        <v>124</v>
      </c>
      <c r="D70" s="56" t="s">
        <v>1163</v>
      </c>
      <c r="E70" s="60">
        <v>100</v>
      </c>
      <c r="F70" s="60">
        <v>0.52</v>
      </c>
      <c r="G70" s="60">
        <v>52</v>
      </c>
      <c r="H70" s="95">
        <f>VLOOKUP(C70,data!E71:J173,6,0)</f>
        <v>44581</v>
      </c>
    </row>
    <row r="71" spans="2:8" x14ac:dyDescent="0.25">
      <c r="B71" s="175" t="s">
        <v>895</v>
      </c>
      <c r="C71" s="88" t="s">
        <v>124</v>
      </c>
      <c r="D71" s="56" t="s">
        <v>1163</v>
      </c>
      <c r="E71" s="60">
        <v>100</v>
      </c>
      <c r="F71" s="60">
        <v>0.52</v>
      </c>
      <c r="G71" s="60">
        <v>52</v>
      </c>
      <c r="H71" s="95">
        <f>VLOOKUP(C71,data!E72:J174,6,0)</f>
        <v>44581</v>
      </c>
    </row>
    <row r="72" spans="2:8" x14ac:dyDescent="0.25">
      <c r="B72" s="175" t="s">
        <v>896</v>
      </c>
      <c r="C72" s="88" t="s">
        <v>126</v>
      </c>
      <c r="D72" s="56" t="s">
        <v>1164</v>
      </c>
      <c r="E72" s="60">
        <v>100</v>
      </c>
      <c r="F72" s="60">
        <v>0.52</v>
      </c>
      <c r="G72" s="60">
        <v>52</v>
      </c>
      <c r="H72" s="95">
        <f>VLOOKUP(C72,data!E73:J175,6,0)</f>
        <v>44581</v>
      </c>
    </row>
    <row r="73" spans="2:8" x14ac:dyDescent="0.25">
      <c r="B73" s="175" t="s">
        <v>897</v>
      </c>
      <c r="C73" s="88" t="s">
        <v>126</v>
      </c>
      <c r="D73" s="56" t="s">
        <v>1164</v>
      </c>
      <c r="E73" s="60">
        <v>100</v>
      </c>
      <c r="F73" s="60">
        <v>0.52</v>
      </c>
      <c r="G73" s="60">
        <v>52</v>
      </c>
      <c r="H73" s="95">
        <f>VLOOKUP(C73,data!E74:J176,6,0)</f>
        <v>44581</v>
      </c>
    </row>
    <row r="74" spans="2:8" x14ac:dyDescent="0.25">
      <c r="B74" s="175" t="s">
        <v>898</v>
      </c>
      <c r="C74" s="88" t="s">
        <v>128</v>
      </c>
      <c r="D74" s="56" t="s">
        <v>1165</v>
      </c>
      <c r="E74" s="60">
        <v>100</v>
      </c>
      <c r="F74" s="60">
        <v>0.52</v>
      </c>
      <c r="G74" s="60">
        <v>52</v>
      </c>
      <c r="H74" s="95">
        <f>VLOOKUP(C74,data!E75:J177,6,0)</f>
        <v>44581</v>
      </c>
    </row>
    <row r="75" spans="2:8" x14ac:dyDescent="0.25">
      <c r="B75" s="175" t="s">
        <v>899</v>
      </c>
      <c r="C75" s="88" t="s">
        <v>128</v>
      </c>
      <c r="D75" s="56" t="s">
        <v>1165</v>
      </c>
      <c r="E75" s="60">
        <v>100</v>
      </c>
      <c r="F75" s="60">
        <v>0.52</v>
      </c>
      <c r="G75" s="60">
        <v>52</v>
      </c>
      <c r="H75" s="95">
        <f>VLOOKUP(C75,data!E76:J178,6,0)</f>
        <v>44581</v>
      </c>
    </row>
    <row r="76" spans="2:8" x14ac:dyDescent="0.25">
      <c r="B76" s="175" t="s">
        <v>900</v>
      </c>
      <c r="C76" s="88" t="s">
        <v>802</v>
      </c>
      <c r="D76" s="56" t="s">
        <v>802</v>
      </c>
      <c r="E76" s="60">
        <v>210</v>
      </c>
      <c r="F76" s="60">
        <v>0.28710000000000002</v>
      </c>
      <c r="G76" s="60">
        <v>60.291000000000004</v>
      </c>
      <c r="H76" s="95">
        <f>VLOOKUP(C76,data!E77:J179,6,0)</f>
        <v>44581</v>
      </c>
    </row>
    <row r="77" spans="2:8" x14ac:dyDescent="0.25">
      <c r="B77" s="175" t="s">
        <v>901</v>
      </c>
      <c r="C77" s="88" t="s">
        <v>802</v>
      </c>
      <c r="D77" s="56" t="s">
        <v>802</v>
      </c>
      <c r="E77" s="60">
        <v>110</v>
      </c>
      <c r="F77" s="60">
        <v>0.28710000000000002</v>
      </c>
      <c r="G77" s="60">
        <v>31.581000000000003</v>
      </c>
      <c r="H77" s="95">
        <f>VLOOKUP(C77,data!E78:J180,6,0)</f>
        <v>44581</v>
      </c>
    </row>
    <row r="78" spans="2:8" x14ac:dyDescent="0.25">
      <c r="B78" s="175" t="s">
        <v>902</v>
      </c>
      <c r="C78" s="88" t="s">
        <v>802</v>
      </c>
      <c r="D78" s="56" t="s">
        <v>802</v>
      </c>
      <c r="E78" s="60">
        <v>60</v>
      </c>
      <c r="F78" s="60">
        <v>0.28710000000000002</v>
      </c>
      <c r="G78" s="60">
        <v>17.226000000000003</v>
      </c>
      <c r="H78" s="95">
        <f>VLOOKUP(C78,data!E79:J181,6,0)</f>
        <v>44581</v>
      </c>
    </row>
    <row r="79" spans="2:8" x14ac:dyDescent="0.25">
      <c r="B79" s="175" t="s">
        <v>903</v>
      </c>
      <c r="C79" s="88" t="s">
        <v>1109</v>
      </c>
      <c r="D79" s="56" t="s">
        <v>1166</v>
      </c>
      <c r="E79" s="60">
        <v>110</v>
      </c>
      <c r="F79" s="60">
        <v>0.28710000000000002</v>
      </c>
      <c r="G79" s="60">
        <v>31.581000000000003</v>
      </c>
      <c r="H79" s="95">
        <f>VLOOKUP(C79,data!E80:J182,6,0)</f>
        <v>44560</v>
      </c>
    </row>
    <row r="80" spans="2:8" x14ac:dyDescent="0.25">
      <c r="B80" s="175" t="s">
        <v>904</v>
      </c>
      <c r="C80" s="88" t="s">
        <v>1109</v>
      </c>
      <c r="D80" s="56" t="s">
        <v>1166</v>
      </c>
      <c r="E80" s="60">
        <v>110</v>
      </c>
      <c r="F80" s="60">
        <v>0.28710000000000002</v>
      </c>
      <c r="G80" s="60">
        <v>31.581000000000003</v>
      </c>
      <c r="H80" s="95">
        <f>VLOOKUP(C80,data!E81:J183,6,0)</f>
        <v>44560</v>
      </c>
    </row>
    <row r="81" spans="2:8" x14ac:dyDescent="0.25">
      <c r="B81" s="175" t="s">
        <v>905</v>
      </c>
      <c r="C81" s="88" t="s">
        <v>801</v>
      </c>
      <c r="D81" s="56" t="s">
        <v>833</v>
      </c>
      <c r="E81" s="60">
        <v>210</v>
      </c>
      <c r="F81" s="60">
        <v>0.28710000000000002</v>
      </c>
      <c r="G81" s="60">
        <v>60.291000000000004</v>
      </c>
      <c r="H81" s="95">
        <f>VLOOKUP(C81,data!E82:J184,6,0)</f>
        <v>44581</v>
      </c>
    </row>
    <row r="82" spans="2:8" x14ac:dyDescent="0.25">
      <c r="B82" s="175" t="s">
        <v>906</v>
      </c>
      <c r="C82" s="88" t="s">
        <v>801</v>
      </c>
      <c r="D82" s="56" t="s">
        <v>833</v>
      </c>
      <c r="E82" s="60">
        <v>110</v>
      </c>
      <c r="F82" s="60">
        <v>0.28710000000000002</v>
      </c>
      <c r="G82" s="60">
        <v>31.581000000000003</v>
      </c>
      <c r="H82" s="95">
        <f>VLOOKUP(C82,data!E83:J185,6,0)</f>
        <v>44581</v>
      </c>
    </row>
    <row r="83" spans="2:8" x14ac:dyDescent="0.25">
      <c r="B83" s="175" t="s">
        <v>907</v>
      </c>
      <c r="C83" s="88" t="s">
        <v>1110</v>
      </c>
      <c r="D83" s="56" t="s">
        <v>1167</v>
      </c>
      <c r="E83" s="60">
        <v>330</v>
      </c>
      <c r="F83" s="60">
        <v>0.28710000000000002</v>
      </c>
      <c r="G83" s="60">
        <v>94.743000000000009</v>
      </c>
      <c r="H83" s="95">
        <f>VLOOKUP(C83,data!E84:J186,6,0)</f>
        <v>44560</v>
      </c>
    </row>
    <row r="84" spans="2:8" x14ac:dyDescent="0.25">
      <c r="B84" s="175" t="s">
        <v>908</v>
      </c>
      <c r="C84" s="88" t="s">
        <v>1110</v>
      </c>
      <c r="D84" s="56" t="s">
        <v>1167</v>
      </c>
      <c r="E84" s="60">
        <v>220</v>
      </c>
      <c r="F84" s="60">
        <v>0.28710000000000002</v>
      </c>
      <c r="G84" s="60">
        <v>63.162000000000006</v>
      </c>
      <c r="H84" s="95">
        <f>VLOOKUP(C84,data!E85:J187,6,0)</f>
        <v>44560</v>
      </c>
    </row>
    <row r="85" spans="2:8" x14ac:dyDescent="0.25">
      <c r="B85" s="175" t="s">
        <v>909</v>
      </c>
      <c r="C85" s="88" t="s">
        <v>1111</v>
      </c>
      <c r="D85" s="56" t="s">
        <v>1168</v>
      </c>
      <c r="E85" s="60">
        <v>330</v>
      </c>
      <c r="F85" s="60">
        <v>0.28710000000000002</v>
      </c>
      <c r="G85" s="60">
        <v>94.743000000000009</v>
      </c>
      <c r="H85" s="95">
        <f>VLOOKUP(C85,data!E86:J188,6,0)</f>
        <v>44560</v>
      </c>
    </row>
    <row r="86" spans="2:8" x14ac:dyDescent="0.25">
      <c r="B86" s="175" t="s">
        <v>910</v>
      </c>
      <c r="C86" s="88" t="s">
        <v>1111</v>
      </c>
      <c r="D86" s="56" t="s">
        <v>1168</v>
      </c>
      <c r="E86" s="60">
        <v>220</v>
      </c>
      <c r="F86" s="60">
        <v>0.28710000000000002</v>
      </c>
      <c r="G86" s="60">
        <v>63.162000000000006</v>
      </c>
      <c r="H86" s="95">
        <f>VLOOKUP(C86,data!E87:J189,6,0)</f>
        <v>44560</v>
      </c>
    </row>
    <row r="87" spans="2:8" x14ac:dyDescent="0.25">
      <c r="B87" s="175" t="s">
        <v>911</v>
      </c>
      <c r="C87" s="88" t="s">
        <v>1111</v>
      </c>
      <c r="D87" s="56" t="s">
        <v>1168</v>
      </c>
      <c r="E87" s="60">
        <v>220</v>
      </c>
      <c r="F87" s="60">
        <v>0.28710000000000002</v>
      </c>
      <c r="G87" s="60">
        <v>63.162000000000006</v>
      </c>
      <c r="H87" s="95">
        <f>VLOOKUP(C87,data!E88:J190,6,0)</f>
        <v>44560</v>
      </c>
    </row>
    <row r="88" spans="2:8" x14ac:dyDescent="0.25">
      <c r="B88" s="175" t="s">
        <v>912</v>
      </c>
      <c r="C88" s="88" t="s">
        <v>1112</v>
      </c>
      <c r="D88" s="56" t="s">
        <v>1169</v>
      </c>
      <c r="E88" s="60">
        <v>220</v>
      </c>
      <c r="F88" s="60">
        <v>0.28710000000000002</v>
      </c>
      <c r="G88" s="60">
        <v>63.162000000000006</v>
      </c>
      <c r="H88" s="95">
        <f>VLOOKUP(C88,data!E89:J191,6,0)</f>
        <v>44560</v>
      </c>
    </row>
    <row r="89" spans="2:8" x14ac:dyDescent="0.25">
      <c r="B89" s="175" t="s">
        <v>913</v>
      </c>
      <c r="C89" s="88" t="s">
        <v>1113</v>
      </c>
      <c r="D89" s="56" t="s">
        <v>1170</v>
      </c>
      <c r="E89" s="60">
        <v>220</v>
      </c>
      <c r="F89" s="60">
        <v>0.28710000000000002</v>
      </c>
      <c r="G89" s="60">
        <v>63.162000000000006</v>
      </c>
      <c r="H89" s="95">
        <f>VLOOKUP(C89,data!E90:J192,6,0)</f>
        <v>44560</v>
      </c>
    </row>
    <row r="90" spans="2:8" x14ac:dyDescent="0.25">
      <c r="B90" s="175" t="s">
        <v>914</v>
      </c>
      <c r="C90" s="88" t="s">
        <v>636</v>
      </c>
      <c r="D90" s="56" t="s">
        <v>649</v>
      </c>
      <c r="E90" s="60">
        <v>60</v>
      </c>
      <c r="F90" s="60">
        <v>0.28710000000000002</v>
      </c>
      <c r="G90" s="60">
        <v>17.226000000000003</v>
      </c>
      <c r="H90" s="95">
        <f>VLOOKUP(C90,data!E91:J193,6,0)</f>
        <v>44560</v>
      </c>
    </row>
    <row r="91" spans="2:8" x14ac:dyDescent="0.25">
      <c r="B91" s="175" t="s">
        <v>915</v>
      </c>
      <c r="C91" s="88" t="s">
        <v>636</v>
      </c>
      <c r="D91" s="56" t="s">
        <v>649</v>
      </c>
      <c r="E91" s="60">
        <v>60</v>
      </c>
      <c r="F91" s="60">
        <v>0.28710000000000002</v>
      </c>
      <c r="G91" s="60">
        <v>17.226000000000003</v>
      </c>
      <c r="H91" s="95">
        <f>VLOOKUP(C91,data!E92:J194,6,0)</f>
        <v>44560</v>
      </c>
    </row>
    <row r="92" spans="2:8" x14ac:dyDescent="0.25">
      <c r="B92" s="175" t="s">
        <v>916</v>
      </c>
      <c r="C92" s="88" t="s">
        <v>636</v>
      </c>
      <c r="D92" s="56" t="s">
        <v>649</v>
      </c>
      <c r="E92" s="60">
        <v>60</v>
      </c>
      <c r="F92" s="60">
        <v>0.28710000000000002</v>
      </c>
      <c r="G92" s="60">
        <v>17.226000000000003</v>
      </c>
      <c r="H92" s="95">
        <f>VLOOKUP(C92,data!E93:J195,6,0)</f>
        <v>44560</v>
      </c>
    </row>
    <row r="93" spans="2:8" x14ac:dyDescent="0.25">
      <c r="B93" s="175" t="s">
        <v>917</v>
      </c>
      <c r="C93" s="88" t="s">
        <v>637</v>
      </c>
      <c r="D93" s="56" t="s">
        <v>650</v>
      </c>
      <c r="E93" s="60">
        <v>60</v>
      </c>
      <c r="F93" s="60">
        <v>0.28710000000000002</v>
      </c>
      <c r="G93" s="60">
        <v>17.226000000000003</v>
      </c>
      <c r="H93" s="95">
        <f>VLOOKUP(C93,data!E94:J196,6,0)</f>
        <v>44560</v>
      </c>
    </row>
    <row r="94" spans="2:8" x14ac:dyDescent="0.25">
      <c r="B94" s="175" t="s">
        <v>918</v>
      </c>
      <c r="C94" s="88" t="s">
        <v>638</v>
      </c>
      <c r="D94" s="56" t="s">
        <v>651</v>
      </c>
      <c r="E94" s="60">
        <v>110</v>
      </c>
      <c r="F94" s="60">
        <v>0.28710000000000002</v>
      </c>
      <c r="G94" s="60">
        <v>31.581000000000003</v>
      </c>
      <c r="H94" s="95">
        <f>VLOOKUP(C94,data!E95:J197,6,0)</f>
        <v>44560</v>
      </c>
    </row>
    <row r="95" spans="2:8" x14ac:dyDescent="0.25">
      <c r="B95" s="175" t="s">
        <v>919</v>
      </c>
      <c r="C95" s="88" t="s">
        <v>639</v>
      </c>
      <c r="D95" s="56" t="s">
        <v>652</v>
      </c>
      <c r="E95" s="60">
        <v>60</v>
      </c>
      <c r="F95" s="60">
        <v>0.28710000000000002</v>
      </c>
      <c r="G95" s="60">
        <v>17.226000000000003</v>
      </c>
      <c r="H95" s="95">
        <f>VLOOKUP(C95,data!E96:J198,6,0)</f>
        <v>44560</v>
      </c>
    </row>
    <row r="96" spans="2:8" x14ac:dyDescent="0.25">
      <c r="B96" s="175" t="s">
        <v>920</v>
      </c>
      <c r="C96" s="88" t="s">
        <v>728</v>
      </c>
      <c r="D96" s="56" t="s">
        <v>729</v>
      </c>
      <c r="E96" s="60">
        <v>110</v>
      </c>
      <c r="F96" s="60">
        <v>0.28710000000000002</v>
      </c>
      <c r="G96" s="60">
        <v>31.581000000000003</v>
      </c>
      <c r="H96" s="95">
        <f>VLOOKUP(C96,data!E97:J199,6,0)</f>
        <v>44549</v>
      </c>
    </row>
    <row r="97" spans="2:8" x14ac:dyDescent="0.25">
      <c r="B97" s="175" t="s">
        <v>921</v>
      </c>
      <c r="C97" s="88" t="s">
        <v>728</v>
      </c>
      <c r="D97" s="56" t="s">
        <v>729</v>
      </c>
      <c r="E97" s="60">
        <v>110</v>
      </c>
      <c r="F97" s="60">
        <v>0.28710000000000002</v>
      </c>
      <c r="G97" s="60">
        <v>31.581000000000003</v>
      </c>
      <c r="H97" s="95">
        <f>VLOOKUP(C97,data!E98:J200,6,0)</f>
        <v>44549</v>
      </c>
    </row>
    <row r="98" spans="2:8" x14ac:dyDescent="0.25">
      <c r="B98" s="175" t="s">
        <v>922</v>
      </c>
      <c r="C98" s="88" t="s">
        <v>1114</v>
      </c>
      <c r="D98" s="56" t="s">
        <v>1171</v>
      </c>
      <c r="E98" s="60">
        <v>60</v>
      </c>
      <c r="F98" s="60">
        <v>0.2475</v>
      </c>
      <c r="G98" s="60">
        <v>14.85</v>
      </c>
      <c r="H98" s="95">
        <f>VLOOKUP(C98,data!E99:J201,6,0)</f>
        <v>44546</v>
      </c>
    </row>
    <row r="99" spans="2:8" x14ac:dyDescent="0.25">
      <c r="B99" s="175" t="s">
        <v>923</v>
      </c>
      <c r="C99" s="88" t="s">
        <v>1114</v>
      </c>
      <c r="D99" s="56" t="s">
        <v>1171</v>
      </c>
      <c r="E99" s="60">
        <v>110</v>
      </c>
      <c r="F99" s="60">
        <v>0.2475</v>
      </c>
      <c r="G99" s="60">
        <v>27.225000000000001</v>
      </c>
      <c r="H99" s="95">
        <f>VLOOKUP(C99,data!E100:J202,6,0)</f>
        <v>44549</v>
      </c>
    </row>
    <row r="100" spans="2:8" x14ac:dyDescent="0.25">
      <c r="B100" s="175" t="s">
        <v>924</v>
      </c>
      <c r="C100" s="88" t="s">
        <v>483</v>
      </c>
      <c r="D100" s="56" t="s">
        <v>565</v>
      </c>
      <c r="E100" s="60">
        <v>50</v>
      </c>
      <c r="F100" s="60">
        <v>0.2475</v>
      </c>
      <c r="G100" s="60">
        <v>12.375</v>
      </c>
      <c r="H100" s="95">
        <f>VLOOKUP(C100,data!E101:J203,6,0)</f>
        <v>44546</v>
      </c>
    </row>
    <row r="101" spans="2:8" x14ac:dyDescent="0.25">
      <c r="B101" s="175" t="s">
        <v>925</v>
      </c>
      <c r="C101" s="88" t="s">
        <v>483</v>
      </c>
      <c r="D101" s="56" t="s">
        <v>565</v>
      </c>
      <c r="E101" s="60">
        <v>60</v>
      </c>
      <c r="F101" s="60">
        <v>0.2475</v>
      </c>
      <c r="G101" s="60">
        <v>14.85</v>
      </c>
      <c r="H101" s="95">
        <f>VLOOKUP(C101,data!E102:J204,6,0)</f>
        <v>44560</v>
      </c>
    </row>
    <row r="102" spans="2:8" x14ac:dyDescent="0.25">
      <c r="B102" s="175" t="s">
        <v>926</v>
      </c>
      <c r="C102" s="88" t="s">
        <v>483</v>
      </c>
      <c r="D102" s="56" t="s">
        <v>565</v>
      </c>
      <c r="E102" s="60">
        <v>60</v>
      </c>
      <c r="F102" s="60">
        <v>0.2475</v>
      </c>
      <c r="G102" s="60">
        <v>14.85</v>
      </c>
      <c r="H102" s="95">
        <f>VLOOKUP(C102,data!E103:J205,6,0)</f>
        <v>44560</v>
      </c>
    </row>
    <row r="103" spans="2:8" x14ac:dyDescent="0.25">
      <c r="B103" s="175" t="s">
        <v>927</v>
      </c>
      <c r="C103" s="88" t="s">
        <v>483</v>
      </c>
      <c r="D103" s="56" t="s">
        <v>565</v>
      </c>
      <c r="E103" s="60">
        <v>60</v>
      </c>
      <c r="F103" s="60">
        <v>0.2475</v>
      </c>
      <c r="G103" s="60">
        <v>14.85</v>
      </c>
      <c r="H103" s="95">
        <f>VLOOKUP(C103,data!E104:J206,6,0)</f>
        <v>44560</v>
      </c>
    </row>
    <row r="104" spans="2:8" x14ac:dyDescent="0.25">
      <c r="B104" s="175" t="s">
        <v>928</v>
      </c>
      <c r="C104" s="88" t="s">
        <v>483</v>
      </c>
      <c r="D104" s="56" t="s">
        <v>565</v>
      </c>
      <c r="E104" s="60">
        <v>110</v>
      </c>
      <c r="F104" s="60">
        <v>0.2475</v>
      </c>
      <c r="G104" s="60">
        <v>27.225000000000001</v>
      </c>
      <c r="H104" s="95">
        <f>VLOOKUP(C104,data!E105:J207,6,0)</f>
        <v>44549</v>
      </c>
    </row>
    <row r="105" spans="2:8" x14ac:dyDescent="0.25">
      <c r="B105" s="175" t="s">
        <v>929</v>
      </c>
      <c r="C105" s="88" t="s">
        <v>483</v>
      </c>
      <c r="D105" s="56" t="s">
        <v>565</v>
      </c>
      <c r="E105" s="60">
        <v>110</v>
      </c>
      <c r="F105" s="60">
        <v>0.2475</v>
      </c>
      <c r="G105" s="60">
        <v>27.225000000000001</v>
      </c>
      <c r="H105" s="95">
        <f>VLOOKUP(C105,data!E106:J208,6,0)</f>
        <v>44549</v>
      </c>
    </row>
    <row r="106" spans="2:8" x14ac:dyDescent="0.25">
      <c r="B106" s="175" t="s">
        <v>930</v>
      </c>
      <c r="C106" s="88" t="s">
        <v>483</v>
      </c>
      <c r="D106" s="56" t="s">
        <v>565</v>
      </c>
      <c r="E106" s="60">
        <v>110</v>
      </c>
      <c r="F106" s="60">
        <v>0.2475</v>
      </c>
      <c r="G106" s="60">
        <v>27.225000000000001</v>
      </c>
      <c r="H106" s="95">
        <f>VLOOKUP(C106,data!E107:J209,6,0)</f>
        <v>44549</v>
      </c>
    </row>
    <row r="107" spans="2:8" x14ac:dyDescent="0.25">
      <c r="B107" s="175" t="s">
        <v>931</v>
      </c>
      <c r="C107" s="88" t="s">
        <v>483</v>
      </c>
      <c r="D107" s="56" t="s">
        <v>565</v>
      </c>
      <c r="E107" s="60">
        <v>110</v>
      </c>
      <c r="F107" s="60">
        <v>0.2475</v>
      </c>
      <c r="G107" s="60">
        <v>27.225000000000001</v>
      </c>
      <c r="H107" s="95">
        <f>VLOOKUP(C107,data!E108:J210,6,0)</f>
        <v>44549</v>
      </c>
    </row>
    <row r="108" spans="2:8" x14ac:dyDescent="0.25">
      <c r="B108" s="175" t="s">
        <v>932</v>
      </c>
      <c r="C108" s="88" t="s">
        <v>1115</v>
      </c>
      <c r="D108" s="56" t="s">
        <v>1172</v>
      </c>
      <c r="E108" s="60">
        <v>60</v>
      </c>
      <c r="F108" s="60">
        <v>0.2475</v>
      </c>
      <c r="G108" s="60">
        <v>14.85</v>
      </c>
      <c r="H108" s="95">
        <f>VLOOKUP(C108,data!E109:J211,6,0)</f>
        <v>44546</v>
      </c>
    </row>
    <row r="109" spans="2:8" x14ac:dyDescent="0.25">
      <c r="B109" s="175" t="s">
        <v>933</v>
      </c>
      <c r="C109" s="88" t="s">
        <v>1115</v>
      </c>
      <c r="D109" s="56" t="s">
        <v>1172</v>
      </c>
      <c r="E109" s="60">
        <v>90</v>
      </c>
      <c r="F109" s="60">
        <v>0.2475</v>
      </c>
      <c r="G109" s="60">
        <v>22.274999999999999</v>
      </c>
      <c r="H109" s="95">
        <f>VLOOKUP(C109,data!E110:J212,6,0)</f>
        <v>44560</v>
      </c>
    </row>
    <row r="110" spans="2:8" x14ac:dyDescent="0.25">
      <c r="B110" s="175" t="s">
        <v>934</v>
      </c>
      <c r="C110" s="88" t="s">
        <v>1115</v>
      </c>
      <c r="D110" s="56" t="s">
        <v>1172</v>
      </c>
      <c r="E110" s="60">
        <v>110</v>
      </c>
      <c r="F110" s="60">
        <v>0.2475</v>
      </c>
      <c r="G110" s="60">
        <v>27.225000000000001</v>
      </c>
      <c r="H110" s="95">
        <f>VLOOKUP(C110,data!E111:J213,6,0)</f>
        <v>44560</v>
      </c>
    </row>
    <row r="111" spans="2:8" x14ac:dyDescent="0.25">
      <c r="B111" s="175" t="s">
        <v>935</v>
      </c>
      <c r="C111" s="88" t="s">
        <v>1115</v>
      </c>
      <c r="D111" s="56" t="s">
        <v>1172</v>
      </c>
      <c r="E111" s="60">
        <v>110</v>
      </c>
      <c r="F111" s="60">
        <v>0.2475</v>
      </c>
      <c r="G111" s="60">
        <v>27.225000000000001</v>
      </c>
      <c r="H111" s="95">
        <f>VLOOKUP(C111,data!E112:J214,6,0)</f>
        <v>44549</v>
      </c>
    </row>
    <row r="112" spans="2:8" x14ac:dyDescent="0.25">
      <c r="B112" s="175" t="s">
        <v>936</v>
      </c>
      <c r="C112" s="88" t="s">
        <v>1116</v>
      </c>
      <c r="D112" s="56" t="s">
        <v>1173</v>
      </c>
      <c r="E112" s="60">
        <v>60</v>
      </c>
      <c r="F112" s="60">
        <v>0.2475</v>
      </c>
      <c r="G112" s="60">
        <v>14.85</v>
      </c>
      <c r="H112" s="95">
        <f>VLOOKUP(C112,data!E113:J215,6,0)</f>
        <v>44560</v>
      </c>
    </row>
    <row r="113" spans="2:8" x14ac:dyDescent="0.25">
      <c r="B113" s="175" t="s">
        <v>937</v>
      </c>
      <c r="C113" s="88" t="s">
        <v>1117</v>
      </c>
      <c r="D113" s="56" t="s">
        <v>1174</v>
      </c>
      <c r="E113" s="60">
        <v>20</v>
      </c>
      <c r="F113" s="60">
        <v>0.2475</v>
      </c>
      <c r="G113" s="60">
        <v>4.95</v>
      </c>
      <c r="H113" s="95">
        <f>VLOOKUP(C113,data!E114:J216,6,0)</f>
        <v>44560</v>
      </c>
    </row>
    <row r="114" spans="2:8" x14ac:dyDescent="0.25">
      <c r="B114" s="175" t="s">
        <v>938</v>
      </c>
      <c r="C114" s="88" t="s">
        <v>1117</v>
      </c>
      <c r="D114" s="56" t="s">
        <v>1174</v>
      </c>
      <c r="E114" s="60">
        <v>60</v>
      </c>
      <c r="F114" s="60">
        <v>0.2475</v>
      </c>
      <c r="G114" s="60">
        <v>14.85</v>
      </c>
      <c r="H114" s="95">
        <f>VLOOKUP(C114,data!E115:J217,6,0)</f>
        <v>44560</v>
      </c>
    </row>
    <row r="115" spans="2:8" x14ac:dyDescent="0.25">
      <c r="B115" s="175" t="s">
        <v>939</v>
      </c>
      <c r="C115" s="88" t="s">
        <v>492</v>
      </c>
      <c r="D115" s="56" t="s">
        <v>574</v>
      </c>
      <c r="E115" s="60">
        <v>60</v>
      </c>
      <c r="F115" s="60">
        <v>0.2475</v>
      </c>
      <c r="G115" s="60">
        <v>14.85</v>
      </c>
      <c r="H115" s="95">
        <f>VLOOKUP(C115,data!E116:J218,6,0)</f>
        <v>44546</v>
      </c>
    </row>
    <row r="116" spans="2:8" x14ac:dyDescent="0.25">
      <c r="B116" s="175" t="s">
        <v>940</v>
      </c>
      <c r="C116" s="88" t="s">
        <v>492</v>
      </c>
      <c r="D116" s="56" t="s">
        <v>574</v>
      </c>
      <c r="E116" s="60">
        <v>60</v>
      </c>
      <c r="F116" s="60">
        <v>0.2475</v>
      </c>
      <c r="G116" s="60">
        <v>14.85</v>
      </c>
      <c r="H116" s="95">
        <f>VLOOKUP(C116,data!E117:J219,6,0)</f>
        <v>44546</v>
      </c>
    </row>
    <row r="117" spans="2:8" x14ac:dyDescent="0.25">
      <c r="B117" s="175" t="s">
        <v>941</v>
      </c>
      <c r="C117" s="88" t="s">
        <v>492</v>
      </c>
      <c r="D117" s="56" t="s">
        <v>574</v>
      </c>
      <c r="E117" s="60">
        <v>60</v>
      </c>
      <c r="F117" s="60">
        <v>0.2475</v>
      </c>
      <c r="G117" s="60">
        <v>14.85</v>
      </c>
      <c r="H117" s="95">
        <f>VLOOKUP(C117,data!E118:J220,6,0)</f>
        <v>44546</v>
      </c>
    </row>
    <row r="118" spans="2:8" x14ac:dyDescent="0.25">
      <c r="B118" s="175" t="s">
        <v>942</v>
      </c>
      <c r="C118" s="88" t="s">
        <v>493</v>
      </c>
      <c r="D118" s="56" t="s">
        <v>575</v>
      </c>
      <c r="E118" s="60">
        <v>40</v>
      </c>
      <c r="F118" s="60">
        <v>0.2475</v>
      </c>
      <c r="G118" s="60">
        <v>9.9</v>
      </c>
      <c r="H118" s="95">
        <f>VLOOKUP(C118,data!E119:J221,6,0)</f>
        <v>44546</v>
      </c>
    </row>
    <row r="119" spans="2:8" x14ac:dyDescent="0.25">
      <c r="B119" s="175" t="s">
        <v>943</v>
      </c>
      <c r="C119" s="88" t="s">
        <v>1118</v>
      </c>
      <c r="D119" s="56" t="s">
        <v>1175</v>
      </c>
      <c r="E119" s="60">
        <v>110</v>
      </c>
      <c r="F119" s="60">
        <v>0.2475</v>
      </c>
      <c r="G119" s="60">
        <v>27.225000000000001</v>
      </c>
      <c r="H119" s="95">
        <f>VLOOKUP(C119,data!E120:J222,6,0)</f>
        <v>44560</v>
      </c>
    </row>
    <row r="120" spans="2:8" x14ac:dyDescent="0.25">
      <c r="B120" s="175" t="s">
        <v>944</v>
      </c>
      <c r="C120" s="88" t="s">
        <v>803</v>
      </c>
      <c r="D120" s="56" t="s">
        <v>834</v>
      </c>
      <c r="E120" s="60">
        <v>100</v>
      </c>
      <c r="F120" s="60">
        <v>0.2475</v>
      </c>
      <c r="G120" s="60">
        <v>24.75</v>
      </c>
      <c r="H120" s="95">
        <f>VLOOKUP(C120,data!E121:J223,6,0)</f>
        <v>44560</v>
      </c>
    </row>
    <row r="121" spans="2:8" x14ac:dyDescent="0.25">
      <c r="B121" s="175" t="s">
        <v>939</v>
      </c>
      <c r="C121" s="88" t="s">
        <v>495</v>
      </c>
      <c r="D121" s="56" t="s">
        <v>577</v>
      </c>
      <c r="E121" s="60">
        <v>60</v>
      </c>
      <c r="F121" s="60">
        <v>0.59</v>
      </c>
      <c r="G121" s="60">
        <v>35.4</v>
      </c>
      <c r="H121" s="95">
        <f>VLOOKUP(C121,data!E122:J224,6,0)</f>
        <v>44546</v>
      </c>
    </row>
    <row r="122" spans="2:8" x14ac:dyDescent="0.25">
      <c r="B122" s="175" t="s">
        <v>940</v>
      </c>
      <c r="C122" s="88" t="s">
        <v>495</v>
      </c>
      <c r="D122" s="56" t="s">
        <v>577</v>
      </c>
      <c r="E122" s="60">
        <v>60</v>
      </c>
      <c r="F122" s="60">
        <v>0.59</v>
      </c>
      <c r="G122" s="60">
        <v>35.4</v>
      </c>
      <c r="H122" s="95">
        <f>VLOOKUP(C122,data!E123:J225,6,0)</f>
        <v>44546</v>
      </c>
    </row>
    <row r="123" spans="2:8" x14ac:dyDescent="0.25">
      <c r="B123" s="175" t="s">
        <v>942</v>
      </c>
      <c r="C123" s="88" t="s">
        <v>495</v>
      </c>
      <c r="D123" s="56" t="s">
        <v>577</v>
      </c>
      <c r="E123" s="60">
        <v>60</v>
      </c>
      <c r="F123" s="60">
        <v>0.59</v>
      </c>
      <c r="G123" s="60">
        <v>35.4</v>
      </c>
      <c r="H123" s="95">
        <f>VLOOKUP(C123,data!E124:J226,6,0)</f>
        <v>44546</v>
      </c>
    </row>
    <row r="124" spans="2:8" x14ac:dyDescent="0.25">
      <c r="B124" s="175" t="s">
        <v>941</v>
      </c>
      <c r="C124" s="88" t="s">
        <v>495</v>
      </c>
      <c r="D124" s="56" t="s">
        <v>577</v>
      </c>
      <c r="E124" s="60">
        <v>60</v>
      </c>
      <c r="F124" s="60">
        <v>0.59</v>
      </c>
      <c r="G124" s="60">
        <v>35.4</v>
      </c>
      <c r="H124" s="95">
        <f>VLOOKUP(C124,data!E125:J227,6,0)</f>
        <v>44546</v>
      </c>
    </row>
    <row r="125" spans="2:8" x14ac:dyDescent="0.25">
      <c r="B125" s="175" t="s">
        <v>945</v>
      </c>
      <c r="C125" s="88" t="s">
        <v>772</v>
      </c>
      <c r="D125" s="56" t="s">
        <v>773</v>
      </c>
      <c r="E125" s="60">
        <v>60</v>
      </c>
      <c r="F125" s="60">
        <v>2.5249999999999999</v>
      </c>
      <c r="G125" s="60">
        <v>151.5</v>
      </c>
      <c r="H125" s="95">
        <f>VLOOKUP(C125,data!E126:J228,6,0)</f>
        <v>44546</v>
      </c>
    </row>
    <row r="126" spans="2:8" x14ac:dyDescent="0.25">
      <c r="B126" s="175" t="s">
        <v>946</v>
      </c>
      <c r="C126" s="88" t="s">
        <v>772</v>
      </c>
      <c r="D126" s="56" t="s">
        <v>773</v>
      </c>
      <c r="E126" s="60">
        <v>70</v>
      </c>
      <c r="F126" s="60">
        <v>2.5249999999999999</v>
      </c>
      <c r="G126" s="60">
        <v>176.75</v>
      </c>
      <c r="H126" s="95">
        <f>VLOOKUP(C126,data!E127:J228,6,0)</f>
        <v>44546</v>
      </c>
    </row>
    <row r="127" spans="2:8" x14ac:dyDescent="0.25">
      <c r="B127" s="175" t="s">
        <v>947</v>
      </c>
      <c r="C127" s="88" t="s">
        <v>498</v>
      </c>
      <c r="D127" s="56" t="s">
        <v>580</v>
      </c>
      <c r="E127" s="60">
        <v>60</v>
      </c>
      <c r="F127" s="60">
        <v>1.0669999999999999</v>
      </c>
      <c r="G127" s="60">
        <v>64.02</v>
      </c>
      <c r="H127" s="95">
        <f>VLOOKUP(C127,data!E128:J228,6,0)</f>
        <v>44560</v>
      </c>
    </row>
    <row r="128" spans="2:8" x14ac:dyDescent="0.25">
      <c r="B128" s="175" t="s">
        <v>948</v>
      </c>
      <c r="C128" s="88" t="s">
        <v>500</v>
      </c>
      <c r="D128" s="56" t="s">
        <v>582</v>
      </c>
      <c r="E128" s="60">
        <v>60</v>
      </c>
      <c r="F128" s="60">
        <v>1.0669999999999999</v>
      </c>
      <c r="G128" s="60">
        <v>64.02</v>
      </c>
      <c r="H128" s="95">
        <f>VLOOKUP(C128,data!E129:J228,6,0)</f>
        <v>44560</v>
      </c>
    </row>
    <row r="129" spans="2:8" x14ac:dyDescent="0.25">
      <c r="B129" s="175" t="s">
        <v>939</v>
      </c>
      <c r="C129" s="88" t="s">
        <v>507</v>
      </c>
      <c r="D129" s="56" t="s">
        <v>589</v>
      </c>
      <c r="E129" s="60">
        <v>60</v>
      </c>
      <c r="F129" s="60">
        <v>0.42</v>
      </c>
      <c r="G129" s="60">
        <v>25.2</v>
      </c>
      <c r="H129" s="95">
        <f>VLOOKUP(C129,data!E130:J228,6,0)</f>
        <v>44546</v>
      </c>
    </row>
    <row r="130" spans="2:8" x14ac:dyDescent="0.25">
      <c r="B130" s="175" t="s">
        <v>940</v>
      </c>
      <c r="C130" s="88" t="s">
        <v>507</v>
      </c>
      <c r="D130" s="56" t="s">
        <v>589</v>
      </c>
      <c r="E130" s="60">
        <v>60</v>
      </c>
      <c r="F130" s="60">
        <v>0.42</v>
      </c>
      <c r="G130" s="60">
        <v>25.2</v>
      </c>
      <c r="H130" s="95">
        <f>VLOOKUP(C130,data!E131:J228,6,0)</f>
        <v>44546</v>
      </c>
    </row>
    <row r="131" spans="2:8" x14ac:dyDescent="0.25">
      <c r="B131" s="175" t="s">
        <v>942</v>
      </c>
      <c r="C131" s="88" t="s">
        <v>507</v>
      </c>
      <c r="D131" s="56" t="s">
        <v>589</v>
      </c>
      <c r="E131" s="60">
        <v>60</v>
      </c>
      <c r="F131" s="60">
        <v>0.42</v>
      </c>
      <c r="G131" s="60">
        <v>25.2</v>
      </c>
      <c r="H131" s="95">
        <f>VLOOKUP(C131,data!E132:J228,6,0)</f>
        <v>44546</v>
      </c>
    </row>
    <row r="132" spans="2:8" x14ac:dyDescent="0.25">
      <c r="B132" s="175" t="s">
        <v>941</v>
      </c>
      <c r="C132" s="88" t="s">
        <v>507</v>
      </c>
      <c r="D132" s="56" t="s">
        <v>589</v>
      </c>
      <c r="E132" s="60">
        <v>60</v>
      </c>
      <c r="F132" s="60">
        <v>0.42</v>
      </c>
      <c r="G132" s="60">
        <v>25.2</v>
      </c>
      <c r="H132" s="95">
        <f>VLOOKUP(C132,data!E133:J228,6,0)</f>
        <v>44546</v>
      </c>
    </row>
    <row r="133" spans="2:8" x14ac:dyDescent="0.25">
      <c r="B133" s="175" t="s">
        <v>949</v>
      </c>
      <c r="C133" s="88" t="s">
        <v>1119</v>
      </c>
      <c r="D133" s="56" t="s">
        <v>1119</v>
      </c>
      <c r="E133" s="60">
        <v>60</v>
      </c>
      <c r="F133" s="60">
        <v>0.252</v>
      </c>
      <c r="G133" s="60">
        <v>15.120000000000001</v>
      </c>
      <c r="H133" s="95">
        <f>VLOOKUP(C133,data!E134:J228,6,0)</f>
        <v>44546</v>
      </c>
    </row>
    <row r="134" spans="2:8" x14ac:dyDescent="0.25">
      <c r="B134" s="175" t="s">
        <v>950</v>
      </c>
      <c r="C134" s="88" t="s">
        <v>1119</v>
      </c>
      <c r="D134" s="56" t="s">
        <v>1119</v>
      </c>
      <c r="E134" s="60">
        <v>110</v>
      </c>
      <c r="F134" s="60">
        <v>0.252</v>
      </c>
      <c r="G134" s="60">
        <v>27.72</v>
      </c>
      <c r="H134" s="95">
        <f>VLOOKUP(C134,data!E135:J228,6,0)</f>
        <v>44549</v>
      </c>
    </row>
    <row r="135" spans="2:8" x14ac:dyDescent="0.25">
      <c r="B135" s="175" t="s">
        <v>951</v>
      </c>
      <c r="C135" s="88" t="s">
        <v>1120</v>
      </c>
      <c r="D135" s="56" t="s">
        <v>1176</v>
      </c>
      <c r="E135" s="60">
        <v>60</v>
      </c>
      <c r="F135" s="60">
        <v>0.252</v>
      </c>
      <c r="G135" s="60">
        <v>15.120000000000001</v>
      </c>
      <c r="H135" s="95">
        <f>VLOOKUP(C135,data!E136:J228,6,0)</f>
        <v>44546</v>
      </c>
    </row>
    <row r="136" spans="2:8" x14ac:dyDescent="0.25">
      <c r="B136" s="175" t="s">
        <v>952</v>
      </c>
      <c r="C136" s="88" t="s">
        <v>1120</v>
      </c>
      <c r="D136" s="56" t="s">
        <v>1176</v>
      </c>
      <c r="E136" s="60">
        <v>100</v>
      </c>
      <c r="F136" s="60">
        <v>0.252</v>
      </c>
      <c r="G136" s="60">
        <v>25.2</v>
      </c>
      <c r="H136" s="95">
        <f>VLOOKUP(C136,data!E137:J228,6,0)</f>
        <v>44549</v>
      </c>
    </row>
    <row r="137" spans="2:8" x14ac:dyDescent="0.25">
      <c r="B137" s="175" t="s">
        <v>953</v>
      </c>
      <c r="C137" s="88" t="s">
        <v>804</v>
      </c>
      <c r="D137" s="56" t="s">
        <v>835</v>
      </c>
      <c r="E137" s="60">
        <v>40</v>
      </c>
      <c r="F137" s="60">
        <v>0.252</v>
      </c>
      <c r="G137" s="60">
        <v>10.08</v>
      </c>
      <c r="H137" s="95">
        <f>VLOOKUP(C137,data!E138:J228,6,0)</f>
        <v>44581</v>
      </c>
    </row>
    <row r="138" spans="2:8" x14ac:dyDescent="0.25">
      <c r="B138" s="175" t="s">
        <v>954</v>
      </c>
      <c r="C138" s="88" t="s">
        <v>804</v>
      </c>
      <c r="D138" s="56" t="s">
        <v>835</v>
      </c>
      <c r="E138" s="60">
        <v>60</v>
      </c>
      <c r="F138" s="60">
        <v>0.252</v>
      </c>
      <c r="G138" s="60">
        <v>15.120000000000001</v>
      </c>
      <c r="H138" s="95">
        <f>VLOOKUP(C138,data!E139:J228,6,0)</f>
        <v>44581</v>
      </c>
    </row>
    <row r="139" spans="2:8" x14ac:dyDescent="0.25">
      <c r="B139" s="175" t="s">
        <v>955</v>
      </c>
      <c r="C139" s="88" t="s">
        <v>1121</v>
      </c>
      <c r="D139" s="56" t="s">
        <v>1177</v>
      </c>
      <c r="E139" s="60">
        <v>60</v>
      </c>
      <c r="F139" s="60">
        <v>0.252</v>
      </c>
      <c r="G139" s="60">
        <v>15.120000000000001</v>
      </c>
      <c r="H139" s="95">
        <f>VLOOKUP(C139,data!E140:J228,6,0)</f>
        <v>44581</v>
      </c>
    </row>
    <row r="140" spans="2:8" x14ac:dyDescent="0.25">
      <c r="B140" s="175" t="s">
        <v>956</v>
      </c>
      <c r="C140" s="88" t="s">
        <v>1121</v>
      </c>
      <c r="D140" s="56" t="s">
        <v>1177</v>
      </c>
      <c r="E140" s="60">
        <v>60</v>
      </c>
      <c r="F140" s="60">
        <v>0.252</v>
      </c>
      <c r="G140" s="60">
        <v>15.120000000000001</v>
      </c>
      <c r="H140" s="95">
        <f>VLOOKUP(C140,data!E141:J228,6,0)</f>
        <v>44581</v>
      </c>
    </row>
    <row r="141" spans="2:8" x14ac:dyDescent="0.25">
      <c r="B141" s="175" t="s">
        <v>957</v>
      </c>
      <c r="C141" s="88" t="s">
        <v>1122</v>
      </c>
      <c r="D141" s="56" t="s">
        <v>1178</v>
      </c>
      <c r="E141" s="60">
        <v>50</v>
      </c>
      <c r="F141" s="60">
        <v>0.252</v>
      </c>
      <c r="G141" s="60">
        <v>12.6</v>
      </c>
      <c r="H141" s="95">
        <f>VLOOKUP(C141,data!E142:J228,6,0)</f>
        <v>44546</v>
      </c>
    </row>
    <row r="142" spans="2:8" x14ac:dyDescent="0.25">
      <c r="B142" s="175" t="s">
        <v>958</v>
      </c>
      <c r="C142" s="88" t="s">
        <v>519</v>
      </c>
      <c r="D142" s="56" t="s">
        <v>601</v>
      </c>
      <c r="E142" s="60">
        <v>100</v>
      </c>
      <c r="F142" s="60">
        <v>0.84150000000000003</v>
      </c>
      <c r="G142" s="60">
        <v>84.15</v>
      </c>
      <c r="H142" s="95">
        <f>VLOOKUP(C142,data!E143:J228,6,0)</f>
        <v>44560</v>
      </c>
    </row>
    <row r="143" spans="2:8" x14ac:dyDescent="0.25">
      <c r="B143" s="175" t="s">
        <v>959</v>
      </c>
      <c r="C143" s="88" t="s">
        <v>519</v>
      </c>
      <c r="D143" s="56" t="s">
        <v>601</v>
      </c>
      <c r="E143" s="60">
        <v>110</v>
      </c>
      <c r="F143" s="60">
        <v>0.84150000000000003</v>
      </c>
      <c r="G143" s="60">
        <v>92.564999999999998</v>
      </c>
      <c r="H143" s="95">
        <f>VLOOKUP(C143,data!E144:J228,6,0)</f>
        <v>44560</v>
      </c>
    </row>
    <row r="144" spans="2:8" x14ac:dyDescent="0.25">
      <c r="B144" s="175" t="s">
        <v>960</v>
      </c>
      <c r="C144" s="88" t="s">
        <v>519</v>
      </c>
      <c r="D144" s="56" t="s">
        <v>601</v>
      </c>
      <c r="E144" s="60">
        <v>110</v>
      </c>
      <c r="F144" s="60">
        <v>0.84150000000000003</v>
      </c>
      <c r="G144" s="60">
        <v>92.564999999999998</v>
      </c>
      <c r="H144" s="95">
        <f>VLOOKUP(C144,data!E145:J228,6,0)</f>
        <v>44560</v>
      </c>
    </row>
    <row r="145" spans="2:8" x14ac:dyDescent="0.25">
      <c r="B145" s="175" t="s">
        <v>958</v>
      </c>
      <c r="C145" s="88" t="s">
        <v>522</v>
      </c>
      <c r="D145" s="56" t="s">
        <v>604</v>
      </c>
      <c r="E145" s="60">
        <v>70</v>
      </c>
      <c r="F145" s="60">
        <v>0.74250000000000005</v>
      </c>
      <c r="G145" s="60">
        <v>51.975000000000001</v>
      </c>
      <c r="H145" s="95">
        <f>VLOOKUP(C145,data!E146:J228,6,0)</f>
        <v>44560</v>
      </c>
    </row>
    <row r="146" spans="2:8" x14ac:dyDescent="0.25">
      <c r="B146" s="175" t="s">
        <v>959</v>
      </c>
      <c r="C146" s="88" t="s">
        <v>522</v>
      </c>
      <c r="D146" s="56" t="s">
        <v>604</v>
      </c>
      <c r="E146" s="60">
        <v>110</v>
      </c>
      <c r="F146" s="60">
        <v>0.74250000000000005</v>
      </c>
      <c r="G146" s="60">
        <v>81.675000000000011</v>
      </c>
      <c r="H146" s="95">
        <f>VLOOKUP(C146,data!E147:J228,6,0)</f>
        <v>44560</v>
      </c>
    </row>
    <row r="147" spans="2:8" x14ac:dyDescent="0.25">
      <c r="B147" s="175" t="s">
        <v>960</v>
      </c>
      <c r="C147" s="88" t="s">
        <v>522</v>
      </c>
      <c r="D147" s="56" t="s">
        <v>604</v>
      </c>
      <c r="E147" s="60">
        <v>110</v>
      </c>
      <c r="F147" s="60">
        <v>0.74250000000000005</v>
      </c>
      <c r="G147" s="60">
        <v>81.675000000000011</v>
      </c>
      <c r="H147" s="95">
        <f>VLOOKUP(C147,data!E148:J228,6,0)</f>
        <v>44560</v>
      </c>
    </row>
    <row r="148" spans="2:8" x14ac:dyDescent="0.25">
      <c r="B148" s="175" t="s">
        <v>961</v>
      </c>
      <c r="C148" s="88" t="s">
        <v>1123</v>
      </c>
      <c r="D148" s="56" t="s">
        <v>1179</v>
      </c>
      <c r="E148" s="60">
        <v>130</v>
      </c>
      <c r="F148" s="60">
        <v>0.74250000000000005</v>
      </c>
      <c r="G148" s="60">
        <v>96.525000000000006</v>
      </c>
      <c r="H148" s="95">
        <f>VLOOKUP(C148,data!E149:J228,6,0)</f>
        <v>44546</v>
      </c>
    </row>
    <row r="149" spans="2:8" x14ac:dyDescent="0.25">
      <c r="B149" s="175" t="s">
        <v>962</v>
      </c>
      <c r="C149" s="88" t="s">
        <v>1123</v>
      </c>
      <c r="D149" s="56" t="s">
        <v>1179</v>
      </c>
      <c r="E149" s="60">
        <v>210</v>
      </c>
      <c r="F149" s="60">
        <v>0.74250000000000005</v>
      </c>
      <c r="G149" s="60">
        <v>155.92500000000001</v>
      </c>
      <c r="H149" s="95">
        <f>VLOOKUP(C149,data!E150:J228,6,0)</f>
        <v>44546</v>
      </c>
    </row>
    <row r="150" spans="2:8" x14ac:dyDescent="0.25">
      <c r="B150" s="175" t="s">
        <v>963</v>
      </c>
      <c r="C150" s="88" t="s">
        <v>1124</v>
      </c>
      <c r="D150" s="56" t="s">
        <v>1124</v>
      </c>
      <c r="E150" s="60">
        <v>40</v>
      </c>
      <c r="F150" s="60">
        <v>0.74250000000000005</v>
      </c>
      <c r="G150" s="60">
        <v>29.700000000000003</v>
      </c>
      <c r="H150" s="95">
        <f>VLOOKUP(C150,data!E151:J228,6,0)</f>
        <v>44546</v>
      </c>
    </row>
    <row r="151" spans="2:8" x14ac:dyDescent="0.25">
      <c r="B151" s="175" t="s">
        <v>964</v>
      </c>
      <c r="C151" s="88" t="s">
        <v>1125</v>
      </c>
      <c r="D151" s="56" t="s">
        <v>1180</v>
      </c>
      <c r="E151" s="60">
        <v>30</v>
      </c>
      <c r="F151" s="60">
        <v>0.74250000000000005</v>
      </c>
      <c r="G151" s="60">
        <v>22.275000000000002</v>
      </c>
      <c r="H151" s="95">
        <f>VLOOKUP(C151,data!E152:J228,6,0)</f>
        <v>44546</v>
      </c>
    </row>
    <row r="152" spans="2:8" x14ac:dyDescent="0.25">
      <c r="B152" s="175" t="s">
        <v>965</v>
      </c>
      <c r="C152" s="88" t="s">
        <v>1126</v>
      </c>
      <c r="D152" s="56" t="s">
        <v>1181</v>
      </c>
      <c r="E152" s="60">
        <v>110</v>
      </c>
      <c r="F152" s="60">
        <v>0.59</v>
      </c>
      <c r="G152" s="60">
        <v>64.899999999999991</v>
      </c>
      <c r="H152" s="95">
        <f>VLOOKUP(C152,data!E153:J228,6,0)</f>
        <v>44539</v>
      </c>
    </row>
    <row r="153" spans="2:8" x14ac:dyDescent="0.25">
      <c r="B153" s="175" t="s">
        <v>966</v>
      </c>
      <c r="C153" s="88" t="s">
        <v>1126</v>
      </c>
      <c r="D153" s="56" t="s">
        <v>1181</v>
      </c>
      <c r="E153" s="60">
        <v>110</v>
      </c>
      <c r="F153" s="60">
        <v>0.59</v>
      </c>
      <c r="G153" s="60">
        <v>64.899999999999991</v>
      </c>
      <c r="H153" s="95">
        <f>VLOOKUP(C153,data!E154:J228,6,0)</f>
        <v>44539</v>
      </c>
    </row>
    <row r="154" spans="2:8" x14ac:dyDescent="0.25">
      <c r="B154" s="175" t="s">
        <v>967</v>
      </c>
      <c r="C154" s="88" t="s">
        <v>1126</v>
      </c>
      <c r="D154" s="56" t="s">
        <v>1181</v>
      </c>
      <c r="E154" s="60">
        <v>110</v>
      </c>
      <c r="F154" s="60">
        <v>0.59</v>
      </c>
      <c r="G154" s="60">
        <v>64.899999999999991</v>
      </c>
      <c r="H154" s="95">
        <f>VLOOKUP(C154,data!E155:J228,6,0)</f>
        <v>44539</v>
      </c>
    </row>
    <row r="155" spans="2:8" x14ac:dyDescent="0.25">
      <c r="B155" s="175" t="s">
        <v>968</v>
      </c>
      <c r="C155" s="88" t="s">
        <v>1126</v>
      </c>
      <c r="D155" s="56" t="s">
        <v>1181</v>
      </c>
      <c r="E155" s="60">
        <v>110</v>
      </c>
      <c r="F155" s="60">
        <v>0.59</v>
      </c>
      <c r="G155" s="60">
        <v>64.899999999999991</v>
      </c>
      <c r="H155" s="95">
        <f>VLOOKUP(C155,data!E156:J228,6,0)</f>
        <v>44539</v>
      </c>
    </row>
    <row r="156" spans="2:8" x14ac:dyDescent="0.25">
      <c r="B156" s="175" t="s">
        <v>969</v>
      </c>
      <c r="C156" s="88" t="s">
        <v>738</v>
      </c>
      <c r="D156" s="56" t="s">
        <v>739</v>
      </c>
      <c r="E156" s="60">
        <v>70</v>
      </c>
      <c r="F156" s="60">
        <v>0.56999999999999995</v>
      </c>
      <c r="G156" s="60">
        <v>39.9</v>
      </c>
      <c r="H156" s="95">
        <f>VLOOKUP(C156,data!E157:J228,6,0)</f>
        <v>44546</v>
      </c>
    </row>
    <row r="157" spans="2:8" x14ac:dyDescent="0.25">
      <c r="B157" s="175" t="s">
        <v>970</v>
      </c>
      <c r="C157" s="88" t="s">
        <v>738</v>
      </c>
      <c r="D157" s="56" t="s">
        <v>739</v>
      </c>
      <c r="E157" s="60">
        <v>130</v>
      </c>
      <c r="F157" s="60">
        <v>0.56999999999999995</v>
      </c>
      <c r="G157" s="60">
        <v>74.099999999999994</v>
      </c>
      <c r="H157" s="95">
        <f>VLOOKUP(C157,data!E158:J228,6,0)</f>
        <v>44546</v>
      </c>
    </row>
    <row r="158" spans="2:8" x14ac:dyDescent="0.25">
      <c r="B158" s="175" t="s">
        <v>971</v>
      </c>
      <c r="C158" s="88" t="s">
        <v>738</v>
      </c>
      <c r="D158" s="56" t="s">
        <v>739</v>
      </c>
      <c r="E158" s="60">
        <v>60</v>
      </c>
      <c r="F158" s="60">
        <v>0.56999999999999995</v>
      </c>
      <c r="G158" s="60">
        <v>34.199999999999996</v>
      </c>
      <c r="H158" s="95">
        <f>VLOOKUP(C158,data!E159:J228,6,0)</f>
        <v>44546</v>
      </c>
    </row>
    <row r="159" spans="2:8" x14ac:dyDescent="0.25">
      <c r="B159" s="175" t="s">
        <v>972</v>
      </c>
      <c r="C159" s="88" t="s">
        <v>795</v>
      </c>
      <c r="D159" s="56" t="s">
        <v>836</v>
      </c>
      <c r="E159" s="60">
        <v>110</v>
      </c>
      <c r="F159" s="60">
        <v>0.45</v>
      </c>
      <c r="G159" s="60">
        <v>49.5</v>
      </c>
      <c r="H159" s="95">
        <f>VLOOKUP(C159,data!E160:J228,6,0)</f>
        <v>44560</v>
      </c>
    </row>
    <row r="160" spans="2:8" x14ac:dyDescent="0.25">
      <c r="B160" s="175" t="s">
        <v>973</v>
      </c>
      <c r="C160" s="88" t="s">
        <v>795</v>
      </c>
      <c r="D160" s="56" t="s">
        <v>836</v>
      </c>
      <c r="E160" s="60">
        <v>60</v>
      </c>
      <c r="F160" s="60">
        <v>0.45</v>
      </c>
      <c r="G160" s="60">
        <v>27</v>
      </c>
      <c r="H160" s="95">
        <f>VLOOKUP(C160,data!E161:J228,6,0)</f>
        <v>44560</v>
      </c>
    </row>
    <row r="161" spans="2:8" x14ac:dyDescent="0.25">
      <c r="B161" s="175" t="s">
        <v>974</v>
      </c>
      <c r="C161" s="88" t="s">
        <v>795</v>
      </c>
      <c r="D161" s="56" t="s">
        <v>836</v>
      </c>
      <c r="E161" s="60">
        <v>110</v>
      </c>
      <c r="F161" s="60">
        <v>0.45</v>
      </c>
      <c r="G161" s="60">
        <v>49.5</v>
      </c>
      <c r="H161" s="95">
        <f>VLOOKUP(C161,data!E162:J228,6,0)</f>
        <v>44560</v>
      </c>
    </row>
    <row r="162" spans="2:8" x14ac:dyDescent="0.25">
      <c r="B162" s="175" t="s">
        <v>975</v>
      </c>
      <c r="C162" s="88" t="s">
        <v>796</v>
      </c>
      <c r="D162" s="56" t="s">
        <v>837</v>
      </c>
      <c r="E162" s="60">
        <v>50</v>
      </c>
      <c r="F162" s="60">
        <v>0.45</v>
      </c>
      <c r="G162" s="60">
        <v>22.5</v>
      </c>
      <c r="H162" s="95">
        <f>VLOOKUP(C162,data!E163:J228,6,0)</f>
        <v>44560</v>
      </c>
    </row>
    <row r="163" spans="2:8" x14ac:dyDescent="0.25">
      <c r="B163" s="175" t="s">
        <v>976</v>
      </c>
      <c r="C163" s="88" t="s">
        <v>796</v>
      </c>
      <c r="D163" s="56" t="s">
        <v>837</v>
      </c>
      <c r="E163" s="60">
        <v>110</v>
      </c>
      <c r="F163" s="60">
        <v>0.45</v>
      </c>
      <c r="G163" s="60">
        <v>49.5</v>
      </c>
      <c r="H163" s="95">
        <f>VLOOKUP(C163,data!E164:J228,6,0)</f>
        <v>44560</v>
      </c>
    </row>
    <row r="164" spans="2:8" x14ac:dyDescent="0.25">
      <c r="B164" s="175" t="s">
        <v>977</v>
      </c>
      <c r="C164" s="88" t="s">
        <v>797</v>
      </c>
      <c r="D164" s="56" t="s">
        <v>838</v>
      </c>
      <c r="E164" s="60">
        <v>50</v>
      </c>
      <c r="F164" s="60">
        <v>0.45</v>
      </c>
      <c r="G164" s="60">
        <v>22.5</v>
      </c>
      <c r="H164" s="95">
        <f>VLOOKUP(C164,data!E165:J228,6,0)</f>
        <v>44560</v>
      </c>
    </row>
    <row r="165" spans="2:8" x14ac:dyDescent="0.25">
      <c r="B165" s="175" t="s">
        <v>978</v>
      </c>
      <c r="C165" s="88" t="s">
        <v>797</v>
      </c>
      <c r="D165" s="56" t="s">
        <v>838</v>
      </c>
      <c r="E165" s="60">
        <v>60</v>
      </c>
      <c r="F165" s="60">
        <v>0.45</v>
      </c>
      <c r="G165" s="60">
        <v>27</v>
      </c>
      <c r="H165" s="95">
        <f>VLOOKUP(C165,data!E166:J228,6,0)</f>
        <v>44560</v>
      </c>
    </row>
    <row r="166" spans="2:8" x14ac:dyDescent="0.25">
      <c r="B166" s="175" t="s">
        <v>979</v>
      </c>
      <c r="C166" s="88" t="s">
        <v>797</v>
      </c>
      <c r="D166" s="56" t="s">
        <v>838</v>
      </c>
      <c r="E166" s="60">
        <v>170</v>
      </c>
      <c r="F166" s="60">
        <v>0.45</v>
      </c>
      <c r="G166" s="60">
        <v>76.5</v>
      </c>
      <c r="H166" s="95">
        <f>VLOOKUP(C166,data!E167:J228,6,0)</f>
        <v>44560</v>
      </c>
    </row>
    <row r="167" spans="2:8" x14ac:dyDescent="0.25">
      <c r="B167" s="175" t="s">
        <v>980</v>
      </c>
      <c r="C167" s="88" t="s">
        <v>797</v>
      </c>
      <c r="D167" s="56" t="s">
        <v>838</v>
      </c>
      <c r="E167" s="60">
        <v>60</v>
      </c>
      <c r="F167" s="60">
        <v>0.45</v>
      </c>
      <c r="G167" s="60">
        <v>27</v>
      </c>
      <c r="H167" s="95">
        <f>VLOOKUP(C167,data!E168:J228,6,0)</f>
        <v>44560</v>
      </c>
    </row>
    <row r="168" spans="2:8" x14ac:dyDescent="0.25">
      <c r="B168" s="175" t="s">
        <v>977</v>
      </c>
      <c r="C168" s="88" t="s">
        <v>1127</v>
      </c>
      <c r="D168" s="56" t="s">
        <v>1182</v>
      </c>
      <c r="E168" s="60">
        <v>30</v>
      </c>
      <c r="F168" s="60">
        <v>0.45</v>
      </c>
      <c r="G168" s="60">
        <v>13.5</v>
      </c>
      <c r="H168" s="95">
        <f>VLOOKUP(C168,data!E169:J228,6,0)</f>
        <v>44560</v>
      </c>
    </row>
    <row r="169" spans="2:8" x14ac:dyDescent="0.25">
      <c r="B169" s="175" t="s">
        <v>975</v>
      </c>
      <c r="C169" s="88" t="s">
        <v>1127</v>
      </c>
      <c r="D169" s="56" t="s">
        <v>1182</v>
      </c>
      <c r="E169" s="60">
        <v>60</v>
      </c>
      <c r="F169" s="60">
        <v>0.45</v>
      </c>
      <c r="G169" s="60">
        <v>27</v>
      </c>
      <c r="H169" s="95">
        <f>VLOOKUP(C169,data!E170:J228,6,0)</f>
        <v>44560</v>
      </c>
    </row>
    <row r="170" spans="2:8" x14ac:dyDescent="0.25">
      <c r="B170" s="175" t="s">
        <v>976</v>
      </c>
      <c r="C170" s="88" t="s">
        <v>1127</v>
      </c>
      <c r="D170" s="56" t="s">
        <v>1182</v>
      </c>
      <c r="E170" s="60">
        <v>110</v>
      </c>
      <c r="F170" s="60">
        <v>0.45</v>
      </c>
      <c r="G170" s="60">
        <v>49.5</v>
      </c>
      <c r="H170" s="95">
        <f>VLOOKUP(C170,data!E171:J228,6,0)</f>
        <v>44560</v>
      </c>
    </row>
    <row r="171" spans="2:8" x14ac:dyDescent="0.25">
      <c r="B171" s="175" t="s">
        <v>978</v>
      </c>
      <c r="C171" s="88" t="s">
        <v>1127</v>
      </c>
      <c r="D171" s="56" t="s">
        <v>1182</v>
      </c>
      <c r="E171" s="60">
        <v>60</v>
      </c>
      <c r="F171" s="60">
        <v>0.45</v>
      </c>
      <c r="G171" s="60">
        <v>27</v>
      </c>
      <c r="H171" s="95">
        <f>VLOOKUP(C171,data!E172:J228,6,0)</f>
        <v>44560</v>
      </c>
    </row>
    <row r="172" spans="2:8" x14ac:dyDescent="0.25">
      <c r="B172" s="175" t="s">
        <v>979</v>
      </c>
      <c r="C172" s="88" t="s">
        <v>1127</v>
      </c>
      <c r="D172" s="56" t="s">
        <v>1182</v>
      </c>
      <c r="E172" s="60">
        <v>170</v>
      </c>
      <c r="F172" s="60">
        <v>0.45</v>
      </c>
      <c r="G172" s="60">
        <v>76.5</v>
      </c>
      <c r="H172" s="95">
        <f>VLOOKUP(C172,data!E173:J228,6,0)</f>
        <v>44560</v>
      </c>
    </row>
    <row r="173" spans="2:8" x14ac:dyDescent="0.25">
      <c r="B173" s="175" t="s">
        <v>972</v>
      </c>
      <c r="C173" s="88" t="s">
        <v>1127</v>
      </c>
      <c r="D173" s="56" t="s">
        <v>1182</v>
      </c>
      <c r="E173" s="60">
        <v>110</v>
      </c>
      <c r="F173" s="60">
        <v>0.45</v>
      </c>
      <c r="G173" s="60">
        <v>49.5</v>
      </c>
      <c r="H173" s="95">
        <f>VLOOKUP(C173,data!E174:J228,6,0)</f>
        <v>44560</v>
      </c>
    </row>
    <row r="174" spans="2:8" x14ac:dyDescent="0.25">
      <c r="B174" s="175" t="s">
        <v>973</v>
      </c>
      <c r="C174" s="88" t="s">
        <v>1127</v>
      </c>
      <c r="D174" s="56" t="s">
        <v>1182</v>
      </c>
      <c r="E174" s="60">
        <v>60</v>
      </c>
      <c r="F174" s="60">
        <v>0.45</v>
      </c>
      <c r="G174" s="60">
        <v>27</v>
      </c>
      <c r="H174" s="95">
        <f>VLOOKUP(C174,data!E175:J228,6,0)</f>
        <v>44560</v>
      </c>
    </row>
    <row r="175" spans="2:8" x14ac:dyDescent="0.25">
      <c r="B175" s="175" t="s">
        <v>974</v>
      </c>
      <c r="C175" s="88" t="s">
        <v>1127</v>
      </c>
      <c r="D175" s="56" t="s">
        <v>1182</v>
      </c>
      <c r="E175" s="60">
        <v>110</v>
      </c>
      <c r="F175" s="60">
        <v>0.45</v>
      </c>
      <c r="G175" s="60">
        <v>49.5</v>
      </c>
      <c r="H175" s="95">
        <f>VLOOKUP(C175,data!E176:J228,6,0)</f>
        <v>44560</v>
      </c>
    </row>
    <row r="176" spans="2:8" x14ac:dyDescent="0.25">
      <c r="B176" s="175" t="s">
        <v>980</v>
      </c>
      <c r="C176" s="88" t="s">
        <v>1127</v>
      </c>
      <c r="D176" s="56" t="s">
        <v>1182</v>
      </c>
      <c r="E176" s="60">
        <v>60</v>
      </c>
      <c r="F176" s="60">
        <v>0.45</v>
      </c>
      <c r="G176" s="60">
        <v>27</v>
      </c>
      <c r="H176" s="95">
        <f>VLOOKUP(C176,data!E177:J228,6,0)</f>
        <v>44560</v>
      </c>
    </row>
    <row r="177" spans="2:8" x14ac:dyDescent="0.25">
      <c r="B177" s="175" t="s">
        <v>981</v>
      </c>
      <c r="C177" s="88" t="s">
        <v>746</v>
      </c>
      <c r="D177" s="56" t="s">
        <v>747</v>
      </c>
      <c r="E177" s="60">
        <v>60</v>
      </c>
      <c r="F177" s="60">
        <v>0.44</v>
      </c>
      <c r="G177" s="60">
        <v>26.4</v>
      </c>
      <c r="H177" s="95">
        <f>VLOOKUP(C177,data!E178:J228,6,0)</f>
        <v>44546</v>
      </c>
    </row>
    <row r="178" spans="2:8" x14ac:dyDescent="0.25">
      <c r="B178" s="175" t="s">
        <v>982</v>
      </c>
      <c r="C178" s="88" t="s">
        <v>746</v>
      </c>
      <c r="D178" s="56" t="s">
        <v>747</v>
      </c>
      <c r="E178" s="60">
        <v>60</v>
      </c>
      <c r="F178" s="60">
        <v>0.44</v>
      </c>
      <c r="G178" s="60">
        <v>26.4</v>
      </c>
      <c r="H178" s="95">
        <f>VLOOKUP(C178,data!E179:J228,6,0)</f>
        <v>44546</v>
      </c>
    </row>
    <row r="179" spans="2:8" x14ac:dyDescent="0.25">
      <c r="B179" s="175" t="s">
        <v>983</v>
      </c>
      <c r="C179" s="88" t="s">
        <v>746</v>
      </c>
      <c r="D179" s="56" t="s">
        <v>747</v>
      </c>
      <c r="E179" s="60">
        <v>60</v>
      </c>
      <c r="F179" s="60">
        <v>0.44</v>
      </c>
      <c r="G179" s="60">
        <v>26.4</v>
      </c>
      <c r="H179" s="95">
        <f>VLOOKUP(C179,data!E180:J228,6,0)</f>
        <v>44546</v>
      </c>
    </row>
    <row r="180" spans="2:8" x14ac:dyDescent="0.25">
      <c r="B180" s="175" t="s">
        <v>982</v>
      </c>
      <c r="C180" s="88" t="s">
        <v>748</v>
      </c>
      <c r="D180" s="56" t="s">
        <v>749</v>
      </c>
      <c r="E180" s="60">
        <v>40</v>
      </c>
      <c r="F180" s="60">
        <v>0.85</v>
      </c>
      <c r="G180" s="60">
        <v>34</v>
      </c>
      <c r="H180" s="95">
        <f>VLOOKUP(C180,data!E181:J229,6,0)</f>
        <v>44546</v>
      </c>
    </row>
    <row r="181" spans="2:8" x14ac:dyDescent="0.25">
      <c r="B181" s="175" t="s">
        <v>983</v>
      </c>
      <c r="C181" s="88" t="s">
        <v>748</v>
      </c>
      <c r="D181" s="56" t="s">
        <v>749</v>
      </c>
      <c r="E181" s="60">
        <v>60</v>
      </c>
      <c r="F181" s="60">
        <v>0.85</v>
      </c>
      <c r="G181" s="60">
        <v>51</v>
      </c>
      <c r="H181" s="95">
        <f>VLOOKUP(C181,data!E182:J230,6,0)</f>
        <v>44546</v>
      </c>
    </row>
    <row r="182" spans="2:8" x14ac:dyDescent="0.25">
      <c r="B182" s="175" t="s">
        <v>984</v>
      </c>
      <c r="C182" s="88" t="s">
        <v>1128</v>
      </c>
      <c r="D182" s="56" t="s">
        <v>1128</v>
      </c>
      <c r="E182" s="60">
        <v>90</v>
      </c>
      <c r="F182" s="60">
        <v>1.1639999999999999</v>
      </c>
      <c r="G182" s="60">
        <v>104.75999999999999</v>
      </c>
      <c r="H182" s="95">
        <f>VLOOKUP(C182,data!E183:J231,6,0)</f>
        <v>44560</v>
      </c>
    </row>
    <row r="183" spans="2:8" x14ac:dyDescent="0.25">
      <c r="B183" s="175" t="s">
        <v>985</v>
      </c>
      <c r="C183" s="88" t="s">
        <v>1128</v>
      </c>
      <c r="D183" s="56" t="s">
        <v>1128</v>
      </c>
      <c r="E183" s="60">
        <v>110</v>
      </c>
      <c r="F183" s="60">
        <v>1.1639999999999999</v>
      </c>
      <c r="G183" s="60">
        <v>128.04</v>
      </c>
      <c r="H183" s="95">
        <f>VLOOKUP(C183,data!E184:J232,6,0)</f>
        <v>44560</v>
      </c>
    </row>
    <row r="184" spans="2:8" x14ac:dyDescent="0.25">
      <c r="B184" s="175" t="s">
        <v>944</v>
      </c>
      <c r="C184" s="88" t="s">
        <v>805</v>
      </c>
      <c r="D184" s="56" t="s">
        <v>805</v>
      </c>
      <c r="E184" s="60">
        <v>70</v>
      </c>
      <c r="F184" s="60">
        <v>1.1639999999999999</v>
      </c>
      <c r="G184" s="60">
        <v>81.47999999999999</v>
      </c>
      <c r="H184" s="95">
        <f>VLOOKUP(C184,data!E185:J233,6,0)</f>
        <v>44560</v>
      </c>
    </row>
    <row r="185" spans="2:8" x14ac:dyDescent="0.25">
      <c r="B185" s="175" t="s">
        <v>943</v>
      </c>
      <c r="C185" s="88" t="s">
        <v>1129</v>
      </c>
      <c r="D185" s="56" t="s">
        <v>1129</v>
      </c>
      <c r="E185" s="60">
        <v>110</v>
      </c>
      <c r="F185" s="60">
        <v>1.1639999999999999</v>
      </c>
      <c r="G185" s="60">
        <v>128.04</v>
      </c>
      <c r="H185" s="95">
        <f>VLOOKUP(C185,data!E186:J234,6,0)</f>
        <v>44560</v>
      </c>
    </row>
    <row r="186" spans="2:8" x14ac:dyDescent="0.25">
      <c r="B186" s="175" t="s">
        <v>984</v>
      </c>
      <c r="C186" s="88" t="s">
        <v>798</v>
      </c>
      <c r="D186" s="56" t="s">
        <v>798</v>
      </c>
      <c r="E186" s="60">
        <v>190</v>
      </c>
      <c r="F186" s="60">
        <v>1.2609999999999999</v>
      </c>
      <c r="G186" s="60">
        <v>239.58999999999997</v>
      </c>
      <c r="H186" s="95">
        <f>VLOOKUP(C186,data!E187:J235,6,0)</f>
        <v>44560</v>
      </c>
    </row>
    <row r="187" spans="2:8" x14ac:dyDescent="0.25">
      <c r="B187" s="175" t="s">
        <v>985</v>
      </c>
      <c r="C187" s="88" t="s">
        <v>798</v>
      </c>
      <c r="D187" s="56" t="s">
        <v>798</v>
      </c>
      <c r="E187" s="60">
        <v>110</v>
      </c>
      <c r="F187" s="60">
        <v>1.2609999999999999</v>
      </c>
      <c r="G187" s="60">
        <v>138.70999999999998</v>
      </c>
      <c r="H187" s="95">
        <f>VLOOKUP(C187,data!E188:J236,6,0)</f>
        <v>44560</v>
      </c>
    </row>
    <row r="188" spans="2:8" x14ac:dyDescent="0.25">
      <c r="B188" s="175" t="s">
        <v>986</v>
      </c>
      <c r="C188" s="88" t="s">
        <v>798</v>
      </c>
      <c r="D188" s="56" t="s">
        <v>798</v>
      </c>
      <c r="E188" s="60">
        <v>220</v>
      </c>
      <c r="F188" s="60">
        <v>1.2609999999999999</v>
      </c>
      <c r="G188" s="60">
        <v>277.41999999999996</v>
      </c>
      <c r="H188" s="95">
        <f>VLOOKUP(C188,data!E189:J237,6,0)</f>
        <v>44560</v>
      </c>
    </row>
    <row r="189" spans="2:8" x14ac:dyDescent="0.25">
      <c r="B189" s="175" t="s">
        <v>987</v>
      </c>
      <c r="C189" s="88" t="s">
        <v>798</v>
      </c>
      <c r="D189" s="56" t="s">
        <v>798</v>
      </c>
      <c r="E189" s="60">
        <v>220</v>
      </c>
      <c r="F189" s="60">
        <v>1.2609999999999999</v>
      </c>
      <c r="G189" s="60">
        <v>277.41999999999996</v>
      </c>
      <c r="H189" s="95">
        <f>VLOOKUP(C189,data!E190:J238,6,0)</f>
        <v>44560</v>
      </c>
    </row>
    <row r="190" spans="2:8" x14ac:dyDescent="0.25">
      <c r="B190" s="175" t="s">
        <v>961</v>
      </c>
      <c r="C190" s="88" t="s">
        <v>1130</v>
      </c>
      <c r="D190" s="56" t="s">
        <v>1183</v>
      </c>
      <c r="E190" s="60">
        <v>130</v>
      </c>
      <c r="F190" s="60">
        <v>0.92</v>
      </c>
      <c r="G190" s="60">
        <v>119.60000000000001</v>
      </c>
      <c r="H190" s="95">
        <f>VLOOKUP(C190,data!E191:J239,6,0)</f>
        <v>44546</v>
      </c>
    </row>
    <row r="191" spans="2:8" x14ac:dyDescent="0.25">
      <c r="B191" s="175" t="s">
        <v>962</v>
      </c>
      <c r="C191" s="88" t="s">
        <v>1130</v>
      </c>
      <c r="D191" s="56" t="s">
        <v>1183</v>
      </c>
      <c r="E191" s="60">
        <v>210</v>
      </c>
      <c r="F191" s="60">
        <v>0.92</v>
      </c>
      <c r="G191" s="60">
        <v>193.20000000000002</v>
      </c>
      <c r="H191" s="95">
        <f>VLOOKUP(C191,data!E192:J240,6,0)</f>
        <v>44546</v>
      </c>
    </row>
    <row r="192" spans="2:8" x14ac:dyDescent="0.25">
      <c r="B192" s="175" t="s">
        <v>963</v>
      </c>
      <c r="C192" s="88" t="s">
        <v>1131</v>
      </c>
      <c r="D192" s="56" t="s">
        <v>1184</v>
      </c>
      <c r="E192" s="60">
        <v>60</v>
      </c>
      <c r="F192" s="60">
        <v>0.92</v>
      </c>
      <c r="G192" s="60">
        <v>55.2</v>
      </c>
      <c r="H192" s="95">
        <f>VLOOKUP(C192,data!E193:J241,6,0)</f>
        <v>44546</v>
      </c>
    </row>
    <row r="193" spans="2:8" x14ac:dyDescent="0.25">
      <c r="B193" s="175" t="s">
        <v>964</v>
      </c>
      <c r="C193" s="88" t="s">
        <v>1132</v>
      </c>
      <c r="D193" s="56" t="s">
        <v>1185</v>
      </c>
      <c r="E193" s="60">
        <v>50</v>
      </c>
      <c r="F193" s="60">
        <v>0.92</v>
      </c>
      <c r="G193" s="60">
        <v>46</v>
      </c>
      <c r="H193" s="95">
        <f>VLOOKUP(C193,data!E194:J242,6,0)</f>
        <v>44546</v>
      </c>
    </row>
    <row r="194" spans="2:8" x14ac:dyDescent="0.25">
      <c r="B194" s="175" t="s">
        <v>988</v>
      </c>
      <c r="C194" s="88" t="s">
        <v>1133</v>
      </c>
      <c r="D194" s="56" t="s">
        <v>1186</v>
      </c>
      <c r="E194" s="60">
        <v>60</v>
      </c>
      <c r="F194" s="60">
        <v>0.56999999999999995</v>
      </c>
      <c r="G194" s="60">
        <v>34.199999999999996</v>
      </c>
      <c r="H194" s="95">
        <f>VLOOKUP(C194,data!E195:J243,6,0)</f>
        <v>44546</v>
      </c>
    </row>
    <row r="195" spans="2:8" x14ac:dyDescent="0.25">
      <c r="B195" s="175" t="s">
        <v>989</v>
      </c>
      <c r="C195" s="88" t="s">
        <v>1133</v>
      </c>
      <c r="D195" s="56" t="s">
        <v>1186</v>
      </c>
      <c r="E195" s="60">
        <v>60</v>
      </c>
      <c r="F195" s="60">
        <v>0.56999999999999995</v>
      </c>
      <c r="G195" s="60">
        <v>34.199999999999996</v>
      </c>
      <c r="H195" s="95">
        <f>VLOOKUP(C195,data!E196:J244,6,0)</f>
        <v>44546</v>
      </c>
    </row>
    <row r="196" spans="2:8" x14ac:dyDescent="0.25">
      <c r="B196" s="175" t="s">
        <v>990</v>
      </c>
      <c r="C196" s="88" t="s">
        <v>1134</v>
      </c>
      <c r="D196" s="56" t="s">
        <v>1187</v>
      </c>
      <c r="E196" s="60">
        <v>220</v>
      </c>
      <c r="F196" s="60">
        <v>0.49</v>
      </c>
      <c r="G196" s="60">
        <v>107.8</v>
      </c>
      <c r="H196" s="95">
        <f>VLOOKUP(C196,data!E197:J245,6,0)</f>
        <v>44560</v>
      </c>
    </row>
    <row r="197" spans="2:8" x14ac:dyDescent="0.25">
      <c r="B197" s="175" t="s">
        <v>991</v>
      </c>
      <c r="C197" s="88" t="s">
        <v>1134</v>
      </c>
      <c r="D197" s="56" t="s">
        <v>1187</v>
      </c>
      <c r="E197" s="60">
        <v>110</v>
      </c>
      <c r="F197" s="60">
        <v>0.49</v>
      </c>
      <c r="G197" s="60">
        <v>53.9</v>
      </c>
      <c r="H197" s="95">
        <f>VLOOKUP(C197,data!E198:J246,6,0)</f>
        <v>44560</v>
      </c>
    </row>
    <row r="198" spans="2:8" x14ac:dyDescent="0.25">
      <c r="B198" s="175" t="s">
        <v>992</v>
      </c>
      <c r="C198" s="88" t="s">
        <v>1134</v>
      </c>
      <c r="D198" s="56" t="s">
        <v>1187</v>
      </c>
      <c r="E198" s="60">
        <v>110</v>
      </c>
      <c r="F198" s="60">
        <v>0.49</v>
      </c>
      <c r="G198" s="60">
        <v>53.9</v>
      </c>
      <c r="H198" s="95">
        <f>VLOOKUP(C198,data!E199:J247,6,0)</f>
        <v>44560</v>
      </c>
    </row>
    <row r="199" spans="2:8" x14ac:dyDescent="0.25">
      <c r="B199" s="175" t="s">
        <v>993</v>
      </c>
      <c r="C199" s="88" t="s">
        <v>1135</v>
      </c>
      <c r="D199" s="56" t="s">
        <v>1188</v>
      </c>
      <c r="E199" s="60">
        <v>200</v>
      </c>
      <c r="F199" s="60">
        <v>0.49</v>
      </c>
      <c r="G199" s="60">
        <v>98</v>
      </c>
      <c r="H199" s="95">
        <f>VLOOKUP(C199,data!E200:J248,6,0)</f>
        <v>44560</v>
      </c>
    </row>
    <row r="200" spans="2:8" x14ac:dyDescent="0.25">
      <c r="B200" s="175" t="s">
        <v>994</v>
      </c>
      <c r="C200" s="88" t="s">
        <v>1135</v>
      </c>
      <c r="D200" s="56" t="s">
        <v>1188</v>
      </c>
      <c r="E200" s="60">
        <v>220</v>
      </c>
      <c r="F200" s="60">
        <v>0.49</v>
      </c>
      <c r="G200" s="60">
        <v>107.8</v>
      </c>
      <c r="H200" s="95">
        <f>VLOOKUP(C200,data!E201:J249,6,0)</f>
        <v>44560</v>
      </c>
    </row>
    <row r="201" spans="2:8" x14ac:dyDescent="0.25">
      <c r="B201" s="175" t="s">
        <v>995</v>
      </c>
      <c r="C201" s="88" t="s">
        <v>1136</v>
      </c>
      <c r="D201" s="56" t="s">
        <v>1189</v>
      </c>
      <c r="E201" s="60">
        <v>180</v>
      </c>
      <c r="F201" s="60">
        <v>0.49</v>
      </c>
      <c r="G201" s="60">
        <v>88.2</v>
      </c>
      <c r="H201" s="95">
        <f>VLOOKUP(C201,data!E202:J250,6,0)</f>
        <v>44560</v>
      </c>
    </row>
    <row r="202" spans="2:8" x14ac:dyDescent="0.25">
      <c r="B202" s="175" t="s">
        <v>996</v>
      </c>
      <c r="C202" s="88" t="s">
        <v>1137</v>
      </c>
      <c r="D202" s="56" t="s">
        <v>1190</v>
      </c>
      <c r="E202" s="60">
        <v>210</v>
      </c>
      <c r="F202" s="60">
        <v>0.42</v>
      </c>
      <c r="G202" s="60">
        <v>88.2</v>
      </c>
      <c r="H202" s="95">
        <f>VLOOKUP(C202,data!E203:J251,6,0)</f>
        <v>44560</v>
      </c>
    </row>
    <row r="203" spans="2:8" x14ac:dyDescent="0.25">
      <c r="B203" s="175" t="s">
        <v>997</v>
      </c>
      <c r="C203" s="88" t="s">
        <v>1138</v>
      </c>
      <c r="D203" s="56" t="s">
        <v>1191</v>
      </c>
      <c r="E203" s="60">
        <v>80</v>
      </c>
      <c r="F203" s="60">
        <v>0.42</v>
      </c>
      <c r="G203" s="60">
        <v>33.6</v>
      </c>
      <c r="H203" s="95">
        <f>VLOOKUP(C203,data!E204:J252,6,0)</f>
        <v>44560</v>
      </c>
    </row>
    <row r="204" spans="2:8" x14ac:dyDescent="0.25">
      <c r="B204" s="175" t="s">
        <v>988</v>
      </c>
      <c r="C204" s="88" t="s">
        <v>1139</v>
      </c>
      <c r="D204" s="56" t="s">
        <v>1192</v>
      </c>
      <c r="E204" s="60">
        <v>20</v>
      </c>
      <c r="F204" s="60">
        <v>0.39</v>
      </c>
      <c r="G204" s="60">
        <v>7.8000000000000007</v>
      </c>
      <c r="H204" s="95">
        <f>VLOOKUP(C204,data!E205:J253,6,0)</f>
        <v>44546</v>
      </c>
    </row>
    <row r="205" spans="2:8" x14ac:dyDescent="0.25">
      <c r="B205" s="175" t="s">
        <v>989</v>
      </c>
      <c r="C205" s="88" t="s">
        <v>1139</v>
      </c>
      <c r="D205" s="56" t="s">
        <v>1192</v>
      </c>
      <c r="E205" s="60">
        <v>60</v>
      </c>
      <c r="F205" s="60">
        <v>0.39</v>
      </c>
      <c r="G205" s="60">
        <v>23.400000000000002</v>
      </c>
      <c r="H205" s="95">
        <f>VLOOKUP(C205,data!E206:J254,6,0)</f>
        <v>44546</v>
      </c>
    </row>
    <row r="206" spans="2:8" x14ac:dyDescent="0.25">
      <c r="B206" s="175" t="s">
        <v>949</v>
      </c>
      <c r="C206" s="88" t="s">
        <v>1140</v>
      </c>
      <c r="D206" s="56" t="s">
        <v>1193</v>
      </c>
      <c r="E206" s="60">
        <v>10</v>
      </c>
      <c r="F206" s="60">
        <v>0.6</v>
      </c>
      <c r="G206" s="60">
        <v>6</v>
      </c>
      <c r="H206" s="95">
        <f>VLOOKUP(C206,data!E207:J255,6,0)</f>
        <v>44546</v>
      </c>
    </row>
    <row r="207" spans="2:8" x14ac:dyDescent="0.25">
      <c r="B207" s="175" t="s">
        <v>951</v>
      </c>
      <c r="C207" s="88" t="s">
        <v>1140</v>
      </c>
      <c r="D207" s="56" t="s">
        <v>1193</v>
      </c>
      <c r="E207" s="60">
        <v>60</v>
      </c>
      <c r="F207" s="60">
        <v>0.6</v>
      </c>
      <c r="G207" s="60">
        <v>36</v>
      </c>
      <c r="H207" s="95">
        <f>VLOOKUP(C207,data!E208:J256,6,0)</f>
        <v>44546</v>
      </c>
    </row>
    <row r="208" spans="2:8" x14ac:dyDescent="0.25">
      <c r="B208" s="175" t="s">
        <v>957</v>
      </c>
      <c r="C208" s="88" t="s">
        <v>1140</v>
      </c>
      <c r="D208" s="56" t="s">
        <v>1193</v>
      </c>
      <c r="E208" s="60">
        <v>60</v>
      </c>
      <c r="F208" s="60">
        <v>0.6</v>
      </c>
      <c r="G208" s="60">
        <v>36</v>
      </c>
      <c r="H208" s="95">
        <f>VLOOKUP(C208,data!E209:J257,6,0)</f>
        <v>44546</v>
      </c>
    </row>
    <row r="209" spans="2:8" x14ac:dyDescent="0.25">
      <c r="B209" s="175" t="s">
        <v>950</v>
      </c>
      <c r="C209" s="88" t="s">
        <v>1140</v>
      </c>
      <c r="D209" s="56" t="s">
        <v>1193</v>
      </c>
      <c r="E209" s="60">
        <v>110</v>
      </c>
      <c r="F209" s="60">
        <v>0.6</v>
      </c>
      <c r="G209" s="60">
        <v>66</v>
      </c>
      <c r="H209" s="95">
        <f>VLOOKUP(C209,data!E210:J258,6,0)</f>
        <v>44549</v>
      </c>
    </row>
    <row r="210" spans="2:8" x14ac:dyDescent="0.25">
      <c r="B210" s="175" t="s">
        <v>952</v>
      </c>
      <c r="C210" s="88" t="s">
        <v>1140</v>
      </c>
      <c r="D210" s="56" t="s">
        <v>1193</v>
      </c>
      <c r="E210" s="60">
        <v>110</v>
      </c>
      <c r="F210" s="60">
        <v>0.6</v>
      </c>
      <c r="G210" s="60">
        <v>66</v>
      </c>
      <c r="H210" s="95">
        <f>VLOOKUP(C210,data!E211:J259,6,0)</f>
        <v>44549</v>
      </c>
    </row>
    <row r="211" spans="2:8" x14ac:dyDescent="0.25">
      <c r="B211" s="175" t="s">
        <v>998</v>
      </c>
      <c r="C211" s="88" t="s">
        <v>1141</v>
      </c>
      <c r="D211" s="56" t="s">
        <v>1194</v>
      </c>
      <c r="E211" s="60">
        <v>20</v>
      </c>
      <c r="F211" s="60">
        <v>0.59</v>
      </c>
      <c r="G211" s="60">
        <v>11.799999999999999</v>
      </c>
      <c r="H211" s="95">
        <f>VLOOKUP(C211,data!E212:J260,6,0)</f>
        <v>44539</v>
      </c>
    </row>
    <row r="212" spans="2:8" x14ac:dyDescent="0.25">
      <c r="B212" s="175" t="s">
        <v>999</v>
      </c>
      <c r="C212" s="88" t="s">
        <v>1142</v>
      </c>
      <c r="D212" s="56" t="s">
        <v>1195</v>
      </c>
      <c r="E212" s="60">
        <v>30</v>
      </c>
      <c r="F212" s="60">
        <v>0.54</v>
      </c>
      <c r="G212" s="60">
        <v>16.200000000000003</v>
      </c>
      <c r="H212" s="95">
        <f>VLOOKUP(C212,data!E213:J261,6,0)</f>
        <v>44539</v>
      </c>
    </row>
    <row r="213" spans="2:8" x14ac:dyDescent="0.25">
      <c r="B213" s="175" t="s">
        <v>1000</v>
      </c>
      <c r="C213" s="88" t="s">
        <v>1142</v>
      </c>
      <c r="D213" s="56" t="s">
        <v>1195</v>
      </c>
      <c r="E213" s="60">
        <v>60</v>
      </c>
      <c r="F213" s="60">
        <v>0.54</v>
      </c>
      <c r="G213" s="60">
        <v>32.400000000000006</v>
      </c>
      <c r="H213" s="95">
        <f>VLOOKUP(C213,data!E214:J262,6,0)</f>
        <v>44539</v>
      </c>
    </row>
    <row r="214" spans="2:8" x14ac:dyDescent="0.25">
      <c r="B214" s="175" t="s">
        <v>1001</v>
      </c>
      <c r="C214" s="88" t="s">
        <v>1142</v>
      </c>
      <c r="D214" s="56" t="s">
        <v>1195</v>
      </c>
      <c r="E214" s="60">
        <v>110</v>
      </c>
      <c r="F214" s="60">
        <v>0.54</v>
      </c>
      <c r="G214" s="60">
        <v>59.400000000000006</v>
      </c>
      <c r="H214" s="95">
        <f>VLOOKUP(C214,data!E215:J263,6,0)</f>
        <v>44539</v>
      </c>
    </row>
    <row r="215" spans="2:8" x14ac:dyDescent="0.25">
      <c r="B215" s="175" t="s">
        <v>1002</v>
      </c>
      <c r="C215" s="88" t="s">
        <v>806</v>
      </c>
      <c r="D215" s="56" t="s">
        <v>839</v>
      </c>
      <c r="E215" s="60">
        <v>110</v>
      </c>
      <c r="F215" s="60">
        <v>0.44</v>
      </c>
      <c r="G215" s="60">
        <v>48.4</v>
      </c>
      <c r="H215" s="95">
        <f>VLOOKUP(C215,data!E216:J264,6,0)</f>
        <v>44546</v>
      </c>
    </row>
    <row r="216" spans="2:8" x14ac:dyDescent="0.25">
      <c r="B216" s="175" t="s">
        <v>1003</v>
      </c>
      <c r="C216" s="88" t="s">
        <v>806</v>
      </c>
      <c r="D216" s="56" t="s">
        <v>839</v>
      </c>
      <c r="E216" s="60">
        <v>110</v>
      </c>
      <c r="F216" s="60">
        <v>0.44</v>
      </c>
      <c r="G216" s="60">
        <v>48.4</v>
      </c>
      <c r="H216" s="95">
        <f>VLOOKUP(C216,data!E217:J265,6,0)</f>
        <v>44546</v>
      </c>
    </row>
    <row r="217" spans="2:8" x14ac:dyDescent="0.25">
      <c r="B217" s="175" t="s">
        <v>1004</v>
      </c>
      <c r="C217" s="88" t="s">
        <v>806</v>
      </c>
      <c r="D217" s="56" t="s">
        <v>839</v>
      </c>
      <c r="E217" s="60">
        <v>110</v>
      </c>
      <c r="F217" s="60">
        <v>0.44</v>
      </c>
      <c r="G217" s="60">
        <v>48.4</v>
      </c>
      <c r="H217" s="95">
        <f>VLOOKUP(C217,data!E218:J266,6,0)</f>
        <v>44546</v>
      </c>
    </row>
    <row r="218" spans="2:8" x14ac:dyDescent="0.25">
      <c r="B218" s="175" t="s">
        <v>1005</v>
      </c>
      <c r="C218" s="88" t="s">
        <v>806</v>
      </c>
      <c r="D218" s="56" t="s">
        <v>839</v>
      </c>
      <c r="E218" s="60">
        <v>110</v>
      </c>
      <c r="F218" s="60">
        <v>0.44</v>
      </c>
      <c r="G218" s="60">
        <v>48.4</v>
      </c>
      <c r="H218" s="95">
        <f>VLOOKUP(C218,data!E219:J267,6,0)</f>
        <v>44546</v>
      </c>
    </row>
    <row r="219" spans="2:8" x14ac:dyDescent="0.25">
      <c r="B219" s="175" t="s">
        <v>1006</v>
      </c>
      <c r="C219" s="88" t="s">
        <v>807</v>
      </c>
      <c r="D219" s="56" t="s">
        <v>840</v>
      </c>
      <c r="E219" s="60">
        <v>110</v>
      </c>
      <c r="F219" s="60">
        <v>0.5</v>
      </c>
      <c r="G219" s="60">
        <v>55</v>
      </c>
      <c r="H219" s="95">
        <f>VLOOKUP(C219,data!E220:J268,6,0)</f>
        <v>44546</v>
      </c>
    </row>
    <row r="220" spans="2:8" x14ac:dyDescent="0.25">
      <c r="B220" s="175" t="s">
        <v>1007</v>
      </c>
      <c r="C220" s="88" t="s">
        <v>1143</v>
      </c>
      <c r="D220" s="56" t="s">
        <v>1196</v>
      </c>
      <c r="E220" s="60">
        <v>110</v>
      </c>
      <c r="F220" s="60">
        <v>0.59</v>
      </c>
      <c r="G220" s="60">
        <v>64.899999999999991</v>
      </c>
      <c r="H220" s="95">
        <f>VLOOKUP(C220,data!E221:J269,6,0)</f>
        <v>44560</v>
      </c>
    </row>
    <row r="221" spans="2:8" x14ac:dyDescent="0.25">
      <c r="B221" s="175" t="s">
        <v>1007</v>
      </c>
      <c r="C221" s="88" t="s">
        <v>1144</v>
      </c>
      <c r="D221" s="56" t="s">
        <v>1197</v>
      </c>
      <c r="E221" s="60">
        <v>60</v>
      </c>
      <c r="F221" s="60">
        <v>0.45</v>
      </c>
      <c r="G221" s="60">
        <v>27</v>
      </c>
      <c r="H221" s="95">
        <f>VLOOKUP(C221,data!E222:J270,6,0)</f>
        <v>44560</v>
      </c>
    </row>
    <row r="222" spans="2:8" x14ac:dyDescent="0.25">
      <c r="B222" s="175" t="s">
        <v>1008</v>
      </c>
      <c r="C222" s="88" t="s">
        <v>808</v>
      </c>
      <c r="D222" s="56" t="s">
        <v>841</v>
      </c>
      <c r="E222" s="60">
        <v>60</v>
      </c>
      <c r="F222" s="60">
        <v>0.44</v>
      </c>
      <c r="G222" s="60">
        <v>26.4</v>
      </c>
      <c r="H222" s="95">
        <f>VLOOKUP(C222,data!E223:J271,6,0)</f>
        <v>44581</v>
      </c>
    </row>
    <row r="223" spans="2:8" x14ac:dyDescent="0.25">
      <c r="B223" s="175" t="s">
        <v>1009</v>
      </c>
      <c r="C223" s="88" t="s">
        <v>1145</v>
      </c>
      <c r="D223" s="56" t="s">
        <v>1198</v>
      </c>
      <c r="E223" s="60">
        <v>40</v>
      </c>
      <c r="F223" s="60">
        <v>0.44</v>
      </c>
      <c r="G223" s="60">
        <v>17.600000000000001</v>
      </c>
      <c r="H223" s="95">
        <f>VLOOKUP(C223,data!E224:J272,6,0)</f>
        <v>44581</v>
      </c>
    </row>
    <row r="224" spans="2:8" x14ac:dyDescent="0.25">
      <c r="B224" s="175" t="s">
        <v>1010</v>
      </c>
      <c r="C224" s="88" t="s">
        <v>799</v>
      </c>
      <c r="D224" s="56" t="s">
        <v>842</v>
      </c>
      <c r="E224" s="60">
        <v>60</v>
      </c>
      <c r="F224" s="60">
        <v>0.44</v>
      </c>
      <c r="G224" s="60">
        <v>26.4</v>
      </c>
      <c r="H224" s="95">
        <f>VLOOKUP(C224,data!E225:J273,6,0)</f>
        <v>44581</v>
      </c>
    </row>
    <row r="225" spans="2:8" x14ac:dyDescent="0.25">
      <c r="B225" s="175" t="s">
        <v>1011</v>
      </c>
      <c r="C225" s="88" t="s">
        <v>1146</v>
      </c>
      <c r="D225" s="56" t="s">
        <v>1199</v>
      </c>
      <c r="E225" s="60">
        <v>60</v>
      </c>
      <c r="F225" s="60">
        <v>0.44</v>
      </c>
      <c r="G225" s="60">
        <v>26.4</v>
      </c>
      <c r="H225" s="95">
        <f>VLOOKUP(C225,data!E226:J274,6,0)</f>
        <v>44581</v>
      </c>
    </row>
    <row r="226" spans="2:8" x14ac:dyDescent="0.25">
      <c r="B226" s="169" t="s">
        <v>1012</v>
      </c>
      <c r="C226" s="88" t="s">
        <v>800</v>
      </c>
      <c r="D226" s="56" t="s">
        <v>843</v>
      </c>
      <c r="E226" s="60">
        <v>50</v>
      </c>
      <c r="F226" s="60">
        <v>0.44</v>
      </c>
      <c r="G226" s="60">
        <v>22</v>
      </c>
      <c r="H226" s="95">
        <f>VLOOKUP(C226,data!E227:J275,6,0)</f>
        <v>44581</v>
      </c>
    </row>
    <row r="227" spans="2:8" x14ac:dyDescent="0.25">
      <c r="B227" s="169" t="s">
        <v>846</v>
      </c>
      <c r="C227" s="88" t="s">
        <v>711</v>
      </c>
      <c r="D227" s="56" t="s">
        <v>712</v>
      </c>
      <c r="E227" s="60">
        <v>210</v>
      </c>
      <c r="F227" s="60">
        <v>0.28999999999999998</v>
      </c>
      <c r="G227" s="60">
        <v>60.9</v>
      </c>
      <c r="H227" s="95">
        <f>VLOOKUP(C227,data!E228:J276,6,0)</f>
        <v>44539</v>
      </c>
    </row>
    <row r="228" spans="2:8" x14ac:dyDescent="0.25">
      <c r="C228" s="88"/>
      <c r="D228" s="56"/>
      <c r="E228" s="60"/>
      <c r="F228" s="60"/>
      <c r="G228" s="60"/>
      <c r="H228" s="95"/>
    </row>
    <row r="229" spans="2:8" x14ac:dyDescent="0.25">
      <c r="C229" s="88"/>
      <c r="D229" s="56"/>
      <c r="E229" s="60"/>
      <c r="F229" s="60"/>
      <c r="G229" s="60"/>
      <c r="H229" s="95"/>
    </row>
    <row r="230" spans="2:8" x14ac:dyDescent="0.25">
      <c r="C230" s="88"/>
      <c r="D230" s="56"/>
      <c r="E230" s="60"/>
      <c r="F230" s="60"/>
      <c r="G230" s="60"/>
      <c r="H230" s="95"/>
    </row>
    <row r="231" spans="2:8" x14ac:dyDescent="0.25">
      <c r="C231" s="88"/>
      <c r="D231" s="56"/>
      <c r="E231" s="60"/>
      <c r="F231" s="60"/>
      <c r="G231" s="60"/>
      <c r="H231" s="95"/>
    </row>
    <row r="232" spans="2:8" x14ac:dyDescent="0.25">
      <c r="C232" s="88"/>
      <c r="D232" s="56"/>
      <c r="E232" s="60"/>
      <c r="F232" s="60"/>
      <c r="G232" s="60"/>
      <c r="H232" s="95"/>
    </row>
    <row r="233" spans="2:8" x14ac:dyDescent="0.25">
      <c r="C233" s="88"/>
      <c r="D233" s="56"/>
      <c r="E233" s="60"/>
      <c r="F233" s="60"/>
      <c r="G233" s="60"/>
      <c r="H233" s="95"/>
    </row>
    <row r="234" spans="2:8" x14ac:dyDescent="0.25">
      <c r="C234" s="88"/>
      <c r="D234" s="56"/>
      <c r="E234" s="60"/>
      <c r="F234" s="60"/>
      <c r="G234" s="60"/>
      <c r="H234" s="95"/>
    </row>
    <row r="235" spans="2:8" x14ac:dyDescent="0.25">
      <c r="C235" s="88"/>
      <c r="D235" s="56"/>
      <c r="E235" s="60"/>
      <c r="F235" s="60"/>
      <c r="G235" s="60"/>
      <c r="H235" s="95"/>
    </row>
    <row r="236" spans="2:8" x14ac:dyDescent="0.25">
      <c r="C236" s="88"/>
      <c r="D236" s="56"/>
      <c r="E236" s="60"/>
      <c r="F236" s="60"/>
      <c r="G236" s="60"/>
      <c r="H236" s="95"/>
    </row>
    <row r="237" spans="2:8" x14ac:dyDescent="0.25">
      <c r="C237" s="88"/>
      <c r="D237" s="56"/>
      <c r="E237" s="60"/>
      <c r="F237" s="60"/>
      <c r="G237" s="60"/>
      <c r="H237" s="95"/>
    </row>
    <row r="238" spans="2:8" x14ac:dyDescent="0.25">
      <c r="C238" s="88"/>
      <c r="D238" s="56"/>
      <c r="E238" s="60"/>
      <c r="F238" s="60"/>
      <c r="G238" s="60"/>
      <c r="H238" s="95"/>
    </row>
    <row r="239" spans="2:8" x14ac:dyDescent="0.25">
      <c r="C239" s="88"/>
      <c r="D239" s="56"/>
      <c r="E239" s="60"/>
      <c r="F239" s="60"/>
      <c r="G239" s="60"/>
      <c r="H239" s="95"/>
    </row>
    <row r="240" spans="2:8" x14ac:dyDescent="0.25">
      <c r="C240" s="88"/>
      <c r="D240" s="56"/>
      <c r="E240" s="60"/>
      <c r="F240" s="60"/>
      <c r="G240" s="60"/>
      <c r="H240" s="95"/>
    </row>
    <row r="241" spans="3:8" x14ac:dyDescent="0.25">
      <c r="C241" s="88"/>
      <c r="D241" s="56"/>
      <c r="E241" s="60"/>
      <c r="F241" s="60"/>
      <c r="G241" s="60"/>
      <c r="H241" s="95"/>
    </row>
    <row r="242" spans="3:8" x14ac:dyDescent="0.25">
      <c r="C242" s="88"/>
      <c r="D242" s="56"/>
      <c r="E242" s="60"/>
      <c r="F242" s="60"/>
      <c r="G242" s="60"/>
      <c r="H242" s="95"/>
    </row>
    <row r="243" spans="3:8" x14ac:dyDescent="0.25">
      <c r="C243" s="88"/>
      <c r="D243" s="56"/>
      <c r="E243" s="60"/>
      <c r="F243" s="60"/>
      <c r="G243" s="60"/>
      <c r="H243" s="95"/>
    </row>
    <row r="244" spans="3:8" x14ac:dyDescent="0.25">
      <c r="C244" s="88"/>
      <c r="D244" s="56"/>
      <c r="E244" s="60"/>
      <c r="F244" s="60"/>
      <c r="G244" s="60"/>
      <c r="H244" s="95"/>
    </row>
    <row r="245" spans="3:8" x14ac:dyDescent="0.25">
      <c r="C245" s="88"/>
      <c r="D245" s="56"/>
      <c r="E245" s="60"/>
      <c r="F245" s="60"/>
      <c r="G245" s="60"/>
      <c r="H245" s="95"/>
    </row>
    <row r="246" spans="3:8" x14ac:dyDescent="0.25">
      <c r="C246" s="88"/>
      <c r="D246" s="56"/>
      <c r="E246" s="60"/>
      <c r="F246" s="60"/>
      <c r="G246" s="60"/>
      <c r="H246" s="95"/>
    </row>
    <row r="247" spans="3:8" x14ac:dyDescent="0.25">
      <c r="C247" s="88"/>
      <c r="D247" s="56"/>
      <c r="E247" s="60"/>
      <c r="F247" s="60"/>
      <c r="G247" s="60"/>
      <c r="H247" s="95"/>
    </row>
    <row r="248" spans="3:8" x14ac:dyDescent="0.25">
      <c r="C248" s="88"/>
      <c r="D248" s="56"/>
      <c r="E248" s="60"/>
      <c r="F248" s="60"/>
      <c r="G248" s="60"/>
      <c r="H248" s="95"/>
    </row>
    <row r="249" spans="3:8" x14ac:dyDescent="0.25">
      <c r="C249" s="88"/>
      <c r="D249" s="56"/>
      <c r="E249" s="60"/>
      <c r="F249" s="60"/>
      <c r="G249" s="60"/>
      <c r="H249" s="95"/>
    </row>
    <row r="250" spans="3:8" x14ac:dyDescent="0.25">
      <c r="C250" s="88"/>
      <c r="D250" s="56"/>
      <c r="E250" s="60"/>
      <c r="F250" s="60"/>
      <c r="G250" s="60"/>
      <c r="H250" s="95"/>
    </row>
    <row r="251" spans="3:8" x14ac:dyDescent="0.25">
      <c r="C251" s="88"/>
      <c r="D251" s="56"/>
      <c r="E251" s="60"/>
      <c r="F251" s="60"/>
      <c r="G251" s="60"/>
      <c r="H251" s="95"/>
    </row>
    <row r="252" spans="3:8" x14ac:dyDescent="0.25">
      <c r="C252" s="88"/>
      <c r="D252" s="56"/>
      <c r="E252" s="60"/>
      <c r="F252" s="60"/>
      <c r="G252" s="60"/>
      <c r="H252" s="95"/>
    </row>
    <row r="253" spans="3:8" x14ac:dyDescent="0.25">
      <c r="C253" s="88"/>
      <c r="D253" s="56"/>
      <c r="E253" s="60"/>
      <c r="F253" s="60"/>
      <c r="G253" s="60"/>
      <c r="H253" s="95"/>
    </row>
    <row r="254" spans="3:8" x14ac:dyDescent="0.25">
      <c r="C254" s="88"/>
      <c r="D254" s="56"/>
      <c r="E254" s="60"/>
      <c r="F254" s="60"/>
      <c r="G254" s="60"/>
      <c r="H254" s="95"/>
    </row>
    <row r="255" spans="3:8" x14ac:dyDescent="0.25">
      <c r="C255" s="88"/>
      <c r="D255" s="56"/>
      <c r="E255" s="60"/>
      <c r="F255" s="60"/>
      <c r="G255" s="60"/>
      <c r="H255" s="95"/>
    </row>
    <row r="256" spans="3:8" x14ac:dyDescent="0.25">
      <c r="C256" s="88"/>
      <c r="D256" s="56"/>
      <c r="E256" s="60"/>
      <c r="F256" s="60"/>
      <c r="G256" s="60"/>
      <c r="H256" s="95"/>
    </row>
    <row r="257" spans="3:8" x14ac:dyDescent="0.25">
      <c r="C257" s="88"/>
      <c r="D257" s="56"/>
      <c r="E257" s="60"/>
      <c r="F257" s="60"/>
      <c r="G257" s="60"/>
      <c r="H257" s="95"/>
    </row>
    <row r="258" spans="3:8" x14ac:dyDescent="0.25">
      <c r="C258" s="88"/>
      <c r="D258" s="56"/>
      <c r="E258" s="60"/>
      <c r="F258" s="60"/>
      <c r="G258" s="60"/>
      <c r="H258" s="95"/>
    </row>
    <row r="259" spans="3:8" x14ac:dyDescent="0.25">
      <c r="C259" s="88"/>
      <c r="D259" s="56"/>
      <c r="E259" s="60"/>
      <c r="F259" s="60"/>
      <c r="G259" s="60"/>
      <c r="H259" s="95"/>
    </row>
    <row r="260" spans="3:8" x14ac:dyDescent="0.25">
      <c r="C260" s="88"/>
      <c r="D260" s="56"/>
      <c r="E260" s="60"/>
      <c r="F260" s="60"/>
      <c r="G260" s="60"/>
      <c r="H260" s="95"/>
    </row>
    <row r="261" spans="3:8" x14ac:dyDescent="0.25">
      <c r="C261" s="88"/>
      <c r="D261" s="56"/>
      <c r="E261" s="60"/>
      <c r="F261" s="60"/>
      <c r="G261" s="60"/>
      <c r="H261" s="95"/>
    </row>
    <row r="262" spans="3:8" x14ac:dyDescent="0.25">
      <c r="C262" s="88"/>
      <c r="D262" s="56"/>
      <c r="E262" s="60"/>
      <c r="F262" s="60"/>
      <c r="G262" s="60"/>
      <c r="H262" s="95"/>
    </row>
    <row r="263" spans="3:8" x14ac:dyDescent="0.25">
      <c r="C263" s="88"/>
      <c r="D263" s="56"/>
      <c r="E263" s="60"/>
      <c r="F263" s="60"/>
      <c r="G263" s="60"/>
      <c r="H263" s="95"/>
    </row>
    <row r="264" spans="3:8" x14ac:dyDescent="0.25">
      <c r="C264" s="88"/>
      <c r="D264" s="56"/>
      <c r="E264" s="60"/>
      <c r="F264" s="60"/>
      <c r="G264" s="60"/>
      <c r="H264" s="95"/>
    </row>
    <row r="265" spans="3:8" x14ac:dyDescent="0.25">
      <c r="C265" s="88"/>
      <c r="D265" s="56"/>
      <c r="E265" s="60"/>
      <c r="F265" s="60"/>
      <c r="G265" s="60"/>
      <c r="H265" s="95"/>
    </row>
    <row r="266" spans="3:8" x14ac:dyDescent="0.25">
      <c r="C266" s="88"/>
      <c r="D266" s="56"/>
      <c r="E266" s="60"/>
      <c r="F266" s="60"/>
      <c r="G266" s="60"/>
      <c r="H266" s="95"/>
    </row>
    <row r="267" spans="3:8" x14ac:dyDescent="0.25">
      <c r="C267" s="88"/>
      <c r="D267" s="56"/>
      <c r="E267" s="60"/>
      <c r="F267" s="60"/>
      <c r="G267" s="60"/>
      <c r="H267" s="95"/>
    </row>
    <row r="268" spans="3:8" x14ac:dyDescent="0.25">
      <c r="C268" s="88"/>
      <c r="D268" s="56"/>
      <c r="E268" s="60"/>
      <c r="F268" s="60"/>
      <c r="G268" s="60"/>
      <c r="H268" s="95"/>
    </row>
    <row r="269" spans="3:8" x14ac:dyDescent="0.25">
      <c r="C269" s="88"/>
      <c r="D269" s="56"/>
      <c r="E269" s="60"/>
      <c r="F269" s="60"/>
      <c r="G269" s="60"/>
      <c r="H269" s="95"/>
    </row>
    <row r="270" spans="3:8" x14ac:dyDescent="0.25">
      <c r="C270" s="88"/>
      <c r="D270" s="56"/>
      <c r="E270" s="60"/>
      <c r="F270" s="60"/>
      <c r="G270" s="60"/>
      <c r="H270" s="95"/>
    </row>
    <row r="271" spans="3:8" x14ac:dyDescent="0.25">
      <c r="C271" s="88"/>
      <c r="D271" s="56"/>
      <c r="E271" s="60"/>
      <c r="F271" s="60"/>
      <c r="G271" s="60"/>
      <c r="H271" s="95"/>
    </row>
    <row r="272" spans="3:8" x14ac:dyDescent="0.25">
      <c r="C272" s="88"/>
      <c r="D272" s="56"/>
      <c r="E272" s="60"/>
      <c r="F272" s="60"/>
      <c r="G272" s="60"/>
      <c r="H272" s="95"/>
    </row>
    <row r="273" spans="3:8" x14ac:dyDescent="0.25">
      <c r="C273" s="88"/>
      <c r="D273" s="56"/>
      <c r="E273" s="60"/>
      <c r="F273" s="60"/>
      <c r="G273" s="60"/>
      <c r="H273" s="95"/>
    </row>
    <row r="274" spans="3:8" x14ac:dyDescent="0.25">
      <c r="C274" s="88"/>
      <c r="D274" s="56"/>
      <c r="E274" s="60"/>
      <c r="F274" s="60"/>
      <c r="G274" s="60"/>
      <c r="H274" s="95"/>
    </row>
    <row r="275" spans="3:8" x14ac:dyDescent="0.25">
      <c r="C275" s="88"/>
      <c r="D275" s="56"/>
      <c r="E275" s="60"/>
      <c r="F275" s="60"/>
      <c r="G275" s="60"/>
      <c r="H275" s="95"/>
    </row>
    <row r="276" spans="3:8" x14ac:dyDescent="0.25">
      <c r="C276" s="88"/>
      <c r="D276" s="56"/>
      <c r="E276" s="60"/>
      <c r="F276" s="60"/>
      <c r="G276" s="60"/>
      <c r="H276" s="95"/>
    </row>
    <row r="277" spans="3:8" x14ac:dyDescent="0.25">
      <c r="C277" s="88"/>
      <c r="D277" s="56"/>
      <c r="E277" s="60"/>
      <c r="F277" s="60"/>
      <c r="G277" s="60"/>
      <c r="H277" s="95"/>
    </row>
    <row r="278" spans="3:8" x14ac:dyDescent="0.25">
      <c r="C278" s="88"/>
      <c r="D278" s="56"/>
      <c r="E278" s="60"/>
      <c r="F278" s="60"/>
      <c r="G278" s="60"/>
      <c r="H278" s="95"/>
    </row>
    <row r="279" spans="3:8" x14ac:dyDescent="0.25">
      <c r="C279" s="88"/>
      <c r="D279" s="56"/>
      <c r="E279" s="60"/>
      <c r="F279" s="60"/>
      <c r="G279" s="60"/>
      <c r="H279" s="95"/>
    </row>
    <row r="280" spans="3:8" x14ac:dyDescent="0.25">
      <c r="C280" s="88"/>
      <c r="D280" s="56"/>
      <c r="E280" s="60"/>
      <c r="F280" s="60"/>
      <c r="G280" s="60"/>
      <c r="H280" s="95"/>
    </row>
    <row r="281" spans="3:8" x14ac:dyDescent="0.25">
      <c r="C281" s="88"/>
      <c r="D281" s="56"/>
      <c r="E281" s="60"/>
      <c r="F281" s="60"/>
      <c r="G281" s="60"/>
      <c r="H281" s="95"/>
    </row>
    <row r="282" spans="3:8" x14ac:dyDescent="0.25">
      <c r="C282" s="88"/>
      <c r="D282" s="56"/>
      <c r="E282" s="60"/>
      <c r="F282" s="60"/>
      <c r="G282" s="60"/>
      <c r="H282" s="95"/>
    </row>
    <row r="283" spans="3:8" x14ac:dyDescent="0.25">
      <c r="C283" s="88"/>
      <c r="D283" s="56"/>
      <c r="E283" s="60"/>
      <c r="F283" s="60"/>
      <c r="G283" s="60"/>
      <c r="H283" s="95"/>
    </row>
    <row r="284" spans="3:8" x14ac:dyDescent="0.25">
      <c r="C284" s="88"/>
      <c r="D284" s="56"/>
      <c r="E284" s="60"/>
      <c r="F284" s="60"/>
      <c r="G284" s="60"/>
      <c r="H284" s="95"/>
    </row>
    <row r="285" spans="3:8" x14ac:dyDescent="0.25">
      <c r="C285" s="88"/>
      <c r="D285" s="56"/>
      <c r="E285" s="60"/>
      <c r="F285" s="60"/>
      <c r="G285" s="60"/>
      <c r="H285" s="95"/>
    </row>
    <row r="286" spans="3:8" x14ac:dyDescent="0.25">
      <c r="C286" s="88"/>
      <c r="D286" s="56"/>
      <c r="E286" s="60"/>
      <c r="F286" s="60"/>
      <c r="G286" s="60"/>
      <c r="H286" s="95"/>
    </row>
    <row r="287" spans="3:8" x14ac:dyDescent="0.25">
      <c r="C287" s="88"/>
      <c r="D287" s="56"/>
      <c r="E287" s="60"/>
      <c r="F287" s="60"/>
      <c r="G287" s="60"/>
      <c r="H287" s="95"/>
    </row>
    <row r="288" spans="3:8" x14ac:dyDescent="0.25">
      <c r="C288" s="88"/>
      <c r="D288" s="56"/>
      <c r="E288" s="60"/>
      <c r="F288" s="60"/>
      <c r="G288" s="60"/>
      <c r="H288" s="95"/>
    </row>
    <row r="289" spans="3:8" x14ac:dyDescent="0.25">
      <c r="C289" s="88"/>
      <c r="D289" s="56"/>
      <c r="E289" s="60"/>
      <c r="F289" s="60"/>
      <c r="G289" s="60"/>
      <c r="H289" s="95"/>
    </row>
    <row r="290" spans="3:8" x14ac:dyDescent="0.25">
      <c r="C290" s="88"/>
      <c r="D290" s="56"/>
      <c r="E290" s="60"/>
      <c r="F290" s="60"/>
      <c r="G290" s="60"/>
      <c r="H290" s="95"/>
    </row>
    <row r="291" spans="3:8" x14ac:dyDescent="0.25">
      <c r="C291" s="88"/>
      <c r="D291" s="56"/>
      <c r="E291" s="60"/>
      <c r="F291" s="60"/>
      <c r="G291" s="60"/>
      <c r="H291" s="95"/>
    </row>
    <row r="292" spans="3:8" x14ac:dyDescent="0.25">
      <c r="C292" s="88"/>
      <c r="D292" s="56"/>
      <c r="E292" s="60"/>
      <c r="F292" s="60"/>
      <c r="G292" s="60"/>
      <c r="H292" s="95"/>
    </row>
    <row r="293" spans="3:8" x14ac:dyDescent="0.25">
      <c r="C293" s="88"/>
      <c r="D293" s="56"/>
      <c r="E293" s="60"/>
      <c r="F293" s="60"/>
      <c r="G293" s="60"/>
      <c r="H293" s="95"/>
    </row>
    <row r="294" spans="3:8" x14ac:dyDescent="0.25">
      <c r="C294" s="88"/>
      <c r="D294" s="56"/>
      <c r="E294" s="60"/>
      <c r="F294" s="60"/>
      <c r="G294" s="60"/>
      <c r="H294" s="95"/>
    </row>
    <row r="295" spans="3:8" x14ac:dyDescent="0.25">
      <c r="C295" s="88"/>
      <c r="D295" s="56"/>
      <c r="E295" s="60"/>
      <c r="F295" s="60"/>
      <c r="G295" s="60"/>
      <c r="H295" s="95"/>
    </row>
    <row r="296" spans="3:8" x14ac:dyDescent="0.25">
      <c r="C296" s="88"/>
      <c r="D296" s="56"/>
      <c r="E296" s="60"/>
      <c r="F296" s="60"/>
      <c r="G296" s="60"/>
      <c r="H296" s="95"/>
    </row>
    <row r="297" spans="3:8" x14ac:dyDescent="0.25">
      <c r="C297" s="88"/>
      <c r="D297" s="56"/>
      <c r="E297" s="60"/>
      <c r="F297" s="60"/>
      <c r="G297" s="60"/>
      <c r="H297" s="95"/>
    </row>
    <row r="298" spans="3:8" x14ac:dyDescent="0.25">
      <c r="C298" s="88"/>
      <c r="D298" s="56"/>
      <c r="E298" s="60"/>
      <c r="F298" s="60"/>
      <c r="G298" s="60"/>
      <c r="H298" s="95"/>
    </row>
    <row r="299" spans="3:8" x14ac:dyDescent="0.25">
      <c r="C299" s="88"/>
      <c r="D299" s="56"/>
      <c r="E299" s="60"/>
      <c r="F299" s="60"/>
      <c r="G299" s="60"/>
      <c r="H299" s="95"/>
    </row>
    <row r="300" spans="3:8" x14ac:dyDescent="0.25">
      <c r="C300" s="88"/>
      <c r="D300" s="56"/>
      <c r="E300" s="60"/>
      <c r="F300" s="60"/>
      <c r="G300" s="60"/>
      <c r="H300" s="95"/>
    </row>
    <row r="301" spans="3:8" x14ac:dyDescent="0.25">
      <c r="C301" s="88"/>
      <c r="D301" s="56"/>
      <c r="E301" s="60"/>
      <c r="F301" s="60"/>
      <c r="G301" s="60"/>
      <c r="H301" s="95"/>
    </row>
    <row r="302" spans="3:8" x14ac:dyDescent="0.25">
      <c r="C302" s="88"/>
      <c r="D302" s="56"/>
      <c r="E302" s="60"/>
      <c r="F302" s="60"/>
      <c r="G302" s="60"/>
      <c r="H302" s="95"/>
    </row>
    <row r="303" spans="3:8" x14ac:dyDescent="0.25">
      <c r="C303" s="88"/>
      <c r="D303" s="56"/>
      <c r="E303" s="60"/>
      <c r="F303" s="60"/>
      <c r="G303" s="60"/>
      <c r="H303" s="95"/>
    </row>
    <row r="304" spans="3:8" x14ac:dyDescent="0.25">
      <c r="C304" s="88"/>
      <c r="D304" s="56"/>
      <c r="E304" s="60"/>
      <c r="F304" s="60"/>
      <c r="G304" s="60"/>
      <c r="H304" s="95"/>
    </row>
    <row r="305" spans="3:8" x14ac:dyDescent="0.25">
      <c r="C305" s="88"/>
      <c r="D305" s="56"/>
      <c r="E305" s="60"/>
      <c r="F305" s="60"/>
      <c r="G305" s="60"/>
      <c r="H305" s="95"/>
    </row>
    <row r="306" spans="3:8" x14ac:dyDescent="0.25">
      <c r="C306" s="88"/>
      <c r="D306" s="56"/>
      <c r="E306" s="60"/>
      <c r="F306" s="60"/>
      <c r="G306" s="60"/>
      <c r="H306" s="95"/>
    </row>
    <row r="307" spans="3:8" x14ac:dyDescent="0.25">
      <c r="C307" s="88"/>
      <c r="D307" s="56"/>
      <c r="E307" s="60"/>
      <c r="F307" s="60"/>
      <c r="G307" s="60"/>
      <c r="H307" s="95"/>
    </row>
    <row r="308" spans="3:8" x14ac:dyDescent="0.25">
      <c r="C308" s="88"/>
      <c r="D308" s="56"/>
      <c r="E308" s="60"/>
      <c r="F308" s="60"/>
      <c r="G308" s="60"/>
      <c r="H308" s="95"/>
    </row>
    <row r="309" spans="3:8" x14ac:dyDescent="0.25">
      <c r="C309" s="88"/>
      <c r="D309" s="56"/>
      <c r="E309" s="60"/>
      <c r="F309" s="60"/>
      <c r="G309" s="60"/>
      <c r="H309" s="95"/>
    </row>
    <row r="310" spans="3:8" x14ac:dyDescent="0.25">
      <c r="C310" s="88"/>
      <c r="D310" s="56"/>
      <c r="E310" s="60"/>
      <c r="F310" s="60"/>
      <c r="G310" s="60"/>
      <c r="H310" s="95"/>
    </row>
    <row r="311" spans="3:8" x14ac:dyDescent="0.25">
      <c r="C311" s="88"/>
      <c r="D311" s="56"/>
      <c r="E311" s="60"/>
      <c r="F311" s="60"/>
      <c r="G311" s="60"/>
      <c r="H311" s="95"/>
    </row>
    <row r="312" spans="3:8" x14ac:dyDescent="0.25">
      <c r="C312" s="88"/>
      <c r="D312" s="56"/>
      <c r="E312" s="60"/>
      <c r="F312" s="60"/>
      <c r="G312" s="60"/>
      <c r="H312" s="95"/>
    </row>
    <row r="313" spans="3:8" x14ac:dyDescent="0.25">
      <c r="C313" s="88"/>
      <c r="D313" s="56"/>
      <c r="E313" s="60"/>
      <c r="F313" s="60"/>
      <c r="G313" s="60"/>
      <c r="H313" s="95"/>
    </row>
    <row r="314" spans="3:8" x14ac:dyDescent="0.25">
      <c r="C314" s="88"/>
      <c r="D314" s="56"/>
      <c r="E314" s="60"/>
      <c r="F314" s="60"/>
      <c r="G314" s="60"/>
      <c r="H314" s="95"/>
    </row>
    <row r="315" spans="3:8" x14ac:dyDescent="0.25">
      <c r="C315" s="88"/>
      <c r="D315" s="56"/>
      <c r="E315" s="60"/>
      <c r="F315" s="60"/>
      <c r="G315" s="60"/>
      <c r="H315" s="95"/>
    </row>
    <row r="316" spans="3:8" x14ac:dyDescent="0.25">
      <c r="C316" s="88"/>
      <c r="D316" s="56"/>
      <c r="E316" s="60"/>
      <c r="F316" s="60"/>
      <c r="G316" s="60"/>
      <c r="H316" s="95"/>
    </row>
    <row r="317" spans="3:8" x14ac:dyDescent="0.25">
      <c r="C317" s="88"/>
      <c r="D317" s="56"/>
      <c r="E317" s="60"/>
      <c r="F317" s="60"/>
      <c r="G317" s="60"/>
      <c r="H317" s="95"/>
    </row>
    <row r="318" spans="3:8" x14ac:dyDescent="0.25">
      <c r="C318" s="88"/>
      <c r="D318" s="56"/>
      <c r="E318" s="60"/>
      <c r="F318" s="60"/>
      <c r="G318" s="60"/>
      <c r="H318" s="95"/>
    </row>
    <row r="319" spans="3:8" x14ac:dyDescent="0.25">
      <c r="C319" s="88"/>
      <c r="D319" s="56"/>
      <c r="E319" s="60"/>
      <c r="F319" s="60"/>
      <c r="G319" s="60"/>
      <c r="H319" s="95"/>
    </row>
    <row r="320" spans="3:8" x14ac:dyDescent="0.25">
      <c r="C320" s="88"/>
      <c r="D320" s="56"/>
      <c r="E320" s="60"/>
      <c r="F320" s="60"/>
      <c r="G320" s="60"/>
      <c r="H320" s="95"/>
    </row>
    <row r="321" spans="3:8" x14ac:dyDescent="0.25">
      <c r="C321" s="88"/>
      <c r="D321" s="56"/>
      <c r="E321" s="60"/>
      <c r="F321" s="60"/>
      <c r="G321" s="60"/>
      <c r="H321" s="95"/>
    </row>
    <row r="322" spans="3:8" x14ac:dyDescent="0.25">
      <c r="C322" s="88"/>
      <c r="D322" s="56"/>
      <c r="E322" s="60"/>
      <c r="F322" s="60"/>
      <c r="G322" s="60"/>
      <c r="H322" s="95"/>
    </row>
    <row r="323" spans="3:8" x14ac:dyDescent="0.25">
      <c r="C323" s="88"/>
      <c r="D323" s="56"/>
      <c r="E323" s="60"/>
      <c r="F323" s="60"/>
      <c r="G323" s="60"/>
      <c r="H323" s="95"/>
    </row>
    <row r="324" spans="3:8" x14ac:dyDescent="0.25">
      <c r="C324" s="88"/>
      <c r="D324" s="56"/>
      <c r="E324" s="60"/>
      <c r="F324" s="60"/>
      <c r="G324" s="60"/>
      <c r="H324" s="95"/>
    </row>
    <row r="325" spans="3:8" x14ac:dyDescent="0.25">
      <c r="C325" s="88"/>
      <c r="D325" s="56"/>
      <c r="E325" s="60"/>
      <c r="F325" s="60"/>
      <c r="G325" s="60"/>
      <c r="H325" s="95"/>
    </row>
    <row r="326" spans="3:8" x14ac:dyDescent="0.25">
      <c r="C326" s="88"/>
      <c r="D326" s="56"/>
      <c r="E326" s="60"/>
      <c r="F326" s="60"/>
      <c r="G326" s="60"/>
      <c r="H326" s="95"/>
    </row>
    <row r="327" spans="3:8" x14ac:dyDescent="0.25">
      <c r="C327" s="88"/>
      <c r="D327" s="56"/>
      <c r="E327" s="60"/>
      <c r="F327" s="60"/>
      <c r="G327" s="60"/>
      <c r="H327" s="95"/>
    </row>
    <row r="328" spans="3:8" x14ac:dyDescent="0.25">
      <c r="C328" s="88"/>
      <c r="D328" s="56"/>
      <c r="E328" s="60"/>
      <c r="F328" s="60"/>
      <c r="G328" s="60"/>
      <c r="H328" s="95"/>
    </row>
    <row r="329" spans="3:8" x14ac:dyDescent="0.25">
      <c r="C329" s="88"/>
      <c r="D329" s="56"/>
      <c r="E329" s="60"/>
      <c r="F329" s="60"/>
      <c r="G329" s="60"/>
      <c r="H329" s="95"/>
    </row>
    <row r="330" spans="3:8" x14ac:dyDescent="0.25">
      <c r="C330" s="88"/>
      <c r="D330" s="56"/>
      <c r="E330" s="60"/>
      <c r="F330" s="60"/>
      <c r="G330" s="60"/>
      <c r="H330" s="95"/>
    </row>
    <row r="331" spans="3:8" x14ac:dyDescent="0.25">
      <c r="C331" s="88"/>
      <c r="D331" s="56"/>
      <c r="E331" s="60"/>
      <c r="F331" s="60"/>
      <c r="G331" s="60"/>
      <c r="H331" s="95"/>
    </row>
    <row r="332" spans="3:8" x14ac:dyDescent="0.25">
      <c r="C332" s="88"/>
      <c r="D332" s="56"/>
      <c r="E332" s="60"/>
      <c r="F332" s="60"/>
      <c r="G332" s="60"/>
      <c r="H332" s="95"/>
    </row>
    <row r="333" spans="3:8" x14ac:dyDescent="0.25">
      <c r="C333" s="88"/>
      <c r="D333" s="56"/>
      <c r="E333" s="60"/>
      <c r="F333" s="60"/>
      <c r="G333" s="60"/>
      <c r="H333" s="95"/>
    </row>
    <row r="334" spans="3:8" x14ac:dyDescent="0.25">
      <c r="C334" s="88"/>
      <c r="D334" s="56"/>
      <c r="E334" s="60"/>
      <c r="F334" s="60"/>
      <c r="G334" s="60"/>
      <c r="H334" s="95"/>
    </row>
    <row r="335" spans="3:8" x14ac:dyDescent="0.25">
      <c r="C335" s="88"/>
      <c r="D335" s="56"/>
      <c r="E335" s="60"/>
      <c r="F335" s="60"/>
      <c r="G335" s="60"/>
      <c r="H335" s="95"/>
    </row>
    <row r="336" spans="3:8" x14ac:dyDescent="0.25">
      <c r="C336" s="88"/>
      <c r="D336" s="56"/>
      <c r="E336" s="60"/>
      <c r="F336" s="60"/>
      <c r="G336" s="60"/>
      <c r="H336" s="95"/>
    </row>
    <row r="337" spans="3:8" x14ac:dyDescent="0.25">
      <c r="C337" s="88"/>
      <c r="D337" s="56"/>
      <c r="E337" s="60"/>
      <c r="F337" s="60"/>
      <c r="G337" s="60"/>
      <c r="H337" s="95"/>
    </row>
    <row r="338" spans="3:8" x14ac:dyDescent="0.25">
      <c r="C338" s="88"/>
      <c r="D338" s="56"/>
      <c r="E338" s="60"/>
      <c r="F338" s="60"/>
      <c r="G338" s="60"/>
      <c r="H338" s="95"/>
    </row>
    <row r="339" spans="3:8" x14ac:dyDescent="0.25">
      <c r="C339" s="88"/>
      <c r="D339" s="56"/>
      <c r="E339" s="60"/>
      <c r="F339" s="60"/>
      <c r="G339" s="60"/>
      <c r="H339" s="95"/>
    </row>
    <row r="340" spans="3:8" x14ac:dyDescent="0.25">
      <c r="C340" s="88"/>
      <c r="D340" s="56"/>
      <c r="E340" s="60"/>
      <c r="F340" s="60"/>
      <c r="G340" s="60"/>
      <c r="H340" s="95"/>
    </row>
    <row r="341" spans="3:8" x14ac:dyDescent="0.25">
      <c r="C341" s="88"/>
      <c r="D341" s="56"/>
      <c r="E341" s="60"/>
      <c r="F341" s="60"/>
      <c r="G341" s="60"/>
      <c r="H341" s="95"/>
    </row>
    <row r="342" spans="3:8" x14ac:dyDescent="0.25">
      <c r="C342" s="88"/>
      <c r="D342" s="56"/>
      <c r="E342" s="60"/>
      <c r="F342" s="60"/>
      <c r="G342" s="60"/>
      <c r="H342" s="95"/>
    </row>
    <row r="343" spans="3:8" x14ac:dyDescent="0.25">
      <c r="C343" s="88"/>
      <c r="D343" s="56"/>
      <c r="E343" s="60"/>
      <c r="F343" s="60"/>
      <c r="G343" s="60"/>
      <c r="H343" s="95"/>
    </row>
    <row r="344" spans="3:8" x14ac:dyDescent="0.25">
      <c r="C344" s="88"/>
      <c r="D344" s="56"/>
      <c r="E344" s="60"/>
      <c r="F344" s="60"/>
      <c r="G344" s="60"/>
      <c r="H344" s="95"/>
    </row>
    <row r="345" spans="3:8" x14ac:dyDescent="0.25">
      <c r="C345" s="88"/>
      <c r="D345" s="56"/>
      <c r="E345" s="60"/>
      <c r="F345" s="60"/>
      <c r="G345" s="60"/>
      <c r="H345" s="95"/>
    </row>
    <row r="346" spans="3:8" x14ac:dyDescent="0.25">
      <c r="C346" s="88"/>
      <c r="D346" s="56"/>
      <c r="E346" s="60"/>
      <c r="F346" s="60"/>
      <c r="G346" s="60"/>
      <c r="H346" s="95"/>
    </row>
    <row r="347" spans="3:8" x14ac:dyDescent="0.25">
      <c r="C347" s="88"/>
      <c r="D347" s="56"/>
      <c r="E347" s="60"/>
      <c r="F347" s="60"/>
      <c r="G347" s="60"/>
      <c r="H347" s="95"/>
    </row>
    <row r="348" spans="3:8" x14ac:dyDescent="0.25">
      <c r="C348" s="88"/>
      <c r="D348" s="56"/>
      <c r="E348" s="60"/>
      <c r="F348" s="60"/>
      <c r="G348" s="60"/>
      <c r="H348" s="95"/>
    </row>
    <row r="349" spans="3:8" x14ac:dyDescent="0.25">
      <c r="C349" s="88"/>
      <c r="D349" s="56"/>
      <c r="E349" s="60"/>
      <c r="F349" s="60"/>
      <c r="G349" s="60"/>
      <c r="H349" s="95"/>
    </row>
    <row r="350" spans="3:8" x14ac:dyDescent="0.25">
      <c r="C350" s="88"/>
      <c r="D350" s="56"/>
      <c r="E350" s="60"/>
      <c r="F350" s="60"/>
      <c r="G350" s="60"/>
      <c r="H350" s="95"/>
    </row>
    <row r="351" spans="3:8" x14ac:dyDescent="0.25">
      <c r="C351" s="88"/>
      <c r="D351" s="56"/>
      <c r="E351" s="60"/>
      <c r="F351" s="60"/>
      <c r="G351" s="60"/>
      <c r="H351" s="95"/>
    </row>
    <row r="352" spans="3:8" x14ac:dyDescent="0.25">
      <c r="C352" s="88"/>
      <c r="D352" s="56"/>
      <c r="E352" s="60"/>
      <c r="F352" s="60"/>
      <c r="G352" s="60"/>
      <c r="H352" s="95"/>
    </row>
    <row r="353" spans="3:8" x14ac:dyDescent="0.25">
      <c r="C353" s="88"/>
      <c r="D353" s="56"/>
      <c r="E353" s="60"/>
      <c r="F353" s="60"/>
      <c r="G353" s="60"/>
      <c r="H353" s="95"/>
    </row>
    <row r="354" spans="3:8" x14ac:dyDescent="0.25">
      <c r="C354" s="88"/>
      <c r="D354" s="56"/>
      <c r="E354" s="60"/>
      <c r="F354" s="60"/>
      <c r="G354" s="60"/>
      <c r="H354" s="95"/>
    </row>
    <row r="355" spans="3:8" x14ac:dyDescent="0.25">
      <c r="C355" s="88"/>
      <c r="D355" s="56"/>
      <c r="E355" s="60"/>
      <c r="F355" s="60"/>
      <c r="G355" s="60"/>
      <c r="H355" s="95"/>
    </row>
    <row r="356" spans="3:8" x14ac:dyDescent="0.25">
      <c r="C356" s="88"/>
      <c r="D356" s="56"/>
      <c r="E356" s="60"/>
      <c r="F356" s="60"/>
      <c r="G356" s="60"/>
      <c r="H356" s="95"/>
    </row>
    <row r="357" spans="3:8" x14ac:dyDescent="0.25">
      <c r="C357" s="88"/>
      <c r="D357" s="56"/>
      <c r="E357" s="60"/>
      <c r="F357" s="60"/>
      <c r="G357" s="60"/>
      <c r="H357" s="95"/>
    </row>
    <row r="358" spans="3:8" x14ac:dyDescent="0.25">
      <c r="C358" s="88"/>
      <c r="D358" s="56"/>
      <c r="E358" s="60"/>
      <c r="F358" s="60"/>
      <c r="G358" s="60"/>
      <c r="H358" s="95"/>
    </row>
    <row r="359" spans="3:8" x14ac:dyDescent="0.25">
      <c r="C359" s="88"/>
      <c r="D359" s="56"/>
      <c r="E359" s="60"/>
      <c r="F359" s="60"/>
      <c r="G359" s="60"/>
      <c r="H359" s="95"/>
    </row>
    <row r="360" spans="3:8" x14ac:dyDescent="0.25">
      <c r="C360" s="88"/>
      <c r="D360" s="56"/>
      <c r="E360" s="60"/>
      <c r="F360" s="60"/>
      <c r="G360" s="60"/>
      <c r="H360" s="95"/>
    </row>
    <row r="361" spans="3:8" x14ac:dyDescent="0.25">
      <c r="C361" s="88"/>
      <c r="D361" s="56"/>
      <c r="E361" s="60"/>
      <c r="F361" s="60"/>
      <c r="G361" s="60"/>
      <c r="H361" s="95"/>
    </row>
    <row r="362" spans="3:8" x14ac:dyDescent="0.25">
      <c r="C362" s="88"/>
      <c r="D362" s="56"/>
      <c r="E362" s="60"/>
      <c r="F362" s="60"/>
      <c r="G362" s="60"/>
      <c r="H362" s="95"/>
    </row>
    <row r="363" spans="3:8" x14ac:dyDescent="0.25">
      <c r="C363" s="88"/>
      <c r="D363" s="56"/>
      <c r="E363" s="60"/>
      <c r="F363" s="60"/>
      <c r="G363" s="60"/>
      <c r="H363" s="95"/>
    </row>
    <row r="364" spans="3:8" x14ac:dyDescent="0.25">
      <c r="C364" s="88"/>
      <c r="D364" s="56"/>
      <c r="E364" s="60"/>
      <c r="F364" s="60"/>
      <c r="G364" s="60"/>
      <c r="H364" s="95"/>
    </row>
    <row r="365" spans="3:8" x14ac:dyDescent="0.25">
      <c r="C365" s="88"/>
      <c r="D365" s="56"/>
      <c r="E365" s="60"/>
      <c r="F365" s="60"/>
      <c r="G365" s="60"/>
      <c r="H365" s="95"/>
    </row>
    <row r="366" spans="3:8" x14ac:dyDescent="0.25">
      <c r="C366" s="88"/>
      <c r="D366" s="56"/>
      <c r="E366" s="60"/>
      <c r="F366" s="60"/>
      <c r="G366" s="60"/>
      <c r="H366" s="95"/>
    </row>
    <row r="367" spans="3:8" x14ac:dyDescent="0.25">
      <c r="C367" s="88"/>
      <c r="D367" s="56"/>
      <c r="E367" s="60"/>
      <c r="F367" s="60"/>
      <c r="G367" s="60"/>
      <c r="H367" s="95"/>
    </row>
    <row r="368" spans="3:8" x14ac:dyDescent="0.25">
      <c r="C368" s="88"/>
      <c r="D368" s="56"/>
      <c r="E368" s="60"/>
      <c r="F368" s="60"/>
      <c r="G368" s="60"/>
      <c r="H368" s="95"/>
    </row>
    <row r="369" spans="3:8" x14ac:dyDescent="0.25">
      <c r="C369" s="88"/>
      <c r="D369" s="56"/>
      <c r="E369" s="60"/>
      <c r="F369" s="60"/>
      <c r="G369" s="60"/>
      <c r="H369" s="95"/>
    </row>
    <row r="370" spans="3:8" x14ac:dyDescent="0.25">
      <c r="C370" s="88"/>
      <c r="D370" s="56"/>
      <c r="E370" s="60"/>
      <c r="F370" s="60"/>
      <c r="G370" s="60"/>
      <c r="H370" s="95"/>
    </row>
    <row r="371" spans="3:8" x14ac:dyDescent="0.25">
      <c r="C371" s="88"/>
      <c r="D371" s="56"/>
      <c r="E371" s="60"/>
      <c r="F371" s="60"/>
      <c r="G371" s="60"/>
      <c r="H371" s="95"/>
    </row>
    <row r="372" spans="3:8" x14ac:dyDescent="0.25">
      <c r="C372" s="88"/>
      <c r="D372" s="56"/>
      <c r="E372" s="60"/>
      <c r="F372" s="60"/>
      <c r="G372" s="60"/>
      <c r="H372" s="95"/>
    </row>
    <row r="373" spans="3:8" x14ac:dyDescent="0.25">
      <c r="C373" s="88"/>
      <c r="D373" s="56"/>
      <c r="E373" s="60"/>
      <c r="F373" s="60"/>
      <c r="G373" s="60"/>
      <c r="H373" s="95"/>
    </row>
    <row r="374" spans="3:8" x14ac:dyDescent="0.25">
      <c r="C374" s="88"/>
      <c r="D374" s="56"/>
      <c r="E374" s="60"/>
      <c r="F374" s="60"/>
      <c r="G374" s="60"/>
      <c r="H374" s="95"/>
    </row>
    <row r="375" spans="3:8" x14ac:dyDescent="0.25">
      <c r="C375" s="88"/>
      <c r="D375" s="56"/>
      <c r="E375" s="60"/>
      <c r="F375" s="60"/>
      <c r="G375" s="60"/>
      <c r="H375" s="95"/>
    </row>
    <row r="376" spans="3:8" x14ac:dyDescent="0.25">
      <c r="C376" s="88"/>
      <c r="D376" s="56"/>
      <c r="E376" s="60"/>
      <c r="F376" s="60"/>
      <c r="G376" s="60"/>
      <c r="H376" s="95"/>
    </row>
    <row r="377" spans="3:8" x14ac:dyDescent="0.25">
      <c r="C377" s="88"/>
      <c r="D377" s="56"/>
      <c r="E377" s="60"/>
      <c r="F377" s="60"/>
      <c r="G377" s="60"/>
      <c r="H377" s="95"/>
    </row>
    <row r="378" spans="3:8" x14ac:dyDescent="0.25">
      <c r="C378" s="88"/>
      <c r="D378" s="56"/>
      <c r="E378" s="60"/>
      <c r="F378" s="60"/>
      <c r="G378" s="60"/>
      <c r="H378" s="95"/>
    </row>
    <row r="379" spans="3:8" x14ac:dyDescent="0.25">
      <c r="C379" s="88"/>
      <c r="D379" s="56"/>
      <c r="E379" s="60"/>
      <c r="F379" s="60"/>
      <c r="G379" s="60"/>
      <c r="H379" s="95"/>
    </row>
    <row r="380" spans="3:8" x14ac:dyDescent="0.25">
      <c r="C380" s="88"/>
      <c r="D380" s="56"/>
      <c r="E380" s="60"/>
      <c r="F380" s="60"/>
      <c r="G380" s="60"/>
      <c r="H380" s="95"/>
    </row>
    <row r="381" spans="3:8" x14ac:dyDescent="0.25">
      <c r="C381" s="88"/>
      <c r="D381" s="56"/>
      <c r="E381" s="60"/>
      <c r="F381" s="60"/>
      <c r="G381" s="60"/>
      <c r="H381" s="95"/>
    </row>
    <row r="382" spans="3:8" x14ac:dyDescent="0.25">
      <c r="C382" s="88"/>
      <c r="D382" s="56"/>
      <c r="E382" s="60"/>
      <c r="F382" s="60"/>
      <c r="G382" s="60"/>
      <c r="H382" s="95"/>
    </row>
    <row r="383" spans="3:8" x14ac:dyDescent="0.25">
      <c r="C383" s="88"/>
      <c r="D383" s="56"/>
      <c r="E383" s="60"/>
      <c r="F383" s="60"/>
      <c r="G383" s="60"/>
      <c r="H383" s="95"/>
    </row>
    <row r="384" spans="3:8" x14ac:dyDescent="0.25">
      <c r="C384" s="88"/>
      <c r="D384" s="56"/>
      <c r="E384" s="60"/>
      <c r="F384" s="60"/>
      <c r="G384" s="60"/>
      <c r="H384" s="95"/>
    </row>
    <row r="385" spans="3:8" x14ac:dyDescent="0.25">
      <c r="C385" s="88"/>
      <c r="D385" s="56"/>
      <c r="E385" s="60"/>
      <c r="F385" s="60"/>
      <c r="G385" s="60"/>
      <c r="H385" s="95"/>
    </row>
    <row r="386" spans="3:8" x14ac:dyDescent="0.25">
      <c r="C386" s="88"/>
      <c r="D386" s="56"/>
      <c r="E386" s="60"/>
      <c r="F386" s="60"/>
      <c r="G386" s="60"/>
      <c r="H386" s="95"/>
    </row>
    <row r="387" spans="3:8" x14ac:dyDescent="0.25">
      <c r="C387" s="88"/>
      <c r="D387" s="56"/>
      <c r="E387" s="60"/>
      <c r="F387" s="60"/>
      <c r="G387" s="60"/>
      <c r="H387" s="95"/>
    </row>
    <row r="388" spans="3:8" x14ac:dyDescent="0.25">
      <c r="C388" s="88"/>
      <c r="D388" s="56"/>
      <c r="E388" s="60"/>
      <c r="F388" s="60"/>
      <c r="G388" s="60"/>
      <c r="H388" s="95"/>
    </row>
    <row r="389" spans="3:8" x14ac:dyDescent="0.25">
      <c r="C389" s="88"/>
      <c r="D389" s="56"/>
      <c r="E389" s="60"/>
      <c r="F389" s="60"/>
      <c r="G389" s="60"/>
      <c r="H389" s="95"/>
    </row>
    <row r="390" spans="3:8" x14ac:dyDescent="0.25">
      <c r="C390" s="88"/>
      <c r="D390" s="56"/>
      <c r="E390" s="60"/>
      <c r="F390" s="60"/>
      <c r="G390" s="60"/>
      <c r="H390" s="95"/>
    </row>
    <row r="391" spans="3:8" x14ac:dyDescent="0.25">
      <c r="C391" s="88"/>
      <c r="D391" s="56"/>
      <c r="E391" s="60"/>
      <c r="F391" s="60"/>
      <c r="G391" s="60"/>
      <c r="H391" s="95"/>
    </row>
    <row r="392" spans="3:8" x14ac:dyDescent="0.25">
      <c r="C392" s="88"/>
      <c r="D392" s="56"/>
      <c r="E392" s="60"/>
      <c r="F392" s="60"/>
      <c r="G392" s="60"/>
      <c r="H392" s="95"/>
    </row>
    <row r="393" spans="3:8" x14ac:dyDescent="0.25">
      <c r="C393" s="88"/>
      <c r="D393" s="56"/>
      <c r="E393" s="60"/>
      <c r="F393" s="60"/>
      <c r="G393" s="60"/>
      <c r="H393" s="95"/>
    </row>
    <row r="394" spans="3:8" x14ac:dyDescent="0.25">
      <c r="C394" s="88"/>
      <c r="D394" s="56"/>
      <c r="E394" s="60"/>
      <c r="F394" s="60"/>
      <c r="G394" s="60"/>
      <c r="H394" s="95"/>
    </row>
    <row r="395" spans="3:8" x14ac:dyDescent="0.25">
      <c r="C395" s="88"/>
      <c r="D395" s="56"/>
      <c r="E395" s="60"/>
      <c r="F395" s="60"/>
      <c r="G395" s="60"/>
      <c r="H395" s="95"/>
    </row>
    <row r="396" spans="3:8" x14ac:dyDescent="0.25">
      <c r="C396" s="88"/>
      <c r="D396" s="56"/>
      <c r="E396" s="60"/>
      <c r="F396" s="60"/>
      <c r="G396" s="60"/>
      <c r="H396" s="95"/>
    </row>
    <row r="397" spans="3:8" x14ac:dyDescent="0.25">
      <c r="C397" s="88"/>
      <c r="D397" s="56"/>
      <c r="E397" s="60"/>
      <c r="F397" s="60"/>
      <c r="G397" s="60"/>
      <c r="H397" s="95"/>
    </row>
    <row r="398" spans="3:8" x14ac:dyDescent="0.25">
      <c r="C398" s="88"/>
      <c r="D398" s="56"/>
      <c r="E398" s="60"/>
      <c r="F398" s="60"/>
      <c r="G398" s="60"/>
      <c r="H398" s="95"/>
    </row>
    <row r="399" spans="3:8" x14ac:dyDescent="0.25">
      <c r="C399" s="88"/>
      <c r="D399" s="56"/>
      <c r="E399" s="60"/>
      <c r="F399" s="60"/>
      <c r="G399" s="60"/>
      <c r="H399" s="95"/>
    </row>
    <row r="400" spans="3:8" x14ac:dyDescent="0.25">
      <c r="C400" s="88"/>
      <c r="D400" s="56"/>
      <c r="E400" s="60"/>
      <c r="F400" s="60"/>
      <c r="G400" s="60"/>
      <c r="H400" s="95"/>
    </row>
    <row r="401" spans="3:8" x14ac:dyDescent="0.25">
      <c r="C401" s="88"/>
      <c r="D401" s="56"/>
      <c r="E401" s="60"/>
      <c r="F401" s="60"/>
      <c r="G401" s="60"/>
      <c r="H401" s="95"/>
    </row>
    <row r="402" spans="3:8" x14ac:dyDescent="0.25">
      <c r="C402" s="88"/>
      <c r="D402" s="56"/>
      <c r="E402" s="60"/>
      <c r="F402" s="60"/>
      <c r="G402" s="60"/>
      <c r="H402" s="95"/>
    </row>
    <row r="403" spans="3:8" x14ac:dyDescent="0.25">
      <c r="C403" s="88"/>
      <c r="D403" s="56"/>
      <c r="E403" s="60"/>
      <c r="F403" s="60"/>
      <c r="G403" s="60"/>
      <c r="H403" s="95"/>
    </row>
    <row r="404" spans="3:8" x14ac:dyDescent="0.25">
      <c r="C404" s="88"/>
      <c r="D404" s="56"/>
      <c r="E404" s="60"/>
      <c r="F404" s="60"/>
      <c r="G404" s="60"/>
      <c r="H404" s="95"/>
    </row>
    <row r="405" spans="3:8" x14ac:dyDescent="0.25">
      <c r="C405" s="88"/>
      <c r="D405" s="56"/>
      <c r="E405" s="60"/>
      <c r="F405" s="60"/>
      <c r="G405" s="60"/>
      <c r="H405" s="95"/>
    </row>
    <row r="406" spans="3:8" x14ac:dyDescent="0.25">
      <c r="C406" s="88"/>
      <c r="D406" s="56"/>
      <c r="E406" s="60"/>
      <c r="F406" s="60"/>
      <c r="G406" s="60"/>
      <c r="H406" s="95"/>
    </row>
    <row r="407" spans="3:8" x14ac:dyDescent="0.25">
      <c r="C407" s="88"/>
      <c r="D407" s="56"/>
      <c r="E407" s="60"/>
      <c r="F407" s="60"/>
      <c r="G407" s="60"/>
      <c r="H407" s="95"/>
    </row>
    <row r="408" spans="3:8" x14ac:dyDescent="0.25">
      <c r="C408" s="88"/>
      <c r="D408" s="56"/>
      <c r="E408" s="60"/>
      <c r="F408" s="60"/>
      <c r="G408" s="60"/>
      <c r="H408" s="95"/>
    </row>
    <row r="409" spans="3:8" x14ac:dyDescent="0.25">
      <c r="C409" s="88"/>
      <c r="D409" s="56"/>
      <c r="E409" s="60"/>
      <c r="F409" s="60"/>
      <c r="G409" s="60"/>
      <c r="H409" s="95"/>
    </row>
    <row r="410" spans="3:8" x14ac:dyDescent="0.25">
      <c r="C410" s="88"/>
      <c r="D410" s="56"/>
      <c r="E410" s="60"/>
      <c r="F410" s="60"/>
      <c r="G410" s="60"/>
      <c r="H410" s="95"/>
    </row>
    <row r="411" spans="3:8" x14ac:dyDescent="0.25">
      <c r="C411" s="88"/>
      <c r="D411" s="56"/>
      <c r="E411" s="60"/>
      <c r="F411" s="60"/>
      <c r="G411" s="60"/>
      <c r="H411" s="95"/>
    </row>
    <row r="412" spans="3:8" x14ac:dyDescent="0.25">
      <c r="C412" s="88"/>
      <c r="D412" s="56"/>
      <c r="E412" s="60"/>
      <c r="F412" s="60"/>
      <c r="G412" s="60"/>
      <c r="H412" s="95"/>
    </row>
    <row r="413" spans="3:8" x14ac:dyDescent="0.25">
      <c r="C413" s="88"/>
      <c r="D413" s="56"/>
      <c r="E413" s="60"/>
      <c r="F413" s="60"/>
      <c r="G413" s="60"/>
      <c r="H413" s="95"/>
    </row>
    <row r="414" spans="3:8" x14ac:dyDescent="0.25">
      <c r="C414" s="88"/>
      <c r="D414" s="56"/>
      <c r="E414" s="60"/>
      <c r="F414" s="60"/>
      <c r="G414" s="60"/>
      <c r="H414" s="95"/>
    </row>
    <row r="415" spans="3:8" x14ac:dyDescent="0.25">
      <c r="C415" s="88"/>
      <c r="D415" s="56"/>
      <c r="E415" s="60"/>
      <c r="F415" s="60"/>
      <c r="G415" s="60"/>
      <c r="H415" s="95"/>
    </row>
    <row r="416" spans="3:8" x14ac:dyDescent="0.25">
      <c r="C416" s="88"/>
      <c r="D416" s="56"/>
      <c r="E416" s="60"/>
      <c r="F416" s="60"/>
      <c r="G416" s="60"/>
      <c r="H416" s="95"/>
    </row>
    <row r="417" spans="3:8" x14ac:dyDescent="0.25">
      <c r="C417" s="88"/>
      <c r="D417" s="56"/>
      <c r="E417" s="60"/>
      <c r="F417" s="60"/>
      <c r="G417" s="60"/>
      <c r="H417" s="95"/>
    </row>
    <row r="418" spans="3:8" x14ac:dyDescent="0.25">
      <c r="C418" s="88"/>
      <c r="D418" s="56"/>
      <c r="E418" s="60"/>
      <c r="F418" s="60"/>
      <c r="G418" s="60"/>
      <c r="H418" s="95"/>
    </row>
    <row r="419" spans="3:8" x14ac:dyDescent="0.25">
      <c r="C419" s="88"/>
      <c r="D419" s="56"/>
      <c r="E419" s="60"/>
      <c r="F419" s="60"/>
      <c r="G419" s="60"/>
      <c r="H419" s="95"/>
    </row>
    <row r="420" spans="3:8" x14ac:dyDescent="0.25">
      <c r="C420" s="88"/>
      <c r="D420" s="56"/>
      <c r="E420" s="60"/>
      <c r="F420" s="60"/>
      <c r="G420" s="60"/>
      <c r="H420" s="95"/>
    </row>
    <row r="421" spans="3:8" x14ac:dyDescent="0.25">
      <c r="C421" s="88"/>
      <c r="D421" s="56"/>
      <c r="E421" s="60"/>
      <c r="F421" s="60"/>
      <c r="G421" s="60"/>
      <c r="H421" s="95"/>
    </row>
    <row r="422" spans="3:8" x14ac:dyDescent="0.25">
      <c r="C422" s="88"/>
      <c r="D422" s="56"/>
      <c r="E422" s="60"/>
      <c r="F422" s="60"/>
      <c r="G422" s="60"/>
      <c r="H422" s="95"/>
    </row>
    <row r="423" spans="3:8" x14ac:dyDescent="0.25">
      <c r="C423" s="88"/>
      <c r="D423" s="56"/>
      <c r="E423" s="60"/>
      <c r="F423" s="60"/>
      <c r="G423" s="60"/>
      <c r="H423" s="95"/>
    </row>
    <row r="424" spans="3:8" x14ac:dyDescent="0.25">
      <c r="C424" s="88"/>
      <c r="D424" s="56"/>
      <c r="E424" s="60"/>
      <c r="F424" s="60"/>
      <c r="G424" s="60"/>
      <c r="H424" s="95"/>
    </row>
    <row r="425" spans="3:8" x14ac:dyDescent="0.25">
      <c r="C425" s="88"/>
      <c r="D425" s="56"/>
      <c r="E425" s="60"/>
      <c r="F425" s="60"/>
      <c r="G425" s="60"/>
      <c r="H425" s="95"/>
    </row>
    <row r="426" spans="3:8" x14ac:dyDescent="0.25">
      <c r="C426" s="88"/>
      <c r="D426" s="56"/>
      <c r="E426" s="60"/>
      <c r="F426" s="60"/>
      <c r="G426" s="60"/>
      <c r="H426" s="95"/>
    </row>
    <row r="427" spans="3:8" x14ac:dyDescent="0.25">
      <c r="C427" s="88"/>
      <c r="D427" s="56"/>
      <c r="E427" s="60"/>
      <c r="F427" s="60"/>
      <c r="G427" s="60"/>
      <c r="H427" s="95"/>
    </row>
    <row r="428" spans="3:8" x14ac:dyDescent="0.25">
      <c r="C428" s="88"/>
      <c r="D428" s="56"/>
      <c r="E428" s="60"/>
      <c r="F428" s="60"/>
      <c r="G428" s="60"/>
      <c r="H428" s="95"/>
    </row>
    <row r="429" spans="3:8" x14ac:dyDescent="0.25">
      <c r="C429" s="88"/>
      <c r="D429" s="56"/>
      <c r="E429" s="60"/>
      <c r="F429" s="60"/>
      <c r="G429" s="60"/>
      <c r="H429" s="95"/>
    </row>
    <row r="430" spans="3:8" x14ac:dyDescent="0.25">
      <c r="C430" s="88"/>
      <c r="D430" s="56"/>
      <c r="E430" s="60"/>
      <c r="F430" s="60"/>
      <c r="G430" s="60"/>
      <c r="H430" s="95"/>
    </row>
    <row r="431" spans="3:8" x14ac:dyDescent="0.25">
      <c r="C431" s="88"/>
      <c r="D431" s="56"/>
      <c r="E431" s="60"/>
      <c r="F431" s="60"/>
      <c r="G431" s="60"/>
      <c r="H431" s="95"/>
    </row>
    <row r="432" spans="3:8" x14ac:dyDescent="0.25">
      <c r="C432" s="88"/>
      <c r="D432" s="56"/>
      <c r="E432" s="60"/>
      <c r="F432" s="60"/>
      <c r="G432" s="60"/>
      <c r="H432" s="95"/>
    </row>
    <row r="433" spans="3:8" x14ac:dyDescent="0.25">
      <c r="C433" s="88"/>
      <c r="D433" s="56"/>
      <c r="E433" s="60"/>
      <c r="F433" s="60"/>
      <c r="G433" s="60"/>
      <c r="H433" s="95"/>
    </row>
    <row r="434" spans="3:8" x14ac:dyDescent="0.25">
      <c r="C434" s="88"/>
      <c r="D434" s="56"/>
      <c r="E434" s="60"/>
      <c r="F434" s="60"/>
      <c r="G434" s="60"/>
      <c r="H434" s="95"/>
    </row>
    <row r="435" spans="3:8" x14ac:dyDescent="0.25">
      <c r="C435" s="88"/>
      <c r="D435" s="56"/>
      <c r="E435" s="60"/>
      <c r="F435" s="60"/>
      <c r="G435" s="60"/>
      <c r="H435" s="95"/>
    </row>
    <row r="436" spans="3:8" x14ac:dyDescent="0.25">
      <c r="C436" s="88"/>
      <c r="D436" s="56"/>
      <c r="E436" s="60"/>
      <c r="F436" s="60"/>
      <c r="G436" s="60"/>
      <c r="H436" s="95"/>
    </row>
    <row r="437" spans="3:8" x14ac:dyDescent="0.25">
      <c r="C437" s="88"/>
      <c r="D437" s="56"/>
      <c r="E437" s="60"/>
      <c r="F437" s="60"/>
      <c r="G437" s="60"/>
      <c r="H437" s="95"/>
    </row>
    <row r="438" spans="3:8" x14ac:dyDescent="0.25">
      <c r="C438" s="88"/>
      <c r="D438" s="56"/>
      <c r="E438" s="60"/>
      <c r="F438" s="60"/>
      <c r="G438" s="60"/>
      <c r="H438" s="95"/>
    </row>
    <row r="439" spans="3:8" x14ac:dyDescent="0.25">
      <c r="C439" s="88"/>
      <c r="D439" s="56"/>
      <c r="E439" s="60"/>
      <c r="F439" s="60"/>
      <c r="G439" s="60"/>
      <c r="H439" s="95"/>
    </row>
    <row r="440" spans="3:8" x14ac:dyDescent="0.25">
      <c r="C440" s="88"/>
      <c r="D440" s="56"/>
      <c r="E440" s="60"/>
      <c r="F440" s="60"/>
      <c r="G440" s="60"/>
      <c r="H440" s="95"/>
    </row>
    <row r="441" spans="3:8" x14ac:dyDescent="0.25">
      <c r="C441" s="88"/>
      <c r="D441" s="56"/>
      <c r="E441" s="60"/>
      <c r="F441" s="60"/>
      <c r="G441" s="60"/>
      <c r="H441" s="95"/>
    </row>
    <row r="442" spans="3:8" x14ac:dyDescent="0.25">
      <c r="C442" s="88"/>
      <c r="D442" s="56"/>
      <c r="E442" s="60"/>
      <c r="F442" s="60"/>
      <c r="G442" s="60"/>
      <c r="H442" s="95"/>
    </row>
    <row r="443" spans="3:8" x14ac:dyDescent="0.25">
      <c r="C443" s="88"/>
      <c r="D443" s="56"/>
      <c r="E443" s="60"/>
      <c r="F443" s="60"/>
      <c r="G443" s="60"/>
      <c r="H443" s="95"/>
    </row>
    <row r="444" spans="3:8" x14ac:dyDescent="0.25">
      <c r="C444" s="88"/>
      <c r="D444" s="56"/>
      <c r="E444" s="60"/>
      <c r="F444" s="60"/>
      <c r="G444" s="60"/>
      <c r="H444" s="95"/>
    </row>
    <row r="445" spans="3:8" x14ac:dyDescent="0.25">
      <c r="C445" s="88"/>
      <c r="D445" s="56"/>
      <c r="E445" s="60"/>
      <c r="F445" s="60"/>
      <c r="G445" s="60"/>
      <c r="H445" s="95"/>
    </row>
    <row r="446" spans="3:8" x14ac:dyDescent="0.25">
      <c r="C446" s="88"/>
      <c r="D446" s="56"/>
      <c r="E446" s="60"/>
      <c r="F446" s="60"/>
      <c r="G446" s="60"/>
      <c r="H446" s="95"/>
    </row>
    <row r="447" spans="3:8" x14ac:dyDescent="0.25">
      <c r="C447" s="88"/>
      <c r="D447" s="56"/>
      <c r="E447" s="60"/>
      <c r="F447" s="60"/>
      <c r="G447" s="60"/>
      <c r="H447" s="95"/>
    </row>
    <row r="448" spans="3:8" x14ac:dyDescent="0.25">
      <c r="C448" s="88"/>
      <c r="D448" s="56"/>
      <c r="E448" s="60"/>
      <c r="F448" s="60"/>
      <c r="G448" s="60"/>
      <c r="H448" s="95"/>
    </row>
    <row r="449" spans="3:8" x14ac:dyDescent="0.25">
      <c r="C449" s="88"/>
      <c r="D449" s="56"/>
      <c r="E449" s="60"/>
      <c r="F449" s="60"/>
      <c r="G449" s="60"/>
      <c r="H449" s="95"/>
    </row>
    <row r="450" spans="3:8" x14ac:dyDescent="0.25">
      <c r="C450" s="88"/>
      <c r="D450" s="56"/>
      <c r="E450" s="60"/>
      <c r="F450" s="60"/>
      <c r="G450" s="60"/>
      <c r="H450" s="95"/>
    </row>
    <row r="451" spans="3:8" x14ac:dyDescent="0.25">
      <c r="C451" s="88"/>
      <c r="D451" s="56"/>
      <c r="E451" s="60"/>
      <c r="F451" s="60"/>
      <c r="G451" s="60"/>
      <c r="H451" s="95"/>
    </row>
    <row r="452" spans="3:8" x14ac:dyDescent="0.25">
      <c r="C452" s="88"/>
      <c r="D452" s="56"/>
      <c r="E452" s="60"/>
      <c r="F452" s="60"/>
      <c r="G452" s="60"/>
      <c r="H452" s="95"/>
    </row>
    <row r="453" spans="3:8" x14ac:dyDescent="0.25">
      <c r="C453" s="88"/>
      <c r="D453" s="56"/>
      <c r="E453" s="60"/>
      <c r="F453" s="60"/>
      <c r="G453" s="60"/>
      <c r="H453" s="95"/>
    </row>
    <row r="454" spans="3:8" x14ac:dyDescent="0.25">
      <c r="C454" s="88"/>
      <c r="D454" s="56"/>
      <c r="E454" s="60"/>
      <c r="F454" s="60"/>
      <c r="G454" s="60"/>
      <c r="H454" s="95"/>
    </row>
    <row r="455" spans="3:8" x14ac:dyDescent="0.25">
      <c r="C455" s="88"/>
      <c r="D455" s="56"/>
      <c r="E455" s="60"/>
      <c r="F455" s="60"/>
      <c r="G455" s="60"/>
      <c r="H455" s="95"/>
    </row>
    <row r="456" spans="3:8" x14ac:dyDescent="0.25">
      <c r="C456" s="88"/>
      <c r="D456" s="56"/>
      <c r="E456" s="60"/>
      <c r="F456" s="60"/>
      <c r="G456" s="60"/>
      <c r="H456" s="95"/>
    </row>
    <row r="457" spans="3:8" x14ac:dyDescent="0.25">
      <c r="C457" s="88"/>
      <c r="D457" s="56"/>
      <c r="E457" s="60"/>
      <c r="F457" s="60"/>
      <c r="G457" s="60"/>
      <c r="H457" s="95"/>
    </row>
    <row r="458" spans="3:8" x14ac:dyDescent="0.25">
      <c r="C458" s="88"/>
      <c r="D458" s="56"/>
      <c r="E458" s="60"/>
      <c r="F458" s="60"/>
      <c r="G458" s="60"/>
      <c r="H458" s="95"/>
    </row>
    <row r="459" spans="3:8" x14ac:dyDescent="0.25">
      <c r="C459" s="88"/>
      <c r="D459" s="56"/>
      <c r="E459" s="60"/>
      <c r="F459" s="60"/>
      <c r="G459" s="60"/>
      <c r="H459" s="95"/>
    </row>
    <row r="460" spans="3:8" x14ac:dyDescent="0.25">
      <c r="C460" s="88"/>
      <c r="D460" s="56"/>
      <c r="E460" s="60"/>
      <c r="F460" s="60"/>
      <c r="G460" s="60"/>
      <c r="H460" s="95"/>
    </row>
    <row r="461" spans="3:8" x14ac:dyDescent="0.25">
      <c r="C461" s="88"/>
      <c r="D461" s="56"/>
      <c r="E461" s="60"/>
      <c r="F461" s="60"/>
      <c r="G461" s="60"/>
      <c r="H461" s="95"/>
    </row>
    <row r="462" spans="3:8" x14ac:dyDescent="0.25">
      <c r="C462" s="88"/>
      <c r="D462" s="56"/>
      <c r="E462" s="60"/>
      <c r="F462" s="60"/>
      <c r="G462" s="60"/>
      <c r="H462" s="95"/>
    </row>
    <row r="463" spans="3:8" x14ac:dyDescent="0.25">
      <c r="C463" s="88"/>
      <c r="D463" s="56"/>
      <c r="E463" s="60"/>
      <c r="F463" s="60"/>
      <c r="G463" s="60"/>
      <c r="H463" s="95"/>
    </row>
    <row r="464" spans="3:8" x14ac:dyDescent="0.25">
      <c r="C464" s="88"/>
      <c r="D464" s="56"/>
      <c r="E464" s="60"/>
      <c r="F464" s="60"/>
      <c r="G464" s="60"/>
      <c r="H464" s="95"/>
    </row>
    <row r="465" spans="3:8" x14ac:dyDescent="0.25">
      <c r="C465" s="88"/>
      <c r="D465" s="56"/>
      <c r="E465" s="60"/>
      <c r="F465" s="60"/>
      <c r="G465" s="60"/>
      <c r="H465" s="95"/>
    </row>
    <row r="466" spans="3:8" x14ac:dyDescent="0.25">
      <c r="C466" s="88"/>
      <c r="D466" s="56"/>
      <c r="E466" s="60"/>
      <c r="F466" s="60"/>
      <c r="G466" s="60"/>
      <c r="H466" s="95"/>
    </row>
  </sheetData>
  <autoFilter ref="A2:J2">
    <sortState ref="A3:J15">
      <sortCondition ref="D2"/>
    </sortState>
  </autoFilter>
  <conditionalFormatting sqref="A1:A1048576">
    <cfRule type="duplicateValues" dxfId="8" priority="12" stopIfTrue="1"/>
  </conditionalFormatting>
  <conditionalFormatting sqref="D1:D2 D226:D1048576">
    <cfRule type="duplicateValues" dxfId="7" priority="3515" stopIfTrue="1"/>
  </conditionalFormatting>
  <conditionalFormatting sqref="C226:C466">
    <cfRule type="duplicateValues" dxfId="6" priority="4981" stopIfTrue="1"/>
  </conditionalFormatting>
  <conditionalFormatting sqref="D38:D225">
    <cfRule type="duplicateValues" dxfId="5" priority="3" stopIfTrue="1"/>
  </conditionalFormatting>
  <conditionalFormatting sqref="C38:C225">
    <cfRule type="duplicateValues" dxfId="4" priority="4" stopIfTrue="1"/>
  </conditionalFormatting>
  <conditionalFormatting sqref="D3:D37">
    <cfRule type="duplicateValues" dxfId="3" priority="1" stopIfTrue="1"/>
  </conditionalFormatting>
  <conditionalFormatting sqref="C3:C37">
    <cfRule type="duplicateValues" dxfId="2" priority="2" stopIfTrue="1"/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K459"/>
  <sheetViews>
    <sheetView zoomScaleNormal="100" workbookViewId="0">
      <selection activeCell="B4" sqref="B4"/>
    </sheetView>
  </sheetViews>
  <sheetFormatPr defaultColWidth="10.42578125" defaultRowHeight="15" outlineLevelRow="2" x14ac:dyDescent="0.25"/>
  <cols>
    <col min="1" max="1" width="5.7109375" style="85" customWidth="1"/>
    <col min="2" max="2" width="11" style="86" customWidth="1"/>
    <col min="3" max="3" width="12.140625" style="86" customWidth="1"/>
    <col min="4" max="4" width="12.5703125" style="86" customWidth="1"/>
    <col min="5" max="5" width="13" style="173" customWidth="1"/>
    <col min="6" max="6" width="21.5703125" style="87" bestFit="1" customWidth="1"/>
    <col min="7" max="7" width="15.140625" style="86" bestFit="1" customWidth="1"/>
    <col min="8" max="8" width="13.42578125" style="160" customWidth="1"/>
    <col min="9" max="9" width="19" style="160" customWidth="1"/>
    <col min="10" max="10" width="14.5703125" style="190" customWidth="1"/>
    <col min="11" max="13" width="10.42578125" style="85"/>
    <col min="14" max="14" width="14.42578125" style="85" customWidth="1"/>
    <col min="15" max="16384" width="10.42578125" style="85"/>
  </cols>
  <sheetData>
    <row r="1" spans="1:11" ht="22.5" x14ac:dyDescent="0.25">
      <c r="A1" s="191"/>
      <c r="B1" s="192"/>
      <c r="C1" s="192"/>
      <c r="D1" s="193"/>
      <c r="E1" s="194"/>
      <c r="F1" s="195"/>
      <c r="G1" s="196">
        <f>SUM(G4:G889)</f>
        <v>24500</v>
      </c>
      <c r="H1" s="197"/>
      <c r="I1" s="196">
        <f>SUM(I4:I889)</f>
        <v>12760.746000000003</v>
      </c>
      <c r="J1" s="198"/>
    </row>
    <row r="2" spans="1:11" ht="30" customHeight="1" x14ac:dyDescent="0.25">
      <c r="A2" s="178"/>
      <c r="B2" s="179" t="s">
        <v>460</v>
      </c>
      <c r="C2" s="179" t="s">
        <v>461</v>
      </c>
      <c r="D2" s="179" t="s">
        <v>462</v>
      </c>
      <c r="E2" s="180" t="s">
        <v>463</v>
      </c>
      <c r="F2" s="181" t="s">
        <v>774</v>
      </c>
      <c r="G2" s="179" t="s">
        <v>464</v>
      </c>
      <c r="H2" s="181" t="s">
        <v>775</v>
      </c>
      <c r="I2" s="182" t="s">
        <v>466</v>
      </c>
      <c r="J2" s="183" t="s">
        <v>467</v>
      </c>
    </row>
    <row r="3" spans="1:11" ht="24.95" customHeight="1" outlineLevel="1" x14ac:dyDescent="0.25">
      <c r="A3" s="178"/>
      <c r="B3" s="179"/>
      <c r="C3" s="184"/>
      <c r="D3" s="179"/>
      <c r="E3" s="180"/>
      <c r="F3" s="181"/>
      <c r="G3" s="185"/>
      <c r="H3" s="185"/>
      <c r="I3" s="186"/>
      <c r="J3" s="183"/>
      <c r="K3" s="177"/>
    </row>
    <row r="4" spans="1:11" ht="15.75" outlineLevel="2" x14ac:dyDescent="0.25">
      <c r="A4" s="187">
        <f>IF(AND( A3="",A2=""),1,IF(B4="","",IF(B3="",A2+1,A3+1)))</f>
        <v>1</v>
      </c>
      <c r="B4" s="200">
        <v>12569693</v>
      </c>
      <c r="C4" s="205" t="s">
        <v>844</v>
      </c>
      <c r="D4" s="202" t="s">
        <v>1013</v>
      </c>
      <c r="E4" s="211">
        <v>742513200</v>
      </c>
      <c r="F4" s="199" t="str">
        <f>VLOOKUP(E4,'[1]BẢNG MÃ RING'!$A$2:$C$322,2,0)</f>
        <v>7425-17-14.95</v>
      </c>
      <c r="G4" s="212">
        <v>40</v>
      </c>
      <c r="H4" s="188">
        <f>IFERROR(VLOOKUP(E4,'[1]BẢNG MÃ RING'!$A$2:$C$322,3,0),0)</f>
        <v>0.48299999999999998</v>
      </c>
      <c r="I4" s="188">
        <f>H4*G4</f>
        <v>19.32</v>
      </c>
      <c r="J4" s="203">
        <v>44539</v>
      </c>
    </row>
    <row r="5" spans="1:11" ht="15.75" outlineLevel="2" x14ac:dyDescent="0.25">
      <c r="A5" s="187">
        <f t="shared" ref="A5:A68" si="0">IF(AND( A4="",A3=""),1,IF(B5="","",IF(B4="",A3+1,A4+1)))</f>
        <v>2</v>
      </c>
      <c r="B5" s="200">
        <v>12570653</v>
      </c>
      <c r="C5" s="205" t="s">
        <v>845</v>
      </c>
      <c r="D5" s="202" t="s">
        <v>1014</v>
      </c>
      <c r="E5" s="211">
        <v>742513200</v>
      </c>
      <c r="F5" s="199" t="str">
        <f>VLOOKUP(E5,'[1]BẢNG MÃ RING'!$A$2:$C$322,2,0)</f>
        <v>7425-17-14.95</v>
      </c>
      <c r="G5" s="212">
        <v>110</v>
      </c>
      <c r="H5" s="188">
        <f>IFERROR(VLOOKUP(E5,'[1]BẢNG MÃ RING'!$A$2:$C$322,3,0),0)</f>
        <v>0.48299999999999998</v>
      </c>
      <c r="I5" s="188">
        <f t="shared" ref="I5:I67" si="1">H5*G5</f>
        <v>53.129999999999995</v>
      </c>
      <c r="J5" s="203">
        <v>44539</v>
      </c>
    </row>
    <row r="6" spans="1:11" ht="15.75" outlineLevel="2" x14ac:dyDescent="0.25">
      <c r="A6" s="187">
        <f t="shared" si="0"/>
        <v>3</v>
      </c>
      <c r="B6" s="200">
        <v>12569724</v>
      </c>
      <c r="C6" s="205" t="s">
        <v>844</v>
      </c>
      <c r="D6" s="202" t="s">
        <v>1013</v>
      </c>
      <c r="E6" s="211">
        <v>742513300</v>
      </c>
      <c r="F6" s="199" t="str">
        <f>VLOOKUP(E6,'[1]BẢNG MÃ RING'!$A$2:$C$322,2,0)</f>
        <v>7425-26.8-24.8</v>
      </c>
      <c r="G6" s="212">
        <v>80</v>
      </c>
      <c r="H6" s="188">
        <f>IFERROR(VLOOKUP(E6,'[1]BẢNG MÃ RING'!$A$2:$C$322,3,0),0)</f>
        <v>0.5635</v>
      </c>
      <c r="I6" s="188">
        <f t="shared" si="1"/>
        <v>45.08</v>
      </c>
      <c r="J6" s="203">
        <v>44539</v>
      </c>
    </row>
    <row r="7" spans="1:11" ht="15.75" outlineLevel="2" x14ac:dyDescent="0.25">
      <c r="A7" s="187">
        <f t="shared" si="0"/>
        <v>4</v>
      </c>
      <c r="B7" s="200">
        <v>12570672</v>
      </c>
      <c r="C7" s="205" t="s">
        <v>845</v>
      </c>
      <c r="D7" s="202" t="s">
        <v>1014</v>
      </c>
      <c r="E7" s="211">
        <v>742513300</v>
      </c>
      <c r="F7" s="199" t="str">
        <f>VLOOKUP(E7,'[1]BẢNG MÃ RING'!$A$2:$C$322,2,0)</f>
        <v>7425-26.8-24.8</v>
      </c>
      <c r="G7" s="212">
        <v>110</v>
      </c>
      <c r="H7" s="188">
        <f>IFERROR(VLOOKUP(E7,'[1]BẢNG MÃ RING'!$A$2:$C$322,3,0),0)</f>
        <v>0.5635</v>
      </c>
      <c r="I7" s="188">
        <f t="shared" si="1"/>
        <v>61.984999999999999</v>
      </c>
      <c r="J7" s="203">
        <v>44539</v>
      </c>
    </row>
    <row r="8" spans="1:11" ht="15.75" outlineLevel="2" x14ac:dyDescent="0.25">
      <c r="A8" s="187">
        <f t="shared" si="0"/>
        <v>5</v>
      </c>
      <c r="B8" s="200">
        <v>12569743</v>
      </c>
      <c r="C8" s="205" t="s">
        <v>844</v>
      </c>
      <c r="D8" s="202" t="s">
        <v>1013</v>
      </c>
      <c r="E8" s="211">
        <v>742513400</v>
      </c>
      <c r="F8" s="199" t="str">
        <f>VLOOKUP(E8,'[1]BẢNG MÃ RING'!$A$2:$C$322,2,0)</f>
        <v>7425-26-17.1</v>
      </c>
      <c r="G8" s="212">
        <v>80</v>
      </c>
      <c r="H8" s="188">
        <f>IFERROR(VLOOKUP(E8,'[1]BẢNG MÃ RING'!$A$2:$C$322,3,0),0)</f>
        <v>0.5</v>
      </c>
      <c r="I8" s="188">
        <f t="shared" si="1"/>
        <v>40</v>
      </c>
      <c r="J8" s="203">
        <v>44539</v>
      </c>
      <c r="K8" s="85" t="s">
        <v>824</v>
      </c>
    </row>
    <row r="9" spans="1:11" ht="15.75" outlineLevel="2" x14ac:dyDescent="0.25">
      <c r="A9" s="187">
        <f t="shared" si="0"/>
        <v>6</v>
      </c>
      <c r="B9" s="200">
        <v>12570703</v>
      </c>
      <c r="C9" s="205" t="s">
        <v>845</v>
      </c>
      <c r="D9" s="202" t="s">
        <v>1014</v>
      </c>
      <c r="E9" s="211">
        <v>742513400</v>
      </c>
      <c r="F9" s="199" t="str">
        <f>VLOOKUP(E9,'[1]BẢNG MÃ RING'!$A$2:$C$322,2,0)</f>
        <v>7425-26-17.1</v>
      </c>
      <c r="G9" s="212">
        <v>110</v>
      </c>
      <c r="H9" s="188">
        <f>IFERROR(VLOOKUP(E9,'[1]BẢNG MÃ RING'!$A$2:$C$322,3,0),0)</f>
        <v>0.5</v>
      </c>
      <c r="I9" s="188">
        <f t="shared" si="1"/>
        <v>55</v>
      </c>
      <c r="J9" s="203">
        <v>44539</v>
      </c>
      <c r="K9" s="85" t="s">
        <v>824</v>
      </c>
    </row>
    <row r="10" spans="1:11" ht="15.75" outlineLevel="2" x14ac:dyDescent="0.25">
      <c r="A10" s="187">
        <f t="shared" si="0"/>
        <v>7</v>
      </c>
      <c r="B10" s="200">
        <v>12569777</v>
      </c>
      <c r="C10" s="205" t="s">
        <v>844</v>
      </c>
      <c r="D10" s="202" t="s">
        <v>1013</v>
      </c>
      <c r="E10" s="211">
        <v>742513500</v>
      </c>
      <c r="F10" s="199" t="str">
        <f>VLOOKUP(E10,'[1]BẢNG MÃ RING'!$A$2:$C$322,2,0)</f>
        <v>7425-17.5-14.95</v>
      </c>
      <c r="G10" s="212">
        <v>160</v>
      </c>
      <c r="H10" s="188">
        <f>IFERROR(VLOOKUP(E10,'[1]BẢNG MÃ RING'!$A$2:$C$322,3,0),0)</f>
        <v>0.33</v>
      </c>
      <c r="I10" s="188">
        <f t="shared" si="1"/>
        <v>52.800000000000004</v>
      </c>
      <c r="J10" s="203">
        <v>44539</v>
      </c>
    </row>
    <row r="11" spans="1:11" ht="15.75" outlineLevel="2" x14ac:dyDescent="0.25">
      <c r="A11" s="187">
        <f t="shared" si="0"/>
        <v>8</v>
      </c>
      <c r="B11" s="200">
        <v>12570741</v>
      </c>
      <c r="C11" s="205" t="s">
        <v>845</v>
      </c>
      <c r="D11" s="202" t="s">
        <v>1014</v>
      </c>
      <c r="E11" s="211">
        <v>742513500</v>
      </c>
      <c r="F11" s="199" t="str">
        <f>VLOOKUP(E11,'[1]BẢNG MÃ RING'!$A$2:$C$322,2,0)</f>
        <v>7425-17.5-14.95</v>
      </c>
      <c r="G11" s="212">
        <v>220</v>
      </c>
      <c r="H11" s="188">
        <f>IFERROR(VLOOKUP(E11,'[1]BẢNG MÃ RING'!$A$2:$C$322,3,0),0)</f>
        <v>0.33</v>
      </c>
      <c r="I11" s="188">
        <f t="shared" si="1"/>
        <v>72.600000000000009</v>
      </c>
      <c r="J11" s="203">
        <v>44539</v>
      </c>
    </row>
    <row r="12" spans="1:11" ht="15.75" outlineLevel="2" x14ac:dyDescent="0.25">
      <c r="A12" s="187">
        <f t="shared" si="0"/>
        <v>9</v>
      </c>
      <c r="B12" s="200">
        <v>12571692</v>
      </c>
      <c r="C12" s="205" t="s">
        <v>846</v>
      </c>
      <c r="D12" s="202" t="s">
        <v>1015</v>
      </c>
      <c r="E12" s="211">
        <v>742514400</v>
      </c>
      <c r="F12" s="199" t="str">
        <f>VLOOKUP(E12,'[1]BẢNG MÃ RING'!$A$2:$C$322,2,0)</f>
        <v>7425-16.5-12</v>
      </c>
      <c r="G12" s="212">
        <v>90</v>
      </c>
      <c r="H12" s="188">
        <f>IFERROR(VLOOKUP(E12,'[1]BẢNG MÃ RING'!$A$2:$C$322,3,0),0)</f>
        <v>0.45</v>
      </c>
      <c r="I12" s="188">
        <f t="shared" si="1"/>
        <v>40.5</v>
      </c>
      <c r="J12" s="203">
        <v>44539</v>
      </c>
    </row>
    <row r="13" spans="1:11" ht="15.75" outlineLevel="2" x14ac:dyDescent="0.25">
      <c r="A13" s="187">
        <f t="shared" si="0"/>
        <v>10</v>
      </c>
      <c r="B13" s="200">
        <v>12571723</v>
      </c>
      <c r="C13" s="205" t="s">
        <v>846</v>
      </c>
      <c r="D13" s="202" t="s">
        <v>1015</v>
      </c>
      <c r="E13" s="211">
        <v>742514500</v>
      </c>
      <c r="F13" s="199" t="str">
        <f>VLOOKUP(E13,'[1]BẢNG MÃ RING'!$A$2:$C$322,2,0)</f>
        <v>7425-22-20.6</v>
      </c>
      <c r="G13" s="212">
        <v>80</v>
      </c>
      <c r="H13" s="188">
        <f>IFERROR(VLOOKUP(E13,'[1]BẢNG MÃ RING'!$A$2:$C$322,3,0),0)</f>
        <v>0.4</v>
      </c>
      <c r="I13" s="188">
        <f t="shared" si="1"/>
        <v>32</v>
      </c>
      <c r="J13" s="203">
        <v>44539</v>
      </c>
    </row>
    <row r="14" spans="1:11" ht="15.75" outlineLevel="2" x14ac:dyDescent="0.25">
      <c r="A14" s="187">
        <f t="shared" si="0"/>
        <v>11</v>
      </c>
      <c r="B14" s="200">
        <v>12582349</v>
      </c>
      <c r="C14" s="205" t="s">
        <v>847</v>
      </c>
      <c r="D14" s="202" t="s">
        <v>1016</v>
      </c>
      <c r="E14" s="211">
        <v>742517000</v>
      </c>
      <c r="F14" s="199" t="str">
        <f>VLOOKUP(E14,'[1]BẢNG MÃ RING'!$A$2:$C$322,2,0)</f>
        <v>7425-19.5-17.05</v>
      </c>
      <c r="G14" s="212">
        <v>10</v>
      </c>
      <c r="H14" s="188">
        <f>IFERROR(VLOOKUP(E14,'[1]BẢNG MÃ RING'!$A$2:$C$322,3,0),0)</f>
        <v>0.49</v>
      </c>
      <c r="I14" s="188">
        <f t="shared" si="1"/>
        <v>4.9000000000000004</v>
      </c>
      <c r="J14" s="203">
        <v>44560</v>
      </c>
    </row>
    <row r="15" spans="1:11" ht="15.75" outlineLevel="2" x14ac:dyDescent="0.25">
      <c r="A15" s="187">
        <f t="shared" si="0"/>
        <v>12</v>
      </c>
      <c r="B15" s="200">
        <v>12582979</v>
      </c>
      <c r="C15" s="205" t="s">
        <v>848</v>
      </c>
      <c r="D15" s="202" t="s">
        <v>1017</v>
      </c>
      <c r="E15" s="211">
        <v>742517000</v>
      </c>
      <c r="F15" s="199" t="str">
        <f>VLOOKUP(E15,'[1]BẢNG MÃ RING'!$A$2:$C$322,2,0)</f>
        <v>7425-19.5-17.05</v>
      </c>
      <c r="G15" s="212">
        <v>220</v>
      </c>
      <c r="H15" s="188">
        <f>IFERROR(VLOOKUP(E15,'[1]BẢNG MÃ RING'!$A$2:$C$322,3,0),0)</f>
        <v>0.49</v>
      </c>
      <c r="I15" s="188">
        <f t="shared" si="1"/>
        <v>107.8</v>
      </c>
      <c r="J15" s="203">
        <v>44560</v>
      </c>
    </row>
    <row r="16" spans="1:11" ht="15.75" outlineLevel="2" x14ac:dyDescent="0.25">
      <c r="A16" s="187">
        <f t="shared" si="0"/>
        <v>13</v>
      </c>
      <c r="B16" s="200">
        <v>12583579</v>
      </c>
      <c r="C16" s="205" t="s">
        <v>849</v>
      </c>
      <c r="D16" s="202" t="s">
        <v>1018</v>
      </c>
      <c r="E16" s="211">
        <v>742517000</v>
      </c>
      <c r="F16" s="199" t="str">
        <f>VLOOKUP(E16,'[1]BẢNG MÃ RING'!$A$2:$C$322,2,0)</f>
        <v>7425-19.5-17.05</v>
      </c>
      <c r="G16" s="212">
        <v>110</v>
      </c>
      <c r="H16" s="188">
        <f>IFERROR(VLOOKUP(E16,'[1]BẢNG MÃ RING'!$A$2:$C$322,3,0),0)</f>
        <v>0.49</v>
      </c>
      <c r="I16" s="188">
        <f t="shared" si="1"/>
        <v>53.9</v>
      </c>
      <c r="J16" s="203">
        <v>44560</v>
      </c>
    </row>
    <row r="17" spans="1:11" ht="15.75" outlineLevel="2" x14ac:dyDescent="0.25">
      <c r="A17" s="187">
        <f t="shared" si="0"/>
        <v>14</v>
      </c>
      <c r="B17" s="200">
        <v>12584214</v>
      </c>
      <c r="C17" s="205" t="s">
        <v>850</v>
      </c>
      <c r="D17" s="202" t="s">
        <v>1019</v>
      </c>
      <c r="E17" s="211">
        <v>742517000</v>
      </c>
      <c r="F17" s="199" t="str">
        <f>VLOOKUP(E17,'[1]BẢNG MÃ RING'!$A$2:$C$322,2,0)</f>
        <v>7425-19.5-17.05</v>
      </c>
      <c r="G17" s="212">
        <v>110</v>
      </c>
      <c r="H17" s="188">
        <f>IFERROR(VLOOKUP(E17,'[1]BẢNG MÃ RING'!$A$2:$C$322,3,0),0)</f>
        <v>0.49</v>
      </c>
      <c r="I17" s="188">
        <f t="shared" si="1"/>
        <v>53.9</v>
      </c>
      <c r="J17" s="203">
        <v>44560</v>
      </c>
    </row>
    <row r="18" spans="1:11" ht="15.75" outlineLevel="2" x14ac:dyDescent="0.25">
      <c r="A18" s="187">
        <f t="shared" si="0"/>
        <v>15</v>
      </c>
      <c r="B18" s="200">
        <v>12583003</v>
      </c>
      <c r="C18" s="205" t="s">
        <v>848</v>
      </c>
      <c r="D18" s="202" t="s">
        <v>1017</v>
      </c>
      <c r="E18" s="211">
        <v>742517010</v>
      </c>
      <c r="F18" s="199" t="str">
        <f>VLOOKUP(E18,'[1]BẢNG MÃ RING'!$A$2:$C$322,2,0)</f>
        <v>7425-19.5-16.95</v>
      </c>
      <c r="G18" s="212">
        <v>70</v>
      </c>
      <c r="H18" s="188">
        <f>IFERROR(VLOOKUP(E18,'[1]BẢNG MÃ RING'!$A$2:$C$322,3,0),0)</f>
        <v>0.49</v>
      </c>
      <c r="I18" s="188">
        <f t="shared" si="1"/>
        <v>34.299999999999997</v>
      </c>
      <c r="J18" s="203">
        <v>44560</v>
      </c>
      <c r="K18" s="85" t="s">
        <v>1147</v>
      </c>
    </row>
    <row r="19" spans="1:11" ht="15.75" outlineLevel="2" x14ac:dyDescent="0.25">
      <c r="A19" s="187">
        <f t="shared" si="0"/>
        <v>16</v>
      </c>
      <c r="B19" s="200">
        <v>12583629</v>
      </c>
      <c r="C19" s="205" t="s">
        <v>849</v>
      </c>
      <c r="D19" s="202" t="s">
        <v>1018</v>
      </c>
      <c r="E19" s="211">
        <v>742517010</v>
      </c>
      <c r="F19" s="199" t="str">
        <f>VLOOKUP(E19,'[1]BẢNG MÃ RING'!$A$2:$C$322,2,0)</f>
        <v>7425-19.5-16.95</v>
      </c>
      <c r="G19" s="212">
        <v>110</v>
      </c>
      <c r="H19" s="188">
        <f>IFERROR(VLOOKUP(E19,'[1]BẢNG MÃ RING'!$A$2:$C$322,3,0),0)</f>
        <v>0.49</v>
      </c>
      <c r="I19" s="188">
        <f t="shared" si="1"/>
        <v>53.9</v>
      </c>
      <c r="J19" s="203">
        <v>44560</v>
      </c>
    </row>
    <row r="20" spans="1:11" ht="15.75" outlineLevel="2" x14ac:dyDescent="0.25">
      <c r="A20" s="187">
        <f t="shared" si="0"/>
        <v>17</v>
      </c>
      <c r="B20" s="200">
        <v>12584248</v>
      </c>
      <c r="C20" s="205" t="s">
        <v>850</v>
      </c>
      <c r="D20" s="202" t="s">
        <v>1019</v>
      </c>
      <c r="E20" s="211">
        <v>742517010</v>
      </c>
      <c r="F20" s="199" t="str">
        <f>VLOOKUP(E20,'[1]BẢNG MÃ RING'!$A$2:$C$322,2,0)</f>
        <v>7425-19.5-16.95</v>
      </c>
      <c r="G20" s="212">
        <v>110</v>
      </c>
      <c r="H20" s="188">
        <f>IFERROR(VLOOKUP(E20,'[1]BẢNG MÃ RING'!$A$2:$C$322,3,0),0)</f>
        <v>0.49</v>
      </c>
      <c r="I20" s="188">
        <f t="shared" si="1"/>
        <v>53.9</v>
      </c>
      <c r="J20" s="203">
        <v>44560</v>
      </c>
    </row>
    <row r="21" spans="1:11" ht="15.75" outlineLevel="2" x14ac:dyDescent="0.25">
      <c r="A21" s="187">
        <f t="shared" si="0"/>
        <v>18</v>
      </c>
      <c r="B21" s="200">
        <v>12582422</v>
      </c>
      <c r="C21" s="205" t="s">
        <v>847</v>
      </c>
      <c r="D21" s="202" t="s">
        <v>1016</v>
      </c>
      <c r="E21" s="211">
        <v>742517200</v>
      </c>
      <c r="F21" s="199" t="str">
        <f>VLOOKUP(E21,'[1]BẢNG MÃ RING'!$A$2:$C$322,2,0)</f>
        <v>7425-19.4-17.05</v>
      </c>
      <c r="G21" s="212">
        <v>110</v>
      </c>
      <c r="H21" s="188">
        <f>IFERROR(VLOOKUP(E21,'[1]BẢNG MÃ RING'!$A$2:$C$322,3,0),0)</f>
        <v>0.52</v>
      </c>
      <c r="I21" s="188">
        <f t="shared" si="1"/>
        <v>57.2</v>
      </c>
      <c r="J21" s="203">
        <v>44560</v>
      </c>
    </row>
    <row r="22" spans="1:11" ht="15.75" outlineLevel="2" x14ac:dyDescent="0.25">
      <c r="A22" s="187">
        <f t="shared" si="0"/>
        <v>19</v>
      </c>
      <c r="B22" s="200">
        <v>12583041</v>
      </c>
      <c r="C22" s="205" t="s">
        <v>848</v>
      </c>
      <c r="D22" s="202" t="s">
        <v>1017</v>
      </c>
      <c r="E22" s="211">
        <v>742517200</v>
      </c>
      <c r="F22" s="199" t="str">
        <f>VLOOKUP(E22,'[1]BẢNG MÃ RING'!$A$2:$C$322,2,0)</f>
        <v>7425-19.4-17.05</v>
      </c>
      <c r="G22" s="212">
        <v>220</v>
      </c>
      <c r="H22" s="188">
        <f>IFERROR(VLOOKUP(E22,'[1]BẢNG MÃ RING'!$A$2:$C$322,3,0),0)</f>
        <v>0.52</v>
      </c>
      <c r="I22" s="188">
        <f t="shared" si="1"/>
        <v>114.4</v>
      </c>
      <c r="J22" s="203">
        <v>44560</v>
      </c>
    </row>
    <row r="23" spans="1:11" ht="15.75" outlineLevel="2" x14ac:dyDescent="0.25">
      <c r="A23" s="187">
        <f t="shared" si="0"/>
        <v>20</v>
      </c>
      <c r="B23" s="200">
        <v>12583652</v>
      </c>
      <c r="C23" s="205" t="s">
        <v>849</v>
      </c>
      <c r="D23" s="202" t="s">
        <v>1018</v>
      </c>
      <c r="E23" s="211">
        <v>742517200</v>
      </c>
      <c r="F23" s="199" t="str">
        <f>VLOOKUP(E23,'[1]BẢNG MÃ RING'!$A$2:$C$322,2,0)</f>
        <v>7425-19.4-17.05</v>
      </c>
      <c r="G23" s="212">
        <v>110</v>
      </c>
      <c r="H23" s="188">
        <f>IFERROR(VLOOKUP(E23,'[1]BẢNG MÃ RING'!$A$2:$C$322,3,0),0)</f>
        <v>0.52</v>
      </c>
      <c r="I23" s="188">
        <f t="shared" si="1"/>
        <v>57.2</v>
      </c>
      <c r="J23" s="203">
        <v>44560</v>
      </c>
    </row>
    <row r="24" spans="1:11" ht="15.75" outlineLevel="2" x14ac:dyDescent="0.25">
      <c r="A24" s="187">
        <f t="shared" si="0"/>
        <v>21</v>
      </c>
      <c r="B24" s="200">
        <v>12584286</v>
      </c>
      <c r="C24" s="205" t="s">
        <v>850</v>
      </c>
      <c r="D24" s="202" t="s">
        <v>1019</v>
      </c>
      <c r="E24" s="211">
        <v>742517200</v>
      </c>
      <c r="F24" s="199" t="str">
        <f>VLOOKUP(E24,'[1]BẢNG MÃ RING'!$A$2:$C$322,2,0)</f>
        <v>7425-19.4-17.05</v>
      </c>
      <c r="G24" s="212">
        <v>110</v>
      </c>
      <c r="H24" s="188">
        <f>IFERROR(VLOOKUP(E24,'[1]BẢNG MÃ RING'!$A$2:$C$322,3,0),0)</f>
        <v>0.52</v>
      </c>
      <c r="I24" s="188">
        <f t="shared" si="1"/>
        <v>57.2</v>
      </c>
      <c r="J24" s="203">
        <v>44560</v>
      </c>
    </row>
    <row r="25" spans="1:11" ht="15.75" outlineLevel="2" x14ac:dyDescent="0.25">
      <c r="A25" s="187">
        <f t="shared" si="0"/>
        <v>22</v>
      </c>
      <c r="B25" s="200">
        <v>12583060</v>
      </c>
      <c r="C25" s="205" t="s">
        <v>848</v>
      </c>
      <c r="D25" s="202" t="s">
        <v>1017</v>
      </c>
      <c r="E25" s="211">
        <v>742517300</v>
      </c>
      <c r="F25" s="199" t="str">
        <f>VLOOKUP(E25,'[1]BẢNG MÃ RING'!$A$2:$C$322,2,0)</f>
        <v>7425-26.5-21.95</v>
      </c>
      <c r="G25" s="212">
        <v>190</v>
      </c>
      <c r="H25" s="188">
        <f>IFERROR(VLOOKUP(E25,'[1]BẢNG MÃ RING'!$A$2:$C$322,3,0),0)</f>
        <v>0.5</v>
      </c>
      <c r="I25" s="188">
        <f t="shared" si="1"/>
        <v>95</v>
      </c>
      <c r="J25" s="203">
        <v>44560</v>
      </c>
    </row>
    <row r="26" spans="1:11" ht="15.75" outlineLevel="2" x14ac:dyDescent="0.25">
      <c r="A26" s="187">
        <f t="shared" si="0"/>
        <v>23</v>
      </c>
      <c r="B26" s="200">
        <v>12583671</v>
      </c>
      <c r="C26" s="205" t="s">
        <v>849</v>
      </c>
      <c r="D26" s="202" t="s">
        <v>1018</v>
      </c>
      <c r="E26" s="211">
        <v>742517300</v>
      </c>
      <c r="F26" s="199" t="str">
        <f>VLOOKUP(E26,'[1]BẢNG MÃ RING'!$A$2:$C$322,2,0)</f>
        <v>7425-26.5-21.95</v>
      </c>
      <c r="G26" s="212">
        <v>110</v>
      </c>
      <c r="H26" s="188">
        <f>IFERROR(VLOOKUP(E26,'[1]BẢNG MÃ RING'!$A$2:$C$322,3,0),0)</f>
        <v>0.5</v>
      </c>
      <c r="I26" s="188">
        <f t="shared" si="1"/>
        <v>55</v>
      </c>
      <c r="J26" s="203">
        <v>44560</v>
      </c>
    </row>
    <row r="27" spans="1:11" ht="15.75" outlineLevel="2" x14ac:dyDescent="0.25">
      <c r="A27" s="187">
        <f t="shared" si="0"/>
        <v>24</v>
      </c>
      <c r="B27" s="200">
        <v>12584290</v>
      </c>
      <c r="C27" s="205" t="s">
        <v>850</v>
      </c>
      <c r="D27" s="202" t="s">
        <v>1019</v>
      </c>
      <c r="E27" s="211">
        <v>742517300</v>
      </c>
      <c r="F27" s="199" t="str">
        <f>VLOOKUP(E27,'[1]BẢNG MÃ RING'!$A$2:$C$322,2,0)</f>
        <v>7425-26.5-21.95</v>
      </c>
      <c r="G27" s="212">
        <v>110</v>
      </c>
      <c r="H27" s="188">
        <f>IFERROR(VLOOKUP(E27,'[1]BẢNG MÃ RING'!$A$2:$C$322,3,0),0)</f>
        <v>0.5</v>
      </c>
      <c r="I27" s="188">
        <f t="shared" si="1"/>
        <v>55</v>
      </c>
      <c r="J27" s="203">
        <v>44560</v>
      </c>
    </row>
    <row r="28" spans="1:11" ht="15.75" outlineLevel="2" x14ac:dyDescent="0.25">
      <c r="A28" s="187">
        <f t="shared" si="0"/>
        <v>25</v>
      </c>
      <c r="B28" s="200">
        <v>12703510</v>
      </c>
      <c r="C28" s="205" t="s">
        <v>851</v>
      </c>
      <c r="D28" s="202" t="s">
        <v>809</v>
      </c>
      <c r="E28" s="211">
        <v>742529300</v>
      </c>
      <c r="F28" s="199" t="str">
        <f>VLOOKUP(E28,'[1]BẢNG MÃ RING'!$A$2:$C$322,2,0)</f>
        <v>7425-26.9-24.7</v>
      </c>
      <c r="G28" s="212">
        <v>70</v>
      </c>
      <c r="H28" s="188">
        <f>IFERROR(VLOOKUP(E28,'[1]BẢNG MÃ RING'!$A$2:$C$322,3,0),0)</f>
        <v>0.48</v>
      </c>
      <c r="I28" s="188">
        <f t="shared" si="1"/>
        <v>33.6</v>
      </c>
      <c r="J28" s="203">
        <v>44560</v>
      </c>
      <c r="K28" s="85" t="s">
        <v>824</v>
      </c>
    </row>
    <row r="29" spans="1:11" ht="15.75" outlineLevel="1" x14ac:dyDescent="0.25">
      <c r="A29" s="187">
        <f t="shared" si="0"/>
        <v>26</v>
      </c>
      <c r="B29" s="200">
        <v>12749716</v>
      </c>
      <c r="C29" s="205" t="s">
        <v>852</v>
      </c>
      <c r="D29" s="202" t="s">
        <v>1020</v>
      </c>
      <c r="E29" s="211">
        <v>742535100</v>
      </c>
      <c r="F29" s="199" t="str">
        <f>VLOOKUP(E29,'[1]BẢNG MÃ RING'!$A$2:$C$322,2,0)</f>
        <v>7425-14.4-13</v>
      </c>
      <c r="G29" s="212">
        <v>110</v>
      </c>
      <c r="H29" s="188">
        <f>IFERROR(VLOOKUP(E29,'[1]BẢNG MÃ RING'!$A$2:$C$322,3,0),0)</f>
        <v>0.28999999999999998</v>
      </c>
      <c r="I29" s="188">
        <f t="shared" si="1"/>
        <v>31.9</v>
      </c>
      <c r="J29" s="203">
        <v>44546</v>
      </c>
    </row>
    <row r="30" spans="1:11" ht="15.75" outlineLevel="2" x14ac:dyDescent="0.25">
      <c r="A30" s="187">
        <f t="shared" si="0"/>
        <v>27</v>
      </c>
      <c r="B30" s="200">
        <v>12833272</v>
      </c>
      <c r="C30" s="205" t="s">
        <v>853</v>
      </c>
      <c r="D30" s="202" t="s">
        <v>1021</v>
      </c>
      <c r="E30" s="211">
        <v>742535100</v>
      </c>
      <c r="F30" s="199" t="str">
        <f>VLOOKUP(E30,'[1]BẢNG MÃ RING'!$A$2:$C$322,2,0)</f>
        <v>7425-14.4-13</v>
      </c>
      <c r="G30" s="212">
        <v>60</v>
      </c>
      <c r="H30" s="188">
        <f>IFERROR(VLOOKUP(E30,'[1]BẢNG MÃ RING'!$A$2:$C$322,3,0),0)</f>
        <v>0.28999999999999998</v>
      </c>
      <c r="I30" s="188">
        <f t="shared" si="1"/>
        <v>17.399999999999999</v>
      </c>
      <c r="J30" s="203">
        <v>44560</v>
      </c>
    </row>
    <row r="31" spans="1:11" ht="15.75" outlineLevel="2" x14ac:dyDescent="0.25">
      <c r="A31" s="187">
        <f t="shared" si="0"/>
        <v>28</v>
      </c>
      <c r="B31" s="200">
        <v>12587289</v>
      </c>
      <c r="C31" s="205" t="s">
        <v>854</v>
      </c>
      <c r="D31" s="202" t="s">
        <v>1022</v>
      </c>
      <c r="E31" s="211">
        <v>742535700</v>
      </c>
      <c r="F31" s="199" t="str">
        <f>VLOOKUP(E31,'[1]BẢNG MÃ RING'!$A$2:$C$322,2,0)</f>
        <v>7425-19-13.55</v>
      </c>
      <c r="G31" s="212">
        <v>220</v>
      </c>
      <c r="H31" s="188">
        <f>IFERROR(VLOOKUP(E31,'[1]BẢNG MÃ RING'!$A$2:$C$322,3,0),0)</f>
        <v>0.49</v>
      </c>
      <c r="I31" s="188">
        <f t="shared" si="1"/>
        <v>107.8</v>
      </c>
      <c r="J31" s="203">
        <v>44546</v>
      </c>
    </row>
    <row r="32" spans="1:11" ht="15.75" outlineLevel="2" x14ac:dyDescent="0.25">
      <c r="A32" s="187">
        <f t="shared" si="0"/>
        <v>29</v>
      </c>
      <c r="B32" s="200">
        <v>12587885</v>
      </c>
      <c r="C32" s="205" t="s">
        <v>855</v>
      </c>
      <c r="D32" s="202" t="s">
        <v>776</v>
      </c>
      <c r="E32" s="211">
        <v>742535700</v>
      </c>
      <c r="F32" s="199" t="str">
        <f>VLOOKUP(E32,'[1]BẢNG MÃ RING'!$A$2:$C$322,2,0)</f>
        <v>7425-19-13.55</v>
      </c>
      <c r="G32" s="212">
        <v>220</v>
      </c>
      <c r="H32" s="188">
        <f>IFERROR(VLOOKUP(E32,'[1]BẢNG MÃ RING'!$A$2:$C$322,3,0),0)</f>
        <v>0.49</v>
      </c>
      <c r="I32" s="188">
        <f t="shared" si="1"/>
        <v>107.8</v>
      </c>
      <c r="J32" s="203">
        <v>44546</v>
      </c>
    </row>
    <row r="33" spans="1:11" ht="15.75" outlineLevel="2" x14ac:dyDescent="0.25">
      <c r="A33" s="187">
        <f t="shared" si="0"/>
        <v>30</v>
      </c>
      <c r="B33" s="200">
        <v>12588466</v>
      </c>
      <c r="C33" s="205" t="s">
        <v>856</v>
      </c>
      <c r="D33" s="202" t="s">
        <v>776</v>
      </c>
      <c r="E33" s="211">
        <v>742535700</v>
      </c>
      <c r="F33" s="199" t="str">
        <f>VLOOKUP(E33,'[1]BẢNG MÃ RING'!$A$2:$C$322,2,0)</f>
        <v>7425-19-13.55</v>
      </c>
      <c r="G33" s="212">
        <v>110</v>
      </c>
      <c r="H33" s="188">
        <f>IFERROR(VLOOKUP(E33,'[1]BẢNG MÃ RING'!$A$2:$C$322,3,0),0)</f>
        <v>0.49</v>
      </c>
      <c r="I33" s="188">
        <f t="shared" si="1"/>
        <v>53.9</v>
      </c>
      <c r="J33" s="203">
        <v>44546</v>
      </c>
    </row>
    <row r="34" spans="1:11" ht="15.75" outlineLevel="2" x14ac:dyDescent="0.25">
      <c r="A34" s="187">
        <f t="shared" si="0"/>
        <v>31</v>
      </c>
      <c r="B34" s="200">
        <v>12585482</v>
      </c>
      <c r="C34" s="205" t="s">
        <v>857</v>
      </c>
      <c r="D34" s="202" t="s">
        <v>1023</v>
      </c>
      <c r="E34" s="211">
        <v>742535710</v>
      </c>
      <c r="F34" s="199" t="str">
        <f>VLOOKUP(E34,'[1]BẢNG MÃ RING'!$A$2:$C$322,2,0)</f>
        <v>7425-19-12.55</v>
      </c>
      <c r="G34" s="212">
        <v>90</v>
      </c>
      <c r="H34" s="188">
        <f>IFERROR(VLOOKUP(E34,'[1]BẢNG MÃ RING'!$A$2:$C$322,3,0),0)</f>
        <v>0.49</v>
      </c>
      <c r="I34" s="188">
        <f t="shared" si="1"/>
        <v>44.1</v>
      </c>
      <c r="J34" s="203">
        <v>44546</v>
      </c>
    </row>
    <row r="35" spans="1:11" ht="15.75" outlineLevel="2" x14ac:dyDescent="0.25">
      <c r="A35" s="187">
        <f t="shared" si="0"/>
        <v>32</v>
      </c>
      <c r="B35" s="200">
        <v>12586063</v>
      </c>
      <c r="C35" s="205" t="s">
        <v>858</v>
      </c>
      <c r="D35" s="202" t="s">
        <v>1024</v>
      </c>
      <c r="E35" s="211">
        <v>742535710</v>
      </c>
      <c r="F35" s="199" t="str">
        <f>VLOOKUP(E35,'[1]BẢNG MÃ RING'!$A$2:$C$322,2,0)</f>
        <v>7425-19-12.55</v>
      </c>
      <c r="G35" s="212">
        <v>110</v>
      </c>
      <c r="H35" s="188">
        <f>IFERROR(VLOOKUP(E35,'[1]BẢNG MÃ RING'!$A$2:$C$322,3,0),0)</f>
        <v>0.49</v>
      </c>
      <c r="I35" s="188">
        <f t="shared" si="1"/>
        <v>53.9</v>
      </c>
      <c r="J35" s="203">
        <v>44546</v>
      </c>
    </row>
    <row r="36" spans="1:11" ht="15.75" outlineLevel="2" x14ac:dyDescent="0.25">
      <c r="A36" s="187">
        <f t="shared" si="0"/>
        <v>33</v>
      </c>
      <c r="B36" s="200">
        <v>12586689</v>
      </c>
      <c r="C36" s="205" t="s">
        <v>859</v>
      </c>
      <c r="D36" s="202" t="s">
        <v>777</v>
      </c>
      <c r="E36" s="211">
        <v>742535720</v>
      </c>
      <c r="F36" s="199" t="str">
        <f>VLOOKUP(E36,'[1]BẢNG MÃ RING'!$A$2:$C$322,2,0)</f>
        <v>7425-19-13.05</v>
      </c>
      <c r="G36" s="212">
        <v>200</v>
      </c>
      <c r="H36" s="188">
        <f>IFERROR(VLOOKUP(E36,'[1]BẢNG MÃ RING'!$A$2:$C$322,3,0),0)</f>
        <v>0.49</v>
      </c>
      <c r="I36" s="188">
        <f t="shared" si="1"/>
        <v>98</v>
      </c>
      <c r="J36" s="203">
        <v>44546</v>
      </c>
      <c r="K36" s="85" t="s">
        <v>824</v>
      </c>
    </row>
    <row r="37" spans="1:11" ht="15.75" outlineLevel="2" x14ac:dyDescent="0.25">
      <c r="A37" s="187">
        <f t="shared" si="0"/>
        <v>34</v>
      </c>
      <c r="B37" s="200">
        <v>12589662</v>
      </c>
      <c r="C37" s="205" t="s">
        <v>860</v>
      </c>
      <c r="D37" s="202" t="s">
        <v>1025</v>
      </c>
      <c r="E37" s="211">
        <v>742535730</v>
      </c>
      <c r="F37" s="199" t="str">
        <f>VLOOKUP(E37,'[1]BẢNG MÃ RING'!$A$2:$C$322,2,0)</f>
        <v>7425-19-14.05</v>
      </c>
      <c r="G37" s="212">
        <v>180</v>
      </c>
      <c r="H37" s="188">
        <f>IFERROR(VLOOKUP(E37,'[1]BẢNG MÃ RING'!$A$2:$C$322,3,0),0)</f>
        <v>0.49</v>
      </c>
      <c r="I37" s="188">
        <f t="shared" si="1"/>
        <v>88.2</v>
      </c>
      <c r="J37" s="203">
        <v>44546</v>
      </c>
    </row>
    <row r="38" spans="1:11" ht="15.75" outlineLevel="2" x14ac:dyDescent="0.25">
      <c r="A38" s="187">
        <f t="shared" si="0"/>
        <v>35</v>
      </c>
      <c r="B38" s="200">
        <v>12590885</v>
      </c>
      <c r="C38" s="205" t="s">
        <v>861</v>
      </c>
      <c r="D38" s="202" t="s">
        <v>810</v>
      </c>
      <c r="E38" s="211">
        <v>742535730</v>
      </c>
      <c r="F38" s="199" t="str">
        <f>VLOOKUP(E38,'[1]BẢNG MÃ RING'!$A$2:$C$322,2,0)</f>
        <v>7425-19-14.05</v>
      </c>
      <c r="G38" s="212">
        <v>110</v>
      </c>
      <c r="H38" s="188">
        <f>IFERROR(VLOOKUP(E38,'[1]BẢNG MÃ RING'!$A$2:$C$322,3,0),0)</f>
        <v>0.49</v>
      </c>
      <c r="I38" s="188">
        <f t="shared" si="1"/>
        <v>53.9</v>
      </c>
      <c r="J38" s="203">
        <v>44546</v>
      </c>
    </row>
    <row r="39" spans="1:11" ht="15.75" outlineLevel="2" x14ac:dyDescent="0.25">
      <c r="A39" s="187">
        <f t="shared" si="0"/>
        <v>36</v>
      </c>
      <c r="B39" s="200">
        <v>12584863</v>
      </c>
      <c r="C39" s="205" t="s">
        <v>862</v>
      </c>
      <c r="D39" s="202" t="s">
        <v>1026</v>
      </c>
      <c r="E39" s="211">
        <v>742535740</v>
      </c>
      <c r="F39" s="199" t="str">
        <f>VLOOKUP(E39,'[1]BẢNG MÃ RING'!$A$2:$C$322,2,0)</f>
        <v>7425-19-12.05</v>
      </c>
      <c r="G39" s="212">
        <v>220</v>
      </c>
      <c r="H39" s="188">
        <f>IFERROR(VLOOKUP(E39,'[1]BẢNG MÃ RING'!$A$2:$C$322,3,0),0)</f>
        <v>0.49</v>
      </c>
      <c r="I39" s="188">
        <f t="shared" si="1"/>
        <v>107.8</v>
      </c>
      <c r="J39" s="203">
        <v>44546</v>
      </c>
    </row>
    <row r="40" spans="1:11" ht="15.75" outlineLevel="2" x14ac:dyDescent="0.25">
      <c r="A40" s="187">
        <f t="shared" si="0"/>
        <v>37</v>
      </c>
      <c r="B40" s="200">
        <v>12590274</v>
      </c>
      <c r="C40" s="205" t="s">
        <v>863</v>
      </c>
      <c r="D40" s="202" t="s">
        <v>1027</v>
      </c>
      <c r="E40" s="211">
        <v>742535750</v>
      </c>
      <c r="F40" s="199" t="str">
        <f>VLOOKUP(E40,'[1]BẢNG MÃ RING'!$A$2:$C$322,2,0)</f>
        <v>7425-19-15.05</v>
      </c>
      <c r="G40" s="212">
        <v>110</v>
      </c>
      <c r="H40" s="188">
        <f>IFERROR(VLOOKUP(E40,'[1]BẢNG MÃ RING'!$A$2:$C$322,3,0),0)</f>
        <v>0.49</v>
      </c>
      <c r="I40" s="188">
        <f t="shared" si="1"/>
        <v>53.9</v>
      </c>
      <c r="J40" s="203">
        <v>44546</v>
      </c>
    </row>
    <row r="41" spans="1:11" ht="15.75" outlineLevel="2" x14ac:dyDescent="0.25">
      <c r="A41" s="187">
        <f t="shared" si="0"/>
        <v>38</v>
      </c>
      <c r="B41" s="200">
        <v>12601375</v>
      </c>
      <c r="C41" s="205" t="s">
        <v>864</v>
      </c>
      <c r="D41" s="202" t="s">
        <v>1028</v>
      </c>
      <c r="E41" s="211">
        <v>742542400</v>
      </c>
      <c r="F41" s="199" t="str">
        <f>VLOOKUP(E41,'[1]BẢNG MÃ RING'!$A$2:$C$322,2,0)</f>
        <v>7425-21-18</v>
      </c>
      <c r="G41" s="212">
        <v>50</v>
      </c>
      <c r="H41" s="188">
        <f>IFERROR(VLOOKUP(E41,'[1]BẢNG MÃ RING'!$A$2:$C$322,3,0),0)</f>
        <v>0.52</v>
      </c>
      <c r="I41" s="188">
        <f t="shared" si="1"/>
        <v>26</v>
      </c>
      <c r="J41" s="203">
        <v>44560</v>
      </c>
    </row>
    <row r="42" spans="1:11" ht="15.75" outlineLevel="2" x14ac:dyDescent="0.25">
      <c r="A42" s="187">
        <f t="shared" si="0"/>
        <v>39</v>
      </c>
      <c r="B42" s="200">
        <v>12602850</v>
      </c>
      <c r="C42" s="205" t="s">
        <v>865</v>
      </c>
      <c r="D42" s="202" t="s">
        <v>1029</v>
      </c>
      <c r="E42" s="211">
        <v>742545700</v>
      </c>
      <c r="F42" s="199" t="str">
        <f>VLOOKUP(E42,'[1]BẢNG MÃ RING'!$A$2:$C$322,2,0)</f>
        <v>7425-21.6-17.9</v>
      </c>
      <c r="G42" s="212">
        <v>60</v>
      </c>
      <c r="H42" s="188">
        <f>IFERROR(VLOOKUP(E42,'[1]BẢNG MÃ RING'!$A$2:$C$322,3,0),0)</f>
        <v>0.44</v>
      </c>
      <c r="I42" s="188">
        <f t="shared" si="1"/>
        <v>26.4</v>
      </c>
      <c r="J42" s="203">
        <v>44560</v>
      </c>
    </row>
    <row r="43" spans="1:11" ht="15.75" outlineLevel="2" x14ac:dyDescent="0.25">
      <c r="A43" s="187">
        <f t="shared" si="0"/>
        <v>40</v>
      </c>
      <c r="B43" s="200">
        <v>12810522</v>
      </c>
      <c r="C43" s="205" t="s">
        <v>866</v>
      </c>
      <c r="D43" s="202" t="s">
        <v>1029</v>
      </c>
      <c r="E43" s="211">
        <v>742545700</v>
      </c>
      <c r="F43" s="199" t="str">
        <f>VLOOKUP(E43,'[1]BẢNG MÃ RING'!$A$2:$C$322,2,0)</f>
        <v>7425-21.6-17.9</v>
      </c>
      <c r="G43" s="212">
        <v>60</v>
      </c>
      <c r="H43" s="188">
        <f>IFERROR(VLOOKUP(E43,'[1]BẢNG MÃ RING'!$A$2:$C$322,3,0),0)</f>
        <v>0.44</v>
      </c>
      <c r="I43" s="188">
        <f t="shared" si="1"/>
        <v>26.4</v>
      </c>
      <c r="J43" s="203">
        <v>44560</v>
      </c>
    </row>
    <row r="44" spans="1:11" ht="15.75" outlineLevel="2" x14ac:dyDescent="0.25">
      <c r="A44" s="187">
        <f t="shared" si="0"/>
        <v>41</v>
      </c>
      <c r="B44" s="200">
        <v>12603381</v>
      </c>
      <c r="C44" s="205" t="s">
        <v>867</v>
      </c>
      <c r="D44" s="202" t="s">
        <v>811</v>
      </c>
      <c r="E44" s="211">
        <v>742546001</v>
      </c>
      <c r="F44" s="199" t="str">
        <f>VLOOKUP(E44,'[1]BẢNG MÃ RING'!$A$2:$C$322,2,0)</f>
        <v>7425-26.4-24.2</v>
      </c>
      <c r="G44" s="212">
        <v>200</v>
      </c>
      <c r="H44" s="188">
        <f>IFERROR(VLOOKUP(E44,'[1]BẢNG MÃ RING'!$A$2:$C$322,3,0),0)</f>
        <v>0.59</v>
      </c>
      <c r="I44" s="188">
        <f t="shared" si="1"/>
        <v>118</v>
      </c>
      <c r="J44" s="203">
        <v>44546</v>
      </c>
      <c r="K44" s="85" t="s">
        <v>824</v>
      </c>
    </row>
    <row r="45" spans="1:11" ht="15.75" outlineLevel="2" x14ac:dyDescent="0.25">
      <c r="A45" s="187">
        <f t="shared" si="0"/>
        <v>42</v>
      </c>
      <c r="B45" s="200">
        <v>12603973</v>
      </c>
      <c r="C45" s="205" t="s">
        <v>868</v>
      </c>
      <c r="D45" s="202" t="s">
        <v>778</v>
      </c>
      <c r="E45" s="211">
        <v>742546001</v>
      </c>
      <c r="F45" s="199" t="str">
        <f>VLOOKUP(E45,'[1]BẢNG MÃ RING'!$A$2:$C$322,2,0)</f>
        <v>7425-26.4-24.2</v>
      </c>
      <c r="G45" s="212">
        <v>220</v>
      </c>
      <c r="H45" s="188">
        <f>IFERROR(VLOOKUP(E45,'[1]BẢNG MÃ RING'!$A$2:$C$322,3,0),0)</f>
        <v>0.59</v>
      </c>
      <c r="I45" s="188">
        <f t="shared" si="1"/>
        <v>129.79999999999998</v>
      </c>
      <c r="J45" s="203">
        <v>44546</v>
      </c>
    </row>
    <row r="46" spans="1:11" ht="15.75" outlineLevel="2" x14ac:dyDescent="0.25">
      <c r="A46" s="187">
        <f t="shared" si="0"/>
        <v>43</v>
      </c>
      <c r="B46" s="200">
        <v>12604573</v>
      </c>
      <c r="C46" s="205" t="s">
        <v>869</v>
      </c>
      <c r="D46" s="202" t="s">
        <v>778</v>
      </c>
      <c r="E46" s="211">
        <v>742546001</v>
      </c>
      <c r="F46" s="199" t="str">
        <f>VLOOKUP(E46,'[1]BẢNG MÃ RING'!$A$2:$C$322,2,0)</f>
        <v>7425-26.4-24.2</v>
      </c>
      <c r="G46" s="212">
        <v>110</v>
      </c>
      <c r="H46" s="188">
        <f>IFERROR(VLOOKUP(E46,'[1]BẢNG MÃ RING'!$A$2:$C$322,3,0),0)</f>
        <v>0.59</v>
      </c>
      <c r="I46" s="188">
        <f t="shared" si="1"/>
        <v>64.899999999999991</v>
      </c>
      <c r="J46" s="203">
        <v>44546</v>
      </c>
    </row>
    <row r="47" spans="1:11" ht="15.75" outlineLevel="2" x14ac:dyDescent="0.25">
      <c r="A47" s="187">
        <f t="shared" si="0"/>
        <v>44</v>
      </c>
      <c r="B47" s="200">
        <v>12605169</v>
      </c>
      <c r="C47" s="205" t="s">
        <v>870</v>
      </c>
      <c r="D47" s="202" t="s">
        <v>779</v>
      </c>
      <c r="E47" s="211">
        <v>742546001</v>
      </c>
      <c r="F47" s="199" t="str">
        <f>VLOOKUP(E47,'[1]BẢNG MÃ RING'!$A$2:$C$322,2,0)</f>
        <v>7425-26.4-24.2</v>
      </c>
      <c r="G47" s="212">
        <v>220</v>
      </c>
      <c r="H47" s="188">
        <f>IFERROR(VLOOKUP(E47,'[1]BẢNG MÃ RING'!$A$2:$C$322,3,0),0)</f>
        <v>0.59</v>
      </c>
      <c r="I47" s="188">
        <f t="shared" si="1"/>
        <v>129.79999999999998</v>
      </c>
      <c r="J47" s="203">
        <v>44546</v>
      </c>
    </row>
    <row r="48" spans="1:11" ht="15.75" outlineLevel="2" x14ac:dyDescent="0.25">
      <c r="A48" s="187">
        <f t="shared" si="0"/>
        <v>45</v>
      </c>
      <c r="B48" s="200">
        <v>12605765</v>
      </c>
      <c r="C48" s="205" t="s">
        <v>871</v>
      </c>
      <c r="D48" s="202" t="s">
        <v>779</v>
      </c>
      <c r="E48" s="211">
        <v>742546001</v>
      </c>
      <c r="F48" s="199" t="str">
        <f>VLOOKUP(E48,'[1]BẢNG MÃ RING'!$A$2:$C$322,2,0)</f>
        <v>7425-26.4-24.2</v>
      </c>
      <c r="G48" s="212">
        <v>220</v>
      </c>
      <c r="H48" s="188">
        <f>IFERROR(VLOOKUP(E48,'[1]BẢNG MÃ RING'!$A$2:$C$322,3,0),0)</f>
        <v>0.59</v>
      </c>
      <c r="I48" s="188">
        <f t="shared" si="1"/>
        <v>129.79999999999998</v>
      </c>
      <c r="J48" s="203">
        <v>44546</v>
      </c>
    </row>
    <row r="49" spans="1:11" ht="15.75" outlineLevel="2" x14ac:dyDescent="0.25">
      <c r="A49" s="187">
        <f t="shared" si="0"/>
        <v>46</v>
      </c>
      <c r="B49" s="200">
        <v>12606370</v>
      </c>
      <c r="C49" s="205" t="s">
        <v>872</v>
      </c>
      <c r="D49" s="202" t="s">
        <v>812</v>
      </c>
      <c r="E49" s="211">
        <v>742546001</v>
      </c>
      <c r="F49" s="199" t="str">
        <f>VLOOKUP(E49,'[1]BẢNG MÃ RING'!$A$2:$C$322,2,0)</f>
        <v>7425-26.4-24.2</v>
      </c>
      <c r="G49" s="212">
        <v>220</v>
      </c>
      <c r="H49" s="188">
        <f>IFERROR(VLOOKUP(E49,'[1]BẢNG MÃ RING'!$A$2:$C$322,3,0),0)</f>
        <v>0.59</v>
      </c>
      <c r="I49" s="188">
        <f t="shared" si="1"/>
        <v>129.79999999999998</v>
      </c>
      <c r="J49" s="203">
        <v>44546</v>
      </c>
    </row>
    <row r="50" spans="1:11" ht="15.75" outlineLevel="2" x14ac:dyDescent="0.25">
      <c r="A50" s="187">
        <f t="shared" si="0"/>
        <v>47</v>
      </c>
      <c r="B50" s="200">
        <v>12606976</v>
      </c>
      <c r="C50" s="205" t="s">
        <v>873</v>
      </c>
      <c r="D50" s="202" t="s">
        <v>812</v>
      </c>
      <c r="E50" s="211">
        <v>742546001</v>
      </c>
      <c r="F50" s="199" t="str">
        <f>VLOOKUP(E50,'[1]BẢNG MÃ RING'!$A$2:$C$322,2,0)</f>
        <v>7425-26.4-24.2</v>
      </c>
      <c r="G50" s="212">
        <v>220</v>
      </c>
      <c r="H50" s="188">
        <f>IFERROR(VLOOKUP(E50,'[1]BẢNG MÃ RING'!$A$2:$C$322,3,0),0)</f>
        <v>0.59</v>
      </c>
      <c r="I50" s="188">
        <f t="shared" si="1"/>
        <v>129.79999999999998</v>
      </c>
      <c r="J50" s="203">
        <v>44546</v>
      </c>
    </row>
    <row r="51" spans="1:11" ht="15.75" outlineLevel="2" x14ac:dyDescent="0.25">
      <c r="A51" s="187">
        <f t="shared" si="0"/>
        <v>48</v>
      </c>
      <c r="B51" s="200">
        <v>12607580</v>
      </c>
      <c r="C51" s="205" t="s">
        <v>874</v>
      </c>
      <c r="D51" s="202" t="s">
        <v>812</v>
      </c>
      <c r="E51" s="211">
        <v>742546001</v>
      </c>
      <c r="F51" s="199" t="str">
        <f>VLOOKUP(E51,'[1]BẢNG MÃ RING'!$A$2:$C$322,2,0)</f>
        <v>7425-26.4-24.2</v>
      </c>
      <c r="G51" s="212">
        <v>110</v>
      </c>
      <c r="H51" s="188">
        <f>IFERROR(VLOOKUP(E51,'[1]BẢNG MÃ RING'!$A$2:$C$322,3,0),0)</f>
        <v>0.59</v>
      </c>
      <c r="I51" s="188">
        <f t="shared" si="1"/>
        <v>64.899999999999991</v>
      </c>
      <c r="J51" s="203">
        <v>44546</v>
      </c>
    </row>
    <row r="52" spans="1:11" ht="15.75" outlineLevel="2" x14ac:dyDescent="0.25">
      <c r="A52" s="187">
        <f t="shared" si="0"/>
        <v>49</v>
      </c>
      <c r="B52" s="200">
        <v>12819726</v>
      </c>
      <c r="C52" s="205" t="s">
        <v>875</v>
      </c>
      <c r="D52" s="202" t="s">
        <v>811</v>
      </c>
      <c r="E52" s="211">
        <v>742546001</v>
      </c>
      <c r="F52" s="199" t="str">
        <f>VLOOKUP(E52,'[1]BẢNG MÃ RING'!$A$2:$C$322,2,0)</f>
        <v>7425-26.4-24.2</v>
      </c>
      <c r="G52" s="212">
        <v>60</v>
      </c>
      <c r="H52" s="188">
        <f>IFERROR(VLOOKUP(E52,'[1]BẢNG MÃ RING'!$A$2:$C$322,3,0),0)</f>
        <v>0.59</v>
      </c>
      <c r="I52" s="188">
        <f t="shared" si="1"/>
        <v>35.4</v>
      </c>
      <c r="J52" s="203">
        <v>44546</v>
      </c>
    </row>
    <row r="53" spans="1:11" ht="15.75" outlineLevel="2" x14ac:dyDescent="0.25">
      <c r="A53" s="187">
        <f t="shared" si="0"/>
        <v>50</v>
      </c>
      <c r="B53" s="200">
        <v>12820319</v>
      </c>
      <c r="C53" s="205" t="s">
        <v>876</v>
      </c>
      <c r="D53" s="202" t="s">
        <v>778</v>
      </c>
      <c r="E53" s="211">
        <v>742546001</v>
      </c>
      <c r="F53" s="199" t="str">
        <f>VLOOKUP(E53,'[1]BẢNG MÃ RING'!$A$2:$C$322,2,0)</f>
        <v>7425-26.4-24.2</v>
      </c>
      <c r="G53" s="212">
        <v>110</v>
      </c>
      <c r="H53" s="188">
        <f>IFERROR(VLOOKUP(E53,'[1]BẢNG MÃ RING'!$A$2:$C$322,3,0),0)</f>
        <v>0.59</v>
      </c>
      <c r="I53" s="188">
        <f t="shared" si="1"/>
        <v>64.899999999999991</v>
      </c>
      <c r="J53" s="203">
        <v>44546</v>
      </c>
    </row>
    <row r="54" spans="1:11" ht="15.75" outlineLevel="2" x14ac:dyDescent="0.25">
      <c r="A54" s="187">
        <f t="shared" si="0"/>
        <v>51</v>
      </c>
      <c r="B54" s="200">
        <v>12820900</v>
      </c>
      <c r="C54" s="205" t="s">
        <v>877</v>
      </c>
      <c r="D54" s="202" t="s">
        <v>779</v>
      </c>
      <c r="E54" s="211">
        <v>742546001</v>
      </c>
      <c r="F54" s="199" t="str">
        <f>VLOOKUP(E54,'[1]BẢNG MÃ RING'!$A$2:$C$322,2,0)</f>
        <v>7425-26.4-24.2</v>
      </c>
      <c r="G54" s="212">
        <v>170</v>
      </c>
      <c r="H54" s="188">
        <f>IFERROR(VLOOKUP(E54,'[1]BẢNG MÃ RING'!$A$2:$C$322,3,0),0)</f>
        <v>0.59</v>
      </c>
      <c r="I54" s="188">
        <f t="shared" si="1"/>
        <v>100.3</v>
      </c>
      <c r="J54" s="203">
        <v>44546</v>
      </c>
    </row>
    <row r="55" spans="1:11" ht="15.75" outlineLevel="2" x14ac:dyDescent="0.25">
      <c r="A55" s="187">
        <f t="shared" si="0"/>
        <v>52</v>
      </c>
      <c r="B55" s="200">
        <v>12821520</v>
      </c>
      <c r="C55" s="205" t="s">
        <v>878</v>
      </c>
      <c r="D55" s="202" t="s">
        <v>812</v>
      </c>
      <c r="E55" s="211">
        <v>742546001</v>
      </c>
      <c r="F55" s="199" t="str">
        <f>VLOOKUP(E55,'[1]BẢNG MÃ RING'!$A$2:$C$322,2,0)</f>
        <v>7425-26.4-24.2</v>
      </c>
      <c r="G55" s="212">
        <v>60</v>
      </c>
      <c r="H55" s="188">
        <f>IFERROR(VLOOKUP(E55,'[1]BẢNG MÃ RING'!$A$2:$C$322,3,0),0)</f>
        <v>0.59</v>
      </c>
      <c r="I55" s="188">
        <f t="shared" si="1"/>
        <v>35.4</v>
      </c>
      <c r="J55" s="203">
        <v>44546</v>
      </c>
    </row>
    <row r="56" spans="1:11" ht="15.75" outlineLevel="2" x14ac:dyDescent="0.25">
      <c r="A56" s="187">
        <f t="shared" si="0"/>
        <v>53</v>
      </c>
      <c r="B56" s="200">
        <v>12608180</v>
      </c>
      <c r="C56" s="205" t="s">
        <v>879</v>
      </c>
      <c r="D56" s="202" t="s">
        <v>780</v>
      </c>
      <c r="E56" s="211">
        <v>742548001</v>
      </c>
      <c r="F56" s="199" t="str">
        <f>VLOOKUP(E56,'[1]BẢNG MÃ RING'!$A$2:$C$322,2,0)</f>
        <v>7425-23.5-20.6</v>
      </c>
      <c r="G56" s="212">
        <v>220</v>
      </c>
      <c r="H56" s="188">
        <f>IFERROR(VLOOKUP(E56,'[1]BẢNG MÃ RING'!$A$2:$C$322,3,0),0)</f>
        <v>0.59</v>
      </c>
      <c r="I56" s="188">
        <f t="shared" si="1"/>
        <v>129.79999999999998</v>
      </c>
      <c r="J56" s="203">
        <v>44546</v>
      </c>
      <c r="K56" s="85" t="s">
        <v>1148</v>
      </c>
    </row>
    <row r="57" spans="1:11" ht="15.75" outlineLevel="2" x14ac:dyDescent="0.25">
      <c r="A57" s="187">
        <f t="shared" si="0"/>
        <v>54</v>
      </c>
      <c r="B57" s="200">
        <v>12608768</v>
      </c>
      <c r="C57" s="205" t="s">
        <v>880</v>
      </c>
      <c r="D57" s="202" t="s">
        <v>813</v>
      </c>
      <c r="E57" s="211">
        <v>742548001</v>
      </c>
      <c r="F57" s="199" t="str">
        <f>VLOOKUP(E57,'[1]BẢNG MÃ RING'!$A$2:$C$322,2,0)</f>
        <v>7425-23.5-20.6</v>
      </c>
      <c r="G57" s="212">
        <v>220</v>
      </c>
      <c r="H57" s="188">
        <f>IFERROR(VLOOKUP(E57,'[1]BẢNG MÃ RING'!$A$2:$C$322,3,0),0)</f>
        <v>0.59</v>
      </c>
      <c r="I57" s="188">
        <f t="shared" si="1"/>
        <v>129.79999999999998</v>
      </c>
      <c r="J57" s="203">
        <v>44546</v>
      </c>
    </row>
    <row r="58" spans="1:11" ht="15.75" outlineLevel="2" x14ac:dyDescent="0.25">
      <c r="A58" s="187">
        <f t="shared" si="0"/>
        <v>55</v>
      </c>
      <c r="B58" s="200">
        <v>12609334</v>
      </c>
      <c r="C58" s="205" t="s">
        <v>881</v>
      </c>
      <c r="D58" s="202" t="s">
        <v>813</v>
      </c>
      <c r="E58" s="211">
        <v>742548001</v>
      </c>
      <c r="F58" s="199" t="str">
        <f>VLOOKUP(E58,'[1]BẢNG MÃ RING'!$A$2:$C$322,2,0)</f>
        <v>7425-23.5-20.6</v>
      </c>
      <c r="G58" s="212">
        <v>220</v>
      </c>
      <c r="H58" s="188">
        <f>IFERROR(VLOOKUP(E58,'[1]BẢNG MÃ RING'!$A$2:$C$322,3,0),0)</f>
        <v>0.59</v>
      </c>
      <c r="I58" s="188">
        <f t="shared" si="1"/>
        <v>129.79999999999998</v>
      </c>
      <c r="J58" s="203">
        <v>44546</v>
      </c>
    </row>
    <row r="59" spans="1:11" ht="15.75" outlineLevel="2" x14ac:dyDescent="0.25">
      <c r="A59" s="187">
        <f t="shared" si="0"/>
        <v>56</v>
      </c>
      <c r="B59" s="200">
        <v>12609895</v>
      </c>
      <c r="C59" s="205" t="s">
        <v>882</v>
      </c>
      <c r="D59" s="202" t="s">
        <v>813</v>
      </c>
      <c r="E59" s="211">
        <v>742548001</v>
      </c>
      <c r="F59" s="199" t="str">
        <f>VLOOKUP(E59,'[1]BẢNG MÃ RING'!$A$2:$C$322,2,0)</f>
        <v>7425-23.5-20.6</v>
      </c>
      <c r="G59" s="212">
        <v>220</v>
      </c>
      <c r="H59" s="188">
        <f>IFERROR(VLOOKUP(E59,'[1]BẢNG MÃ RING'!$A$2:$C$322,3,0),0)</f>
        <v>0.59</v>
      </c>
      <c r="I59" s="188">
        <f t="shared" si="1"/>
        <v>129.79999999999998</v>
      </c>
      <c r="J59" s="203">
        <v>44553</v>
      </c>
    </row>
    <row r="60" spans="1:11" ht="15.75" outlineLevel="2" x14ac:dyDescent="0.25">
      <c r="A60" s="187">
        <f t="shared" si="0"/>
        <v>57</v>
      </c>
      <c r="B60" s="200">
        <v>12610473</v>
      </c>
      <c r="C60" s="205" t="s">
        <v>883</v>
      </c>
      <c r="D60" s="202" t="s">
        <v>813</v>
      </c>
      <c r="E60" s="211">
        <v>742548001</v>
      </c>
      <c r="F60" s="199" t="str">
        <f>VLOOKUP(E60,'[1]BẢNG MÃ RING'!$A$2:$C$322,2,0)</f>
        <v>7425-23.5-20.6</v>
      </c>
      <c r="G60" s="212">
        <v>220</v>
      </c>
      <c r="H60" s="188">
        <f>IFERROR(VLOOKUP(E60,'[1]BẢNG MÃ RING'!$A$2:$C$322,3,0),0)</f>
        <v>0.59</v>
      </c>
      <c r="I60" s="188">
        <f t="shared" si="1"/>
        <v>129.79999999999998</v>
      </c>
      <c r="J60" s="203">
        <v>44553</v>
      </c>
    </row>
    <row r="61" spans="1:11" ht="15.75" outlineLevel="2" x14ac:dyDescent="0.25">
      <c r="A61" s="187">
        <f t="shared" si="0"/>
        <v>58</v>
      </c>
      <c r="B61" s="200">
        <v>12822115</v>
      </c>
      <c r="C61" s="205" t="s">
        <v>884</v>
      </c>
      <c r="D61" s="202" t="s">
        <v>780</v>
      </c>
      <c r="E61" s="211">
        <v>742548001</v>
      </c>
      <c r="F61" s="199" t="str">
        <f>VLOOKUP(E61,'[1]BẢNG MÃ RING'!$A$2:$C$322,2,0)</f>
        <v>7425-23.5-20.6</v>
      </c>
      <c r="G61" s="212">
        <v>170</v>
      </c>
      <c r="H61" s="188">
        <f>IFERROR(VLOOKUP(E61,'[1]BẢNG MÃ RING'!$A$2:$C$322,3,0),0)</f>
        <v>0.59</v>
      </c>
      <c r="I61" s="188">
        <f t="shared" si="1"/>
        <v>100.3</v>
      </c>
      <c r="J61" s="203">
        <v>44546</v>
      </c>
    </row>
    <row r="62" spans="1:11" ht="15.75" outlineLevel="2" x14ac:dyDescent="0.25">
      <c r="A62" s="187">
        <f t="shared" si="0"/>
        <v>59</v>
      </c>
      <c r="B62" s="200">
        <v>12822680</v>
      </c>
      <c r="C62" s="205" t="s">
        <v>885</v>
      </c>
      <c r="D62" s="202" t="s">
        <v>813</v>
      </c>
      <c r="E62" s="211">
        <v>742548001</v>
      </c>
      <c r="F62" s="199" t="str">
        <f>VLOOKUP(E62,'[1]BẢNG MÃ RING'!$A$2:$C$322,2,0)</f>
        <v>7425-23.5-20.6</v>
      </c>
      <c r="G62" s="212">
        <v>110</v>
      </c>
      <c r="H62" s="188">
        <f>IFERROR(VLOOKUP(E62,'[1]BẢNG MÃ RING'!$A$2:$C$322,3,0),0)</f>
        <v>0.59</v>
      </c>
      <c r="I62" s="188">
        <f t="shared" si="1"/>
        <v>64.899999999999991</v>
      </c>
      <c r="J62" s="203">
        <v>44546</v>
      </c>
    </row>
    <row r="63" spans="1:11" ht="15.75" outlineLevel="2" x14ac:dyDescent="0.25">
      <c r="A63" s="187">
        <f t="shared" si="0"/>
        <v>60</v>
      </c>
      <c r="B63" s="200">
        <v>12611040</v>
      </c>
      <c r="C63" s="205" t="s">
        <v>886</v>
      </c>
      <c r="D63" s="202" t="s">
        <v>781</v>
      </c>
      <c r="E63" s="211">
        <v>742548011</v>
      </c>
      <c r="F63" s="199" t="str">
        <f>VLOOKUP(E63,'[1]BẢNG MÃ RING'!$A$2:$C$322,2,0)</f>
        <v>7425-23.5-20.6-1</v>
      </c>
      <c r="G63" s="212">
        <v>70</v>
      </c>
      <c r="H63" s="188">
        <f>IFERROR(VLOOKUP(E63,'[1]BẢNG MÃ RING'!$A$2:$C$322,3,0),0)</f>
        <v>0.59</v>
      </c>
      <c r="I63" s="188">
        <f t="shared" si="1"/>
        <v>41.3</v>
      </c>
      <c r="J63" s="203">
        <v>44560</v>
      </c>
      <c r="K63" s="85" t="s">
        <v>824</v>
      </c>
    </row>
    <row r="64" spans="1:11" ht="15.75" outlineLevel="2" x14ac:dyDescent="0.25">
      <c r="A64" s="187">
        <f t="shared" si="0"/>
        <v>61</v>
      </c>
      <c r="B64" s="200">
        <v>12611646</v>
      </c>
      <c r="C64" s="205" t="s">
        <v>887</v>
      </c>
      <c r="D64" s="202" t="s">
        <v>1030</v>
      </c>
      <c r="E64" s="211">
        <v>742548011</v>
      </c>
      <c r="F64" s="199" t="str">
        <f>VLOOKUP(E64,'[1]BẢNG MÃ RING'!$A$2:$C$322,2,0)</f>
        <v>7425-23.5-20.6-1</v>
      </c>
      <c r="G64" s="212">
        <v>110</v>
      </c>
      <c r="H64" s="188">
        <f>IFERROR(VLOOKUP(E64,'[1]BẢNG MÃ RING'!$A$2:$C$322,3,0),0)</f>
        <v>0.59</v>
      </c>
      <c r="I64" s="188">
        <f t="shared" si="1"/>
        <v>64.899999999999991</v>
      </c>
      <c r="J64" s="203">
        <v>44560</v>
      </c>
    </row>
    <row r="65" spans="1:11" ht="15.75" outlineLevel="2" x14ac:dyDescent="0.25">
      <c r="A65" s="187">
        <f t="shared" si="0"/>
        <v>62</v>
      </c>
      <c r="B65" s="200">
        <v>12612270</v>
      </c>
      <c r="C65" s="205" t="s">
        <v>888</v>
      </c>
      <c r="D65" s="202" t="s">
        <v>1031</v>
      </c>
      <c r="E65" s="211">
        <v>742548011</v>
      </c>
      <c r="F65" s="199" t="str">
        <f>VLOOKUP(E65,'[1]BẢNG MÃ RING'!$A$2:$C$322,2,0)</f>
        <v>7425-23.5-20.6-1</v>
      </c>
      <c r="G65" s="212">
        <v>110</v>
      </c>
      <c r="H65" s="188">
        <f>IFERROR(VLOOKUP(E65,'[1]BẢNG MÃ RING'!$A$2:$C$322,3,0),0)</f>
        <v>0.59</v>
      </c>
      <c r="I65" s="188">
        <f t="shared" si="1"/>
        <v>64.899999999999991</v>
      </c>
      <c r="J65" s="203">
        <v>44560</v>
      </c>
    </row>
    <row r="66" spans="1:11" ht="15.75" outlineLevel="2" x14ac:dyDescent="0.25">
      <c r="A66" s="187">
        <f t="shared" si="0"/>
        <v>63</v>
      </c>
      <c r="B66" s="200">
        <v>12823295</v>
      </c>
      <c r="C66" s="205" t="s">
        <v>889</v>
      </c>
      <c r="D66" s="202" t="s">
        <v>1032</v>
      </c>
      <c r="E66" s="211">
        <v>742548011</v>
      </c>
      <c r="F66" s="199" t="str">
        <f>VLOOKUP(E66,'[1]BẢNG MÃ RING'!$A$2:$C$322,2,0)</f>
        <v>7425-23.5-20.6-1</v>
      </c>
      <c r="G66" s="212">
        <v>110</v>
      </c>
      <c r="H66" s="188">
        <f>IFERROR(VLOOKUP(E66,'[1]BẢNG MÃ RING'!$A$2:$C$322,3,0),0)</f>
        <v>0.59</v>
      </c>
      <c r="I66" s="188">
        <f t="shared" si="1"/>
        <v>64.899999999999991</v>
      </c>
      <c r="J66" s="203">
        <v>44560</v>
      </c>
    </row>
    <row r="67" spans="1:11" ht="15.75" outlineLevel="2" x14ac:dyDescent="0.25">
      <c r="A67" s="187">
        <f t="shared" si="0"/>
        <v>64</v>
      </c>
      <c r="B67" s="200">
        <v>12823891</v>
      </c>
      <c r="C67" s="205" t="s">
        <v>890</v>
      </c>
      <c r="D67" s="202" t="s">
        <v>781</v>
      </c>
      <c r="E67" s="211">
        <v>742548011</v>
      </c>
      <c r="F67" s="199" t="str">
        <f>VLOOKUP(E67,'[1]BẢNG MÃ RING'!$A$2:$C$322,2,0)</f>
        <v>7425-23.5-20.6-1</v>
      </c>
      <c r="G67" s="212">
        <v>220</v>
      </c>
      <c r="H67" s="188">
        <f>IFERROR(VLOOKUP(E67,'[1]BẢNG MÃ RING'!$A$2:$C$322,3,0),0)</f>
        <v>0.59</v>
      </c>
      <c r="I67" s="188">
        <f t="shared" si="1"/>
        <v>129.79999999999998</v>
      </c>
      <c r="J67" s="203">
        <v>44560</v>
      </c>
    </row>
    <row r="68" spans="1:11" ht="15.75" outlineLevel="2" x14ac:dyDescent="0.25">
      <c r="A68" s="187">
        <f t="shared" si="0"/>
        <v>65</v>
      </c>
      <c r="B68" s="200">
        <v>12824491</v>
      </c>
      <c r="C68" s="205" t="s">
        <v>891</v>
      </c>
      <c r="D68" s="202" t="s">
        <v>1030</v>
      </c>
      <c r="E68" s="211">
        <v>742548011</v>
      </c>
      <c r="F68" s="199" t="str">
        <f>VLOOKUP(E68,'[1]BẢNG MÃ RING'!$A$2:$C$322,2,0)</f>
        <v>7425-23.5-20.6-1</v>
      </c>
      <c r="G68" s="212">
        <v>220</v>
      </c>
      <c r="H68" s="188">
        <f>IFERROR(VLOOKUP(E68,'[1]BẢNG MÃ RING'!$A$2:$C$322,3,0),0)</f>
        <v>0.59</v>
      </c>
      <c r="I68" s="188">
        <f t="shared" ref="I68:I131" si="2">H68*G68</f>
        <v>129.79999999999998</v>
      </c>
      <c r="J68" s="203">
        <v>44560</v>
      </c>
    </row>
    <row r="69" spans="1:11" ht="15.75" outlineLevel="2" x14ac:dyDescent="0.25">
      <c r="A69" s="187">
        <f t="shared" ref="A69:A132" si="3">IF(AND( A68="",A67=""),1,IF(B69="","",IF(B68="",A67+1,A68+1)))</f>
        <v>66</v>
      </c>
      <c r="B69" s="200">
        <v>12825103</v>
      </c>
      <c r="C69" s="205" t="s">
        <v>892</v>
      </c>
      <c r="D69" s="202" t="s">
        <v>1031</v>
      </c>
      <c r="E69" s="211">
        <v>742548011</v>
      </c>
      <c r="F69" s="199" t="str">
        <f>VLOOKUP(E69,'[1]BẢNG MÃ RING'!$A$2:$C$322,2,0)</f>
        <v>7425-23.5-20.6-1</v>
      </c>
      <c r="G69" s="212">
        <v>60</v>
      </c>
      <c r="H69" s="188">
        <f>IFERROR(VLOOKUP(E69,'[1]BẢNG MÃ RING'!$A$2:$C$322,3,0),0)</f>
        <v>0.59</v>
      </c>
      <c r="I69" s="188">
        <f t="shared" si="2"/>
        <v>35.4</v>
      </c>
      <c r="J69" s="203">
        <v>44560</v>
      </c>
    </row>
    <row r="70" spans="1:11" ht="15.75" outlineLevel="2" x14ac:dyDescent="0.25">
      <c r="A70" s="187">
        <f t="shared" si="3"/>
        <v>67</v>
      </c>
      <c r="B70" s="200">
        <v>12705228</v>
      </c>
      <c r="C70" s="205" t="s">
        <v>893</v>
      </c>
      <c r="D70" s="202" t="s">
        <v>1033</v>
      </c>
      <c r="E70" s="211">
        <v>742549000</v>
      </c>
      <c r="F70" s="199" t="str">
        <f>VLOOKUP(E70,'[1]BẢNG MÃ RING'!$A$2:$C$322,2,0)</f>
        <v>7425-21.85-19.8</v>
      </c>
      <c r="G70" s="212">
        <v>100</v>
      </c>
      <c r="H70" s="188">
        <f>IFERROR(VLOOKUP(E70,'[1]BẢNG MÃ RING'!$A$2:$C$322,3,0),0)</f>
        <v>0.44</v>
      </c>
      <c r="I70" s="188">
        <f t="shared" si="2"/>
        <v>44</v>
      </c>
      <c r="J70" s="203">
        <v>44560</v>
      </c>
    </row>
    <row r="71" spans="1:11" ht="15.75" outlineLevel="2" x14ac:dyDescent="0.25">
      <c r="A71" s="187">
        <f t="shared" si="3"/>
        <v>68</v>
      </c>
      <c r="B71" s="200">
        <v>12798270</v>
      </c>
      <c r="C71" s="205" t="s">
        <v>894</v>
      </c>
      <c r="D71" s="202" t="s">
        <v>1034</v>
      </c>
      <c r="E71" s="211" t="s">
        <v>124</v>
      </c>
      <c r="F71" s="199" t="str">
        <f>VLOOKUP(E71,'[1]BẢNG MÃ RING'!$A$2:$C$322,2,0)</f>
        <v>3V00-23-10.2</v>
      </c>
      <c r="G71" s="206">
        <v>100</v>
      </c>
      <c r="H71" s="188">
        <f>IFERROR(VLOOKUP(E71,'[1]BẢNG MÃ RING'!$A$2:$C$322,3,0),0)</f>
        <v>0.52</v>
      </c>
      <c r="I71" s="188">
        <f t="shared" si="2"/>
        <v>52</v>
      </c>
      <c r="J71" s="203">
        <v>44581</v>
      </c>
      <c r="K71" s="85" t="s">
        <v>824</v>
      </c>
    </row>
    <row r="72" spans="1:11" ht="15.75" outlineLevel="2" x14ac:dyDescent="0.25">
      <c r="A72" s="187">
        <f t="shared" si="3"/>
        <v>69</v>
      </c>
      <c r="B72" s="200">
        <v>12801214</v>
      </c>
      <c r="C72" s="205" t="s">
        <v>895</v>
      </c>
      <c r="D72" s="202" t="s">
        <v>1034</v>
      </c>
      <c r="E72" s="211" t="s">
        <v>124</v>
      </c>
      <c r="F72" s="199" t="str">
        <f>VLOOKUP(E72,'[1]BẢNG MÃ RING'!$A$2:$C$322,2,0)</f>
        <v>3V00-23-10.2</v>
      </c>
      <c r="G72" s="206">
        <v>100</v>
      </c>
      <c r="H72" s="188">
        <f>IFERROR(VLOOKUP(E72,'[1]BẢNG MÃ RING'!$A$2:$C$322,3,0),0)</f>
        <v>0.52</v>
      </c>
      <c r="I72" s="188">
        <f t="shared" si="2"/>
        <v>52</v>
      </c>
      <c r="J72" s="203">
        <v>44581</v>
      </c>
    </row>
    <row r="73" spans="1:11" ht="15.75" outlineLevel="2" x14ac:dyDescent="0.25">
      <c r="A73" s="187">
        <f t="shared" si="3"/>
        <v>70</v>
      </c>
      <c r="B73" s="200">
        <v>12798690</v>
      </c>
      <c r="C73" s="205" t="s">
        <v>896</v>
      </c>
      <c r="D73" s="202" t="s">
        <v>1035</v>
      </c>
      <c r="E73" s="211" t="s">
        <v>126</v>
      </c>
      <c r="F73" s="199" t="str">
        <f>VLOOKUP(E73,'[1]BẢNG MÃ RING'!$A$2:$C$322,2,0)</f>
        <v>3V00-23-10.8</v>
      </c>
      <c r="G73" s="206">
        <v>100</v>
      </c>
      <c r="H73" s="188">
        <f>IFERROR(VLOOKUP(E73,'[1]BẢNG MÃ RING'!$A$2:$C$322,3,0),0)</f>
        <v>0.52</v>
      </c>
      <c r="I73" s="188">
        <f t="shared" si="2"/>
        <v>52</v>
      </c>
      <c r="J73" s="203">
        <v>44581</v>
      </c>
      <c r="K73" s="85" t="s">
        <v>824</v>
      </c>
    </row>
    <row r="74" spans="1:11" ht="15.75" outlineLevel="2" x14ac:dyDescent="0.25">
      <c r="A74" s="187">
        <f t="shared" si="3"/>
        <v>71</v>
      </c>
      <c r="B74" s="200">
        <v>12801634</v>
      </c>
      <c r="C74" s="205" t="s">
        <v>897</v>
      </c>
      <c r="D74" s="202" t="s">
        <v>1035</v>
      </c>
      <c r="E74" s="211" t="s">
        <v>126</v>
      </c>
      <c r="F74" s="199" t="str">
        <f>VLOOKUP(E74,'[1]BẢNG MÃ RING'!$A$2:$C$322,2,0)</f>
        <v>3V00-23-10.8</v>
      </c>
      <c r="G74" s="206">
        <v>100</v>
      </c>
      <c r="H74" s="188">
        <f>IFERROR(VLOOKUP(E74,'[1]BẢNG MÃ RING'!$A$2:$C$322,3,0),0)</f>
        <v>0.52</v>
      </c>
      <c r="I74" s="188">
        <f t="shared" si="2"/>
        <v>52</v>
      </c>
      <c r="J74" s="203">
        <v>44581</v>
      </c>
    </row>
    <row r="75" spans="1:11" ht="15.75" outlineLevel="2" x14ac:dyDescent="0.25">
      <c r="A75" s="187">
        <f t="shared" si="3"/>
        <v>72</v>
      </c>
      <c r="B75" s="200">
        <v>12799111</v>
      </c>
      <c r="C75" s="205" t="s">
        <v>898</v>
      </c>
      <c r="D75" s="202" t="s">
        <v>1036</v>
      </c>
      <c r="E75" s="211" t="s">
        <v>128</v>
      </c>
      <c r="F75" s="199" t="str">
        <f>VLOOKUP(E75,'[1]BẢNG MÃ RING'!$A$2:$C$322,2,0)</f>
        <v>3V00-23-11.1</v>
      </c>
      <c r="G75" s="206">
        <v>100</v>
      </c>
      <c r="H75" s="188">
        <f>IFERROR(VLOOKUP(E75,'[1]BẢNG MÃ RING'!$A$2:$C$322,3,0),0)</f>
        <v>0.52</v>
      </c>
      <c r="I75" s="188">
        <f t="shared" si="2"/>
        <v>52</v>
      </c>
      <c r="J75" s="203">
        <v>44581</v>
      </c>
      <c r="K75" s="85" t="s">
        <v>824</v>
      </c>
    </row>
    <row r="76" spans="1:11" ht="15.75" outlineLevel="2" x14ac:dyDescent="0.25">
      <c r="A76" s="187">
        <f t="shared" si="3"/>
        <v>73</v>
      </c>
      <c r="B76" s="200">
        <v>12802058</v>
      </c>
      <c r="C76" s="205" t="s">
        <v>899</v>
      </c>
      <c r="D76" s="202" t="s">
        <v>1036</v>
      </c>
      <c r="E76" s="211" t="s">
        <v>128</v>
      </c>
      <c r="F76" s="199" t="str">
        <f>VLOOKUP(E76,'[1]BẢNG MÃ RING'!$A$2:$C$322,2,0)</f>
        <v>3V00-23-11.1</v>
      </c>
      <c r="G76" s="206">
        <v>100</v>
      </c>
      <c r="H76" s="188">
        <f>IFERROR(VLOOKUP(E76,'[1]BẢNG MÃ RING'!$A$2:$C$322,3,0),0)</f>
        <v>0.52</v>
      </c>
      <c r="I76" s="188">
        <f t="shared" si="2"/>
        <v>52</v>
      </c>
      <c r="J76" s="203">
        <v>44581</v>
      </c>
    </row>
    <row r="77" spans="1:11" ht="15.75" outlineLevel="2" x14ac:dyDescent="0.25">
      <c r="A77" s="187">
        <f t="shared" si="3"/>
        <v>74</v>
      </c>
      <c r="B77" s="200">
        <v>12516768</v>
      </c>
      <c r="C77" s="205" t="s">
        <v>900</v>
      </c>
      <c r="D77" s="202" t="s">
        <v>815</v>
      </c>
      <c r="E77" s="211" t="s">
        <v>802</v>
      </c>
      <c r="F77" s="199" t="str">
        <f>VLOOKUP(E77,'[1]BẢNG MÃ RING'!$A$2:$C$322,2,0)</f>
        <v>3V0047005</v>
      </c>
      <c r="G77" s="206">
        <v>210</v>
      </c>
      <c r="H77" s="188">
        <f>IFERROR(VLOOKUP(E77,'[1]BẢNG MÃ RING'!$A$2:$C$322,3,0),0)</f>
        <v>0.28710000000000002</v>
      </c>
      <c r="I77" s="188">
        <f t="shared" si="2"/>
        <v>60.291000000000004</v>
      </c>
      <c r="J77" s="203">
        <v>44581</v>
      </c>
    </row>
    <row r="78" spans="1:11" ht="15.75" outlineLevel="2" x14ac:dyDescent="0.25">
      <c r="A78" s="187">
        <f t="shared" si="3"/>
        <v>75</v>
      </c>
      <c r="B78" s="200">
        <v>12517181</v>
      </c>
      <c r="C78" s="205" t="s">
        <v>901</v>
      </c>
      <c r="D78" s="202" t="s">
        <v>815</v>
      </c>
      <c r="E78" s="211" t="s">
        <v>802</v>
      </c>
      <c r="F78" s="199" t="str">
        <f>VLOOKUP(E78,'[1]BẢNG MÃ RING'!$A$2:$C$322,2,0)</f>
        <v>3V0047005</v>
      </c>
      <c r="G78" s="206">
        <v>110</v>
      </c>
      <c r="H78" s="188">
        <f>IFERROR(VLOOKUP(E78,'[1]BẢNG MÃ RING'!$A$2:$C$322,3,0),0)</f>
        <v>0.28710000000000002</v>
      </c>
      <c r="I78" s="188">
        <f t="shared" si="2"/>
        <v>31.581000000000003</v>
      </c>
      <c r="J78" s="203">
        <v>44581</v>
      </c>
    </row>
    <row r="79" spans="1:11" ht="15.75" outlineLevel="2" x14ac:dyDescent="0.25">
      <c r="A79" s="187">
        <f t="shared" si="3"/>
        <v>76</v>
      </c>
      <c r="B79" s="200">
        <v>22585899</v>
      </c>
      <c r="C79" s="205" t="s">
        <v>902</v>
      </c>
      <c r="D79" s="202" t="s">
        <v>815</v>
      </c>
      <c r="E79" s="211" t="s">
        <v>802</v>
      </c>
      <c r="F79" s="199" t="str">
        <f>VLOOKUP(E79,'[1]BẢNG MÃ RING'!$A$2:$C$322,2,0)</f>
        <v>3V0047005</v>
      </c>
      <c r="G79" s="206">
        <v>60</v>
      </c>
      <c r="H79" s="188">
        <f>IFERROR(VLOOKUP(E79,'[1]BẢNG MÃ RING'!$A$2:$C$322,3,0),0)</f>
        <v>0.28710000000000002</v>
      </c>
      <c r="I79" s="188">
        <f t="shared" si="2"/>
        <v>17.226000000000003</v>
      </c>
      <c r="J79" s="203">
        <v>44581</v>
      </c>
    </row>
    <row r="80" spans="1:11" ht="15.75" outlineLevel="2" x14ac:dyDescent="0.25">
      <c r="A80" s="187">
        <f t="shared" si="3"/>
        <v>77</v>
      </c>
      <c r="B80" s="200">
        <v>12792592</v>
      </c>
      <c r="C80" s="205" t="s">
        <v>903</v>
      </c>
      <c r="D80" s="202" t="s">
        <v>1037</v>
      </c>
      <c r="E80" s="211" t="s">
        <v>1109</v>
      </c>
      <c r="F80" s="199" t="str">
        <f>VLOOKUP(E80,'[1]BẢNG MÃ RING'!$A$2:$C$322,2,0)</f>
        <v>3V00-15.5-13.55-1</v>
      </c>
      <c r="G80" s="206">
        <v>110</v>
      </c>
      <c r="H80" s="188">
        <f>IFERROR(VLOOKUP(E80,'[1]BẢNG MÃ RING'!$A$2:$C$322,3,0),0)</f>
        <v>0.28710000000000002</v>
      </c>
      <c r="I80" s="188">
        <f t="shared" si="2"/>
        <v>31.581000000000003</v>
      </c>
      <c r="J80" s="203">
        <v>44560</v>
      </c>
    </row>
    <row r="81" spans="1:11" ht="15.75" outlineLevel="2" x14ac:dyDescent="0.25">
      <c r="A81" s="187">
        <f t="shared" si="3"/>
        <v>78</v>
      </c>
      <c r="B81" s="200">
        <v>12795905</v>
      </c>
      <c r="C81" s="205" t="s">
        <v>904</v>
      </c>
      <c r="D81" s="202" t="s">
        <v>1037</v>
      </c>
      <c r="E81" s="211" t="s">
        <v>1109</v>
      </c>
      <c r="F81" s="199" t="str">
        <f>VLOOKUP(E81,'[1]BẢNG MÃ RING'!$A$2:$C$322,2,0)</f>
        <v>3V00-15.5-13.55-1</v>
      </c>
      <c r="G81" s="206">
        <v>110</v>
      </c>
      <c r="H81" s="188">
        <f>IFERROR(VLOOKUP(E81,'[1]BẢNG MÃ RING'!$A$2:$C$322,3,0),0)</f>
        <v>0.28710000000000002</v>
      </c>
      <c r="I81" s="188">
        <f t="shared" si="2"/>
        <v>31.581000000000003</v>
      </c>
      <c r="J81" s="203">
        <v>44560</v>
      </c>
    </row>
    <row r="82" spans="1:11" ht="15.75" outlineLevel="2" x14ac:dyDescent="0.25">
      <c r="A82" s="187">
        <f t="shared" si="3"/>
        <v>79</v>
      </c>
      <c r="B82" s="200">
        <v>12516035</v>
      </c>
      <c r="C82" s="205" t="s">
        <v>905</v>
      </c>
      <c r="D82" s="202" t="s">
        <v>814</v>
      </c>
      <c r="E82" s="211" t="s">
        <v>801</v>
      </c>
      <c r="F82" s="199" t="str">
        <f>VLOOKUP(E82,'[1]BẢNG MÃ RING'!$A$2:$C$322,2,0)</f>
        <v>3V00-15.5-13.55</v>
      </c>
      <c r="G82" s="206">
        <v>210</v>
      </c>
      <c r="H82" s="188">
        <f>IFERROR(VLOOKUP(E82,'[1]BẢNG MÃ RING'!$A$2:$C$322,3,0),0)</f>
        <v>0.28710000000000002</v>
      </c>
      <c r="I82" s="188">
        <f t="shared" si="2"/>
        <v>60.291000000000004</v>
      </c>
      <c r="J82" s="203">
        <v>44581</v>
      </c>
    </row>
    <row r="83" spans="1:11" ht="15.75" outlineLevel="2" x14ac:dyDescent="0.25">
      <c r="A83" s="187">
        <f t="shared" si="3"/>
        <v>80</v>
      </c>
      <c r="B83" s="200">
        <v>12516386</v>
      </c>
      <c r="C83" s="205" t="s">
        <v>906</v>
      </c>
      <c r="D83" s="202" t="s">
        <v>814</v>
      </c>
      <c r="E83" s="211" t="s">
        <v>801</v>
      </c>
      <c r="F83" s="199" t="str">
        <f>VLOOKUP(E83,'[1]BẢNG MÃ RING'!$A$2:$C$322,2,0)</f>
        <v>3V00-15.5-13.55</v>
      </c>
      <c r="G83" s="206">
        <v>110</v>
      </c>
      <c r="H83" s="188">
        <f>IFERROR(VLOOKUP(E83,'[1]BẢNG MÃ RING'!$A$2:$C$322,3,0),0)</f>
        <v>0.28710000000000002</v>
      </c>
      <c r="I83" s="188">
        <f t="shared" si="2"/>
        <v>31.581000000000003</v>
      </c>
      <c r="J83" s="203">
        <v>44581</v>
      </c>
    </row>
    <row r="84" spans="1:11" ht="15.75" outlineLevel="2" x14ac:dyDescent="0.25">
      <c r="A84" s="187">
        <f t="shared" si="3"/>
        <v>81</v>
      </c>
      <c r="B84" s="200">
        <v>12999041</v>
      </c>
      <c r="C84" s="205" t="s">
        <v>907</v>
      </c>
      <c r="D84" s="202" t="s">
        <v>1038</v>
      </c>
      <c r="E84" s="211" t="s">
        <v>1110</v>
      </c>
      <c r="F84" s="199" t="str">
        <f>VLOOKUP(E84,'[1]BẢNG MÃ RING'!$A$2:$C$322,2,0)</f>
        <v>3V00-15.5-11.05</v>
      </c>
      <c r="G84" s="206">
        <v>330</v>
      </c>
      <c r="H84" s="188">
        <f>IFERROR(VLOOKUP(E84,'[1]BẢNG MÃ RING'!$A$2:$C$322,3,0),0)</f>
        <v>0.28710000000000002</v>
      </c>
      <c r="I84" s="188">
        <f t="shared" si="2"/>
        <v>94.743000000000009</v>
      </c>
      <c r="J84" s="203">
        <v>44560</v>
      </c>
    </row>
    <row r="85" spans="1:11" ht="15.75" outlineLevel="2" x14ac:dyDescent="0.25">
      <c r="A85" s="187">
        <f t="shared" si="3"/>
        <v>82</v>
      </c>
      <c r="B85" s="200">
        <v>22538030</v>
      </c>
      <c r="C85" s="205" t="s">
        <v>908</v>
      </c>
      <c r="D85" s="202" t="s">
        <v>1039</v>
      </c>
      <c r="E85" s="211" t="s">
        <v>1110</v>
      </c>
      <c r="F85" s="199" t="str">
        <f>VLOOKUP(E85,'[1]BẢNG MÃ RING'!$A$2:$C$322,2,0)</f>
        <v>3V00-15.5-11.05</v>
      </c>
      <c r="G85" s="206">
        <v>220</v>
      </c>
      <c r="H85" s="188">
        <f>IFERROR(VLOOKUP(E85,'[1]BẢNG MÃ RING'!$A$2:$C$322,3,0),0)</f>
        <v>0.28710000000000002</v>
      </c>
      <c r="I85" s="188">
        <f t="shared" si="2"/>
        <v>63.162000000000006</v>
      </c>
      <c r="J85" s="203">
        <v>44560</v>
      </c>
    </row>
    <row r="86" spans="1:11" ht="15.75" outlineLevel="2" x14ac:dyDescent="0.25">
      <c r="A86" s="187">
        <f t="shared" si="3"/>
        <v>83</v>
      </c>
      <c r="B86" s="200">
        <v>12500308</v>
      </c>
      <c r="C86" s="205" t="s">
        <v>909</v>
      </c>
      <c r="D86" s="202" t="s">
        <v>1040</v>
      </c>
      <c r="E86" s="211" t="s">
        <v>1111</v>
      </c>
      <c r="F86" s="199" t="str">
        <f>VLOOKUP(E86,'[1]BẢNG MÃ RING'!$A$2:$C$322,2,0)</f>
        <v>3V00-15.5-9.8</v>
      </c>
      <c r="G86" s="206">
        <v>330</v>
      </c>
      <c r="H86" s="188">
        <f>IFERROR(VLOOKUP(E86,'[1]BẢNG MÃ RING'!$A$2:$C$322,3,0),0)</f>
        <v>0.28710000000000002</v>
      </c>
      <c r="I86" s="188">
        <f t="shared" si="2"/>
        <v>94.743000000000009</v>
      </c>
      <c r="J86" s="203">
        <v>44560</v>
      </c>
    </row>
    <row r="87" spans="1:11" ht="15.75" outlineLevel="2" x14ac:dyDescent="0.25">
      <c r="A87" s="187">
        <f t="shared" si="3"/>
        <v>84</v>
      </c>
      <c r="B87" s="200">
        <v>22537216</v>
      </c>
      <c r="C87" s="205" t="s">
        <v>910</v>
      </c>
      <c r="D87" s="202" t="s">
        <v>1041</v>
      </c>
      <c r="E87" s="211" t="s">
        <v>1111</v>
      </c>
      <c r="F87" s="199" t="str">
        <f>VLOOKUP(E87,'[1]BẢNG MÃ RING'!$A$2:$C$322,2,0)</f>
        <v>3V00-15.5-9.8</v>
      </c>
      <c r="G87" s="206">
        <v>220</v>
      </c>
      <c r="H87" s="188">
        <f>IFERROR(VLOOKUP(E87,'[1]BẢNG MÃ RING'!$A$2:$C$322,3,0),0)</f>
        <v>0.28710000000000002</v>
      </c>
      <c r="I87" s="188">
        <f t="shared" si="2"/>
        <v>63.162000000000006</v>
      </c>
      <c r="J87" s="203">
        <v>44560</v>
      </c>
    </row>
    <row r="88" spans="1:11" ht="15.75" outlineLevel="2" x14ac:dyDescent="0.25">
      <c r="A88" s="187">
        <f t="shared" si="3"/>
        <v>85</v>
      </c>
      <c r="B88" s="200">
        <v>22537621</v>
      </c>
      <c r="C88" s="205" t="s">
        <v>911</v>
      </c>
      <c r="D88" s="202" t="s">
        <v>1041</v>
      </c>
      <c r="E88" s="211" t="s">
        <v>1111</v>
      </c>
      <c r="F88" s="199" t="str">
        <f>VLOOKUP(E88,'[1]BẢNG MÃ RING'!$A$2:$C$322,2,0)</f>
        <v>3V00-15.5-9.8</v>
      </c>
      <c r="G88" s="206">
        <v>220</v>
      </c>
      <c r="H88" s="188">
        <f>IFERROR(VLOOKUP(E88,'[1]BẢNG MÃ RING'!$A$2:$C$322,3,0),0)</f>
        <v>0.28710000000000002</v>
      </c>
      <c r="I88" s="188">
        <f t="shared" si="2"/>
        <v>63.162000000000006</v>
      </c>
      <c r="J88" s="203">
        <v>44560</v>
      </c>
    </row>
    <row r="89" spans="1:11" ht="15.75" outlineLevel="1" x14ac:dyDescent="0.25">
      <c r="A89" s="187">
        <f t="shared" si="3"/>
        <v>86</v>
      </c>
      <c r="B89" s="200">
        <v>12999457</v>
      </c>
      <c r="C89" s="205" t="s">
        <v>912</v>
      </c>
      <c r="D89" s="202" t="s">
        <v>1042</v>
      </c>
      <c r="E89" s="211" t="s">
        <v>1112</v>
      </c>
      <c r="F89" s="199" t="str">
        <f>VLOOKUP(E89,'[1]BẢNG MÃ RING'!$A$2:$C$322,2,0)</f>
        <v>3V00-15.5-11.75</v>
      </c>
      <c r="G89" s="206">
        <v>220</v>
      </c>
      <c r="H89" s="188">
        <f>IFERROR(VLOOKUP(E89,'[1]BẢNG MÃ RING'!$A$2:$C$322,3,0),0)</f>
        <v>0.28710000000000002</v>
      </c>
      <c r="I89" s="188">
        <f t="shared" si="2"/>
        <v>63.162000000000006</v>
      </c>
      <c r="J89" s="203">
        <v>44560</v>
      </c>
    </row>
    <row r="90" spans="1:11" ht="15.75" outlineLevel="2" x14ac:dyDescent="0.25">
      <c r="A90" s="187">
        <f t="shared" si="3"/>
        <v>87</v>
      </c>
      <c r="B90" s="200">
        <v>12999881</v>
      </c>
      <c r="C90" s="205" t="s">
        <v>913</v>
      </c>
      <c r="D90" s="202" t="s">
        <v>1043</v>
      </c>
      <c r="E90" s="211" t="s">
        <v>1113</v>
      </c>
      <c r="F90" s="199" t="str">
        <f>VLOOKUP(E90,'[1]BẢNG MÃ RING'!$A$2:$C$322,2,0)</f>
        <v>3V00-15.5-12.75</v>
      </c>
      <c r="G90" s="206">
        <v>220</v>
      </c>
      <c r="H90" s="188">
        <f>IFERROR(VLOOKUP(E90,'[1]BẢNG MÃ RING'!$A$2:$C$322,3,0),0)</f>
        <v>0.28710000000000002</v>
      </c>
      <c r="I90" s="188">
        <f t="shared" si="2"/>
        <v>63.162000000000006</v>
      </c>
      <c r="J90" s="203">
        <v>44560</v>
      </c>
    </row>
    <row r="91" spans="1:11" ht="15.75" outlineLevel="2" x14ac:dyDescent="0.25">
      <c r="A91" s="187">
        <f t="shared" si="3"/>
        <v>88</v>
      </c>
      <c r="B91" s="200">
        <v>12794174</v>
      </c>
      <c r="C91" s="205" t="s">
        <v>914</v>
      </c>
      <c r="D91" s="202" t="s">
        <v>1044</v>
      </c>
      <c r="E91" s="211" t="s">
        <v>636</v>
      </c>
      <c r="F91" s="199" t="str">
        <f>VLOOKUP(E91,'[1]BẢNG MÃ RING'!$A$2:$C$322,2,0)</f>
        <v>3V00-15.5-8</v>
      </c>
      <c r="G91" s="206">
        <v>60</v>
      </c>
      <c r="H91" s="188">
        <f>IFERROR(VLOOKUP(E91,'[1]BẢNG MÃ RING'!$A$2:$C$322,3,0),0)</f>
        <v>0.28710000000000002</v>
      </c>
      <c r="I91" s="188">
        <f t="shared" si="2"/>
        <v>17.226000000000003</v>
      </c>
      <c r="J91" s="203">
        <v>44560</v>
      </c>
    </row>
    <row r="92" spans="1:11" ht="15.75" outlineLevel="2" x14ac:dyDescent="0.25">
      <c r="A92" s="187">
        <f t="shared" si="3"/>
        <v>89</v>
      </c>
      <c r="B92" s="200">
        <v>12797475</v>
      </c>
      <c r="C92" s="205" t="s">
        <v>915</v>
      </c>
      <c r="D92" s="202" t="s">
        <v>1044</v>
      </c>
      <c r="E92" s="211" t="s">
        <v>636</v>
      </c>
      <c r="F92" s="199" t="str">
        <f>VLOOKUP(E92,'[1]BẢNG MÃ RING'!$A$2:$C$322,2,0)</f>
        <v>3V00-15.5-8</v>
      </c>
      <c r="G92" s="206">
        <v>60</v>
      </c>
      <c r="H92" s="188">
        <f>IFERROR(VLOOKUP(E92,'[1]BẢNG MÃ RING'!$A$2:$C$322,3,0),0)</f>
        <v>0.28710000000000002</v>
      </c>
      <c r="I92" s="188">
        <f t="shared" si="2"/>
        <v>17.226000000000003</v>
      </c>
      <c r="J92" s="203">
        <v>44560</v>
      </c>
    </row>
    <row r="93" spans="1:11" ht="15.75" outlineLevel="2" x14ac:dyDescent="0.25">
      <c r="A93" s="187">
        <f t="shared" si="3"/>
        <v>90</v>
      </c>
      <c r="B93" s="200">
        <v>22597271</v>
      </c>
      <c r="C93" s="205" t="s">
        <v>916</v>
      </c>
      <c r="D93" s="202" t="s">
        <v>1044</v>
      </c>
      <c r="E93" s="211" t="s">
        <v>636</v>
      </c>
      <c r="F93" s="199" t="str">
        <f>VLOOKUP(E93,'[1]BẢNG MÃ RING'!$A$2:$C$322,2,0)</f>
        <v>3V00-15.5-8</v>
      </c>
      <c r="G93" s="206">
        <v>60</v>
      </c>
      <c r="H93" s="188">
        <f>IFERROR(VLOOKUP(E93,'[1]BẢNG MÃ RING'!$A$2:$C$322,3,0),0)</f>
        <v>0.28710000000000002</v>
      </c>
      <c r="I93" s="188">
        <f t="shared" si="2"/>
        <v>17.226000000000003</v>
      </c>
      <c r="J93" s="203">
        <v>44560</v>
      </c>
    </row>
    <row r="94" spans="1:11" ht="15.75" outlineLevel="2" x14ac:dyDescent="0.25">
      <c r="A94" s="187">
        <f t="shared" si="3"/>
        <v>91</v>
      </c>
      <c r="B94" s="200">
        <v>22597584</v>
      </c>
      <c r="C94" s="205" t="s">
        <v>917</v>
      </c>
      <c r="D94" s="202" t="s">
        <v>1045</v>
      </c>
      <c r="E94" s="211" t="s">
        <v>637</v>
      </c>
      <c r="F94" s="199" t="str">
        <f>VLOOKUP(E94,'[1]BẢNG MÃ RING'!$A$2:$C$322,2,0)</f>
        <v>3V00-15.5-10</v>
      </c>
      <c r="G94" s="206">
        <v>60</v>
      </c>
      <c r="H94" s="188">
        <f>IFERROR(VLOOKUP(E94,'[1]BẢNG MÃ RING'!$A$2:$C$322,3,0),0)</f>
        <v>0.28710000000000002</v>
      </c>
      <c r="I94" s="188">
        <f t="shared" si="2"/>
        <v>17.226000000000003</v>
      </c>
      <c r="J94" s="203">
        <v>44560</v>
      </c>
      <c r="K94" s="85" t="s">
        <v>824</v>
      </c>
    </row>
    <row r="95" spans="1:11" ht="15.75" outlineLevel="2" x14ac:dyDescent="0.25">
      <c r="A95" s="187">
        <f t="shared" si="3"/>
        <v>92</v>
      </c>
      <c r="B95" s="200">
        <v>22597932</v>
      </c>
      <c r="C95" s="205" t="s">
        <v>918</v>
      </c>
      <c r="D95" s="202" t="s">
        <v>1046</v>
      </c>
      <c r="E95" s="211" t="s">
        <v>638</v>
      </c>
      <c r="F95" s="199" t="str">
        <f>VLOOKUP(E95,'[1]BẢNG MÃ RING'!$A$2:$C$322,2,0)</f>
        <v>3V00-15.5-9</v>
      </c>
      <c r="G95" s="206">
        <v>110</v>
      </c>
      <c r="H95" s="188">
        <f>IFERROR(VLOOKUP(E95,'[1]BẢNG MÃ RING'!$A$2:$C$322,3,0),0)</f>
        <v>0.28710000000000002</v>
      </c>
      <c r="I95" s="188">
        <f t="shared" si="2"/>
        <v>31.581000000000003</v>
      </c>
      <c r="J95" s="203">
        <v>44560</v>
      </c>
    </row>
    <row r="96" spans="1:11" ht="15.75" outlineLevel="1" x14ac:dyDescent="0.25">
      <c r="A96" s="187">
        <f t="shared" si="3"/>
        <v>93</v>
      </c>
      <c r="B96" s="200">
        <v>22598268</v>
      </c>
      <c r="C96" s="205" t="s">
        <v>919</v>
      </c>
      <c r="D96" s="202" t="s">
        <v>1047</v>
      </c>
      <c r="E96" s="211" t="s">
        <v>639</v>
      </c>
      <c r="F96" s="199" t="str">
        <f>VLOOKUP(E96,'[1]BẢNG MÃ RING'!$A$2:$C$322,2,0)</f>
        <v>3V00-15.5-11</v>
      </c>
      <c r="G96" s="206">
        <v>60</v>
      </c>
      <c r="H96" s="188">
        <f>IFERROR(VLOOKUP(E96,'[1]BẢNG MÃ RING'!$A$2:$C$322,3,0),0)</f>
        <v>0.28710000000000002</v>
      </c>
      <c r="I96" s="188">
        <f t="shared" si="2"/>
        <v>17.226000000000003</v>
      </c>
      <c r="J96" s="203">
        <v>44560</v>
      </c>
    </row>
    <row r="97" spans="1:11" ht="15.75" outlineLevel="2" x14ac:dyDescent="0.25">
      <c r="A97" s="187">
        <f t="shared" si="3"/>
        <v>94</v>
      </c>
      <c r="B97" s="200">
        <v>12386988</v>
      </c>
      <c r="C97" s="205" t="s">
        <v>920</v>
      </c>
      <c r="D97" s="202" t="s">
        <v>1048</v>
      </c>
      <c r="E97" s="211" t="s">
        <v>728</v>
      </c>
      <c r="F97" s="199" t="str">
        <f>VLOOKUP(E97,'[1]BẢNG MÃ RING'!$A$2:$C$322,2,0)</f>
        <v>3V00-15.5-9.55-V</v>
      </c>
      <c r="G97" s="206">
        <v>110</v>
      </c>
      <c r="H97" s="188">
        <f>IFERROR(VLOOKUP(E97,'[1]BẢNG MÃ RING'!$A$2:$C$322,3,0),0)</f>
        <v>0.28710000000000002</v>
      </c>
      <c r="I97" s="188">
        <f t="shared" si="2"/>
        <v>31.581000000000003</v>
      </c>
      <c r="J97" s="203">
        <v>44549</v>
      </c>
    </row>
    <row r="98" spans="1:11" ht="15.75" outlineLevel="2" x14ac:dyDescent="0.25">
      <c r="A98" s="187">
        <f t="shared" si="3"/>
        <v>95</v>
      </c>
      <c r="B98" s="200">
        <v>12387428</v>
      </c>
      <c r="C98" s="205" t="s">
        <v>921</v>
      </c>
      <c r="D98" s="202" t="s">
        <v>1049</v>
      </c>
      <c r="E98" s="211" t="s">
        <v>728</v>
      </c>
      <c r="F98" s="199" t="str">
        <f>VLOOKUP(E98,'[1]BẢNG MÃ RING'!$A$2:$C$322,2,0)</f>
        <v>3V00-15.5-9.55-V</v>
      </c>
      <c r="G98" s="206">
        <v>110</v>
      </c>
      <c r="H98" s="188">
        <f>IFERROR(VLOOKUP(E98,'[1]BẢNG MÃ RING'!$A$2:$C$322,3,0),0)</f>
        <v>0.28710000000000002</v>
      </c>
      <c r="I98" s="188">
        <f t="shared" si="2"/>
        <v>31.581000000000003</v>
      </c>
      <c r="J98" s="203">
        <v>44549</v>
      </c>
    </row>
    <row r="99" spans="1:11" ht="15.75" outlineLevel="2" x14ac:dyDescent="0.25">
      <c r="A99" s="187">
        <f t="shared" si="3"/>
        <v>96</v>
      </c>
      <c r="B99" s="200">
        <v>12854219</v>
      </c>
      <c r="C99" s="205" t="s">
        <v>922</v>
      </c>
      <c r="D99" s="202" t="s">
        <v>1050</v>
      </c>
      <c r="E99" s="211" t="s">
        <v>1114</v>
      </c>
      <c r="F99" s="199" t="str">
        <f>VLOOKUP(E99,'[1]BẢNG MÃ RING'!$A$2:$C$322,2,0)</f>
        <v>3V00-16.5-9.55</v>
      </c>
      <c r="G99" s="206">
        <v>60</v>
      </c>
      <c r="H99" s="188">
        <f>IFERROR(VLOOKUP(E99,'[1]BẢNG MÃ RING'!$A$2:$C$322,3,0),0)</f>
        <v>0.2475</v>
      </c>
      <c r="I99" s="188">
        <f t="shared" si="2"/>
        <v>14.85</v>
      </c>
      <c r="J99" s="203">
        <v>44546</v>
      </c>
      <c r="K99" s="85" t="s">
        <v>824</v>
      </c>
    </row>
    <row r="100" spans="1:11" ht="15.75" outlineLevel="2" x14ac:dyDescent="0.25">
      <c r="A100" s="187">
        <f t="shared" si="3"/>
        <v>97</v>
      </c>
      <c r="B100" s="200">
        <v>12403012</v>
      </c>
      <c r="C100" s="205" t="s">
        <v>923</v>
      </c>
      <c r="D100" s="202" t="s">
        <v>1050</v>
      </c>
      <c r="E100" s="211" t="s">
        <v>1114</v>
      </c>
      <c r="F100" s="199" t="str">
        <f>VLOOKUP(E100,'[1]BẢNG MÃ RING'!$A$2:$C$322,2,0)</f>
        <v>3V00-16.5-9.55</v>
      </c>
      <c r="G100" s="206">
        <v>110</v>
      </c>
      <c r="H100" s="188">
        <f>IFERROR(VLOOKUP(E100,'[1]BẢNG MÃ RING'!$A$2:$C$322,3,0),0)</f>
        <v>0.2475</v>
      </c>
      <c r="I100" s="188">
        <f t="shared" si="2"/>
        <v>27.225000000000001</v>
      </c>
      <c r="J100" s="203">
        <v>44549</v>
      </c>
    </row>
    <row r="101" spans="1:11" ht="15.75" outlineLevel="2" x14ac:dyDescent="0.25">
      <c r="A101" s="187">
        <f t="shared" si="3"/>
        <v>98</v>
      </c>
      <c r="B101" s="200">
        <v>12855239</v>
      </c>
      <c r="C101" s="205" t="s">
        <v>924</v>
      </c>
      <c r="D101" s="202" t="s">
        <v>1051</v>
      </c>
      <c r="E101" s="211" t="s">
        <v>483</v>
      </c>
      <c r="F101" s="199" t="str">
        <f>VLOOKUP(E101,'[1]BẢNG MÃ RING'!$A$2:$C$322,2,0)</f>
        <v>3V01-16.5-10.05-1</v>
      </c>
      <c r="G101" s="206">
        <v>50</v>
      </c>
      <c r="H101" s="188">
        <f>IFERROR(VLOOKUP(E101,'[1]BẢNG MÃ RING'!$A$2:$C$322,3,0),0)</f>
        <v>0.2475</v>
      </c>
      <c r="I101" s="188">
        <f t="shared" si="2"/>
        <v>12.375</v>
      </c>
      <c r="J101" s="203">
        <v>44546</v>
      </c>
    </row>
    <row r="102" spans="1:11" ht="15.75" outlineLevel="2" x14ac:dyDescent="0.25">
      <c r="A102" s="187">
        <f t="shared" si="3"/>
        <v>99</v>
      </c>
      <c r="B102" s="200">
        <v>22543276</v>
      </c>
      <c r="C102" s="205" t="s">
        <v>925</v>
      </c>
      <c r="D102" s="202" t="s">
        <v>1052</v>
      </c>
      <c r="E102" s="211" t="s">
        <v>483</v>
      </c>
      <c r="F102" s="199" t="str">
        <f>VLOOKUP(E102,'[1]BẢNG MÃ RING'!$A$2:$C$322,2,0)</f>
        <v>3V01-16.5-10.05-1</v>
      </c>
      <c r="G102" s="206">
        <v>60</v>
      </c>
      <c r="H102" s="188">
        <f>IFERROR(VLOOKUP(E102,'[1]BẢNG MÃ RING'!$A$2:$C$322,3,0),0)</f>
        <v>0.2475</v>
      </c>
      <c r="I102" s="188">
        <f t="shared" si="2"/>
        <v>14.85</v>
      </c>
      <c r="J102" s="203">
        <v>44560</v>
      </c>
    </row>
    <row r="103" spans="1:11" ht="15.75" outlineLevel="2" x14ac:dyDescent="0.25">
      <c r="A103" s="187">
        <f t="shared" si="3"/>
        <v>100</v>
      </c>
      <c r="B103" s="200">
        <v>22544281</v>
      </c>
      <c r="C103" s="205" t="s">
        <v>926</v>
      </c>
      <c r="D103" s="202" t="s">
        <v>1053</v>
      </c>
      <c r="E103" s="211" t="s">
        <v>483</v>
      </c>
      <c r="F103" s="199" t="str">
        <f>VLOOKUP(E103,'[1]BẢNG MÃ RING'!$A$2:$C$322,2,0)</f>
        <v>3V01-16.5-10.05-1</v>
      </c>
      <c r="G103" s="206">
        <v>60</v>
      </c>
      <c r="H103" s="188">
        <f>IFERROR(VLOOKUP(E103,'[1]BẢNG MÃ RING'!$A$2:$C$322,3,0),0)</f>
        <v>0.2475</v>
      </c>
      <c r="I103" s="188">
        <f t="shared" si="2"/>
        <v>14.85</v>
      </c>
      <c r="J103" s="203">
        <v>44560</v>
      </c>
    </row>
    <row r="104" spans="1:11" ht="15.75" outlineLevel="1" x14ac:dyDescent="0.25">
      <c r="A104" s="187">
        <f t="shared" si="3"/>
        <v>101</v>
      </c>
      <c r="B104" s="200">
        <v>22545297</v>
      </c>
      <c r="C104" s="205" t="s">
        <v>927</v>
      </c>
      <c r="D104" s="202" t="s">
        <v>1054</v>
      </c>
      <c r="E104" s="211" t="s">
        <v>483</v>
      </c>
      <c r="F104" s="199" t="str">
        <f>VLOOKUP(E104,'[1]BẢNG MÃ RING'!$A$2:$C$322,2,0)</f>
        <v>3V01-16.5-10.05-1</v>
      </c>
      <c r="G104" s="206">
        <v>60</v>
      </c>
      <c r="H104" s="188">
        <f>IFERROR(VLOOKUP(E104,'[1]BẢNG MÃ RING'!$A$2:$C$322,3,0),0)</f>
        <v>0.2475</v>
      </c>
      <c r="I104" s="188">
        <f t="shared" si="2"/>
        <v>14.85</v>
      </c>
      <c r="J104" s="203">
        <v>44560</v>
      </c>
    </row>
    <row r="105" spans="1:11" ht="15.75" outlineLevel="2" x14ac:dyDescent="0.25">
      <c r="A105" s="187">
        <f t="shared" si="3"/>
        <v>102</v>
      </c>
      <c r="B105" s="200">
        <v>12403535</v>
      </c>
      <c r="C105" s="205" t="s">
        <v>928</v>
      </c>
      <c r="D105" s="202" t="s">
        <v>1055</v>
      </c>
      <c r="E105" s="211" t="s">
        <v>483</v>
      </c>
      <c r="F105" s="199" t="str">
        <f>VLOOKUP(E105,'[1]BẢNG MÃ RING'!$A$2:$C$322,2,0)</f>
        <v>3V01-16.5-10.05-1</v>
      </c>
      <c r="G105" s="206">
        <v>110</v>
      </c>
      <c r="H105" s="188">
        <f>IFERROR(VLOOKUP(E105,'[1]BẢNG MÃ RING'!$A$2:$C$322,3,0),0)</f>
        <v>0.2475</v>
      </c>
      <c r="I105" s="188">
        <f t="shared" si="2"/>
        <v>27.225000000000001</v>
      </c>
      <c r="J105" s="203">
        <v>44549</v>
      </c>
    </row>
    <row r="106" spans="1:11" ht="15.75" outlineLevel="2" x14ac:dyDescent="0.25">
      <c r="A106" s="187">
        <f t="shared" si="3"/>
        <v>103</v>
      </c>
      <c r="B106" s="200">
        <v>12405090</v>
      </c>
      <c r="C106" s="205" t="s">
        <v>929</v>
      </c>
      <c r="D106" s="202" t="s">
        <v>1051</v>
      </c>
      <c r="E106" s="211" t="s">
        <v>483</v>
      </c>
      <c r="F106" s="199" t="str">
        <f>VLOOKUP(E106,'[1]BẢNG MÃ RING'!$A$2:$C$322,2,0)</f>
        <v>3V01-16.5-10.05-1</v>
      </c>
      <c r="G106" s="206">
        <v>110</v>
      </c>
      <c r="H106" s="188">
        <f>IFERROR(VLOOKUP(E106,'[1]BẢNG MÃ RING'!$A$2:$C$322,3,0),0)</f>
        <v>0.2475</v>
      </c>
      <c r="I106" s="188">
        <f t="shared" si="2"/>
        <v>27.225000000000001</v>
      </c>
      <c r="J106" s="203">
        <v>44549</v>
      </c>
    </row>
    <row r="107" spans="1:11" ht="15.75" x14ac:dyDescent="0.25">
      <c r="A107" s="187">
        <f t="shared" si="3"/>
        <v>104</v>
      </c>
      <c r="B107" s="200">
        <v>12406118</v>
      </c>
      <c r="C107" s="205" t="s">
        <v>930</v>
      </c>
      <c r="D107" s="202" t="s">
        <v>1052</v>
      </c>
      <c r="E107" s="211" t="s">
        <v>483</v>
      </c>
      <c r="F107" s="199" t="str">
        <f>VLOOKUP(E107,'[1]BẢNG MÃ RING'!$A$2:$C$322,2,0)</f>
        <v>3V01-16.5-10.05-1</v>
      </c>
      <c r="G107" s="206">
        <v>110</v>
      </c>
      <c r="H107" s="188">
        <f>IFERROR(VLOOKUP(E107,'[1]BẢNG MÃ RING'!$A$2:$C$322,3,0),0)</f>
        <v>0.2475</v>
      </c>
      <c r="I107" s="188">
        <f t="shared" si="2"/>
        <v>27.225000000000001</v>
      </c>
      <c r="J107" s="203">
        <v>44549</v>
      </c>
    </row>
    <row r="108" spans="1:11" ht="15.75" x14ac:dyDescent="0.25">
      <c r="A108" s="187">
        <f t="shared" si="3"/>
        <v>105</v>
      </c>
      <c r="B108" s="200">
        <v>12406630</v>
      </c>
      <c r="C108" s="205" t="s">
        <v>931</v>
      </c>
      <c r="D108" s="202" t="s">
        <v>1053</v>
      </c>
      <c r="E108" s="211" t="s">
        <v>483</v>
      </c>
      <c r="F108" s="199" t="str">
        <f>VLOOKUP(E108,'[1]BẢNG MÃ RING'!$A$2:$C$322,2,0)</f>
        <v>3V01-16.5-10.05-1</v>
      </c>
      <c r="G108" s="206">
        <v>110</v>
      </c>
      <c r="H108" s="188">
        <f>IFERROR(VLOOKUP(E108,'[1]BẢNG MÃ RING'!$A$2:$C$322,3,0),0)</f>
        <v>0.2475</v>
      </c>
      <c r="I108" s="188">
        <f t="shared" si="2"/>
        <v>27.225000000000001</v>
      </c>
      <c r="J108" s="203">
        <v>44549</v>
      </c>
    </row>
    <row r="109" spans="1:11" ht="15.75" x14ac:dyDescent="0.25">
      <c r="A109" s="187">
        <f t="shared" si="3"/>
        <v>106</v>
      </c>
      <c r="B109" s="200">
        <v>12855732</v>
      </c>
      <c r="C109" s="205" t="s">
        <v>932</v>
      </c>
      <c r="D109" s="202" t="s">
        <v>1056</v>
      </c>
      <c r="E109" s="211" t="s">
        <v>1115</v>
      </c>
      <c r="F109" s="199" t="str">
        <f>VLOOKUP(E109,'[1]BẢNG MÃ RING'!$A$2:$C$322,2,0)</f>
        <v>3V01-16.5-10.55-2</v>
      </c>
      <c r="G109" s="206">
        <v>60</v>
      </c>
      <c r="H109" s="188">
        <f>IFERROR(VLOOKUP(E109,'[1]BẢNG MÃ RING'!$A$2:$C$322,3,0),0)</f>
        <v>0.2475</v>
      </c>
      <c r="I109" s="188">
        <f t="shared" si="2"/>
        <v>14.85</v>
      </c>
      <c r="J109" s="203">
        <v>44546</v>
      </c>
    </row>
    <row r="110" spans="1:11" ht="15.75" x14ac:dyDescent="0.25">
      <c r="A110" s="187">
        <f t="shared" si="3"/>
        <v>107</v>
      </c>
      <c r="B110" s="200">
        <v>22544801</v>
      </c>
      <c r="C110" s="205" t="s">
        <v>933</v>
      </c>
      <c r="D110" s="202" t="s">
        <v>1057</v>
      </c>
      <c r="E110" s="211" t="s">
        <v>1115</v>
      </c>
      <c r="F110" s="199" t="str">
        <f>VLOOKUP(E110,'[1]BẢNG MÃ RING'!$A$2:$C$322,2,0)</f>
        <v>3V01-16.5-10.55-2</v>
      </c>
      <c r="G110" s="206">
        <v>90</v>
      </c>
      <c r="H110" s="188">
        <f>IFERROR(VLOOKUP(E110,'[1]BẢNG MÃ RING'!$A$2:$C$322,3,0),0)</f>
        <v>0.2475</v>
      </c>
      <c r="I110" s="188">
        <f t="shared" si="2"/>
        <v>22.274999999999999</v>
      </c>
      <c r="J110" s="203">
        <v>44560</v>
      </c>
    </row>
    <row r="111" spans="1:11" ht="15.75" x14ac:dyDescent="0.25">
      <c r="A111" s="187">
        <f t="shared" si="3"/>
        <v>108</v>
      </c>
      <c r="B111" s="200">
        <v>22545821</v>
      </c>
      <c r="C111" s="205" t="s">
        <v>934</v>
      </c>
      <c r="D111" s="202" t="s">
        <v>1058</v>
      </c>
      <c r="E111" s="211" t="s">
        <v>1115</v>
      </c>
      <c r="F111" s="199" t="str">
        <f>VLOOKUP(E111,'[1]BẢNG MÃ RING'!$A$2:$C$322,2,0)</f>
        <v>3V01-16.5-10.55-2</v>
      </c>
      <c r="G111" s="206">
        <v>110</v>
      </c>
      <c r="H111" s="188">
        <f>IFERROR(VLOOKUP(E111,'[1]BẢNG MÃ RING'!$A$2:$C$322,3,0),0)</f>
        <v>0.2475</v>
      </c>
      <c r="I111" s="188">
        <f t="shared" si="2"/>
        <v>27.225000000000001</v>
      </c>
      <c r="J111" s="203">
        <v>44560</v>
      </c>
    </row>
    <row r="112" spans="1:11" ht="15.75" x14ac:dyDescent="0.25">
      <c r="A112" s="187">
        <f t="shared" si="3"/>
        <v>109</v>
      </c>
      <c r="B112" s="200">
        <v>12405594</v>
      </c>
      <c r="C112" s="205" t="s">
        <v>935</v>
      </c>
      <c r="D112" s="202" t="s">
        <v>1056</v>
      </c>
      <c r="E112" s="211" t="s">
        <v>1115</v>
      </c>
      <c r="F112" s="199" t="str">
        <f>VLOOKUP(E112,'[1]BẢNG MÃ RING'!$A$2:$C$322,2,0)</f>
        <v>3V01-16.5-10.55-2</v>
      </c>
      <c r="G112" s="206">
        <v>110</v>
      </c>
      <c r="H112" s="188">
        <f>IFERROR(VLOOKUP(E112,'[1]BẢNG MÃ RING'!$A$2:$C$322,3,0),0)</f>
        <v>0.2475</v>
      </c>
      <c r="I112" s="188">
        <f t="shared" si="2"/>
        <v>27.225000000000001</v>
      </c>
      <c r="J112" s="203">
        <v>44549</v>
      </c>
    </row>
    <row r="113" spans="1:11" ht="15.75" x14ac:dyDescent="0.25">
      <c r="A113" s="187">
        <f t="shared" si="3"/>
        <v>110</v>
      </c>
      <c r="B113" s="200">
        <v>22543765</v>
      </c>
      <c r="C113" s="205" t="s">
        <v>936</v>
      </c>
      <c r="D113" s="202" t="s">
        <v>1059</v>
      </c>
      <c r="E113" s="211" t="s">
        <v>1116</v>
      </c>
      <c r="F113" s="199" t="str">
        <f>VLOOKUP(E113,'[1]BẢNG MÃ RING'!$A$2:$C$322,2,0)</f>
        <v>3V01-16.5-11.05-M</v>
      </c>
      <c r="G113" s="206">
        <v>60</v>
      </c>
      <c r="H113" s="188">
        <f>IFERROR(VLOOKUP(E113,'[1]BẢNG MÃ RING'!$A$2:$C$322,3,0),0)</f>
        <v>0.2475</v>
      </c>
      <c r="I113" s="188">
        <f t="shared" si="2"/>
        <v>14.85</v>
      </c>
      <c r="J113" s="203">
        <v>44560</v>
      </c>
    </row>
    <row r="114" spans="1:11" ht="15.75" x14ac:dyDescent="0.25">
      <c r="A114" s="187">
        <f t="shared" si="3"/>
        <v>111</v>
      </c>
      <c r="B114" s="200">
        <v>22546333</v>
      </c>
      <c r="C114" s="205" t="s">
        <v>937</v>
      </c>
      <c r="D114" s="202" t="s">
        <v>1060</v>
      </c>
      <c r="E114" s="211" t="s">
        <v>1117</v>
      </c>
      <c r="F114" s="199" t="str">
        <f>VLOOKUP(E114,'[1]BẢNG MÃ RING'!$A$2:$C$322,2,0)</f>
        <v>3V01-16.5-11.55-N5</v>
      </c>
      <c r="G114" s="206">
        <v>20</v>
      </c>
      <c r="H114" s="188">
        <f>IFERROR(VLOOKUP(E114,'[1]BẢNG MÃ RING'!$A$2:$C$322,3,0),0)</f>
        <v>0.2475</v>
      </c>
      <c r="I114" s="188">
        <f t="shared" si="2"/>
        <v>4.95</v>
      </c>
      <c r="J114" s="203">
        <v>44560</v>
      </c>
    </row>
    <row r="115" spans="1:11" ht="15.75" x14ac:dyDescent="0.25">
      <c r="A115" s="187">
        <f t="shared" si="3"/>
        <v>112</v>
      </c>
      <c r="B115" s="200">
        <v>22546837</v>
      </c>
      <c r="C115" s="205" t="s">
        <v>938</v>
      </c>
      <c r="D115" s="202" t="s">
        <v>1061</v>
      </c>
      <c r="E115" s="211" t="s">
        <v>1117</v>
      </c>
      <c r="F115" s="199" t="str">
        <f>VLOOKUP(E115,'[1]BẢNG MÃ RING'!$A$2:$C$322,2,0)</f>
        <v>3V01-16.5-11.55-N5</v>
      </c>
      <c r="G115" s="206">
        <v>60</v>
      </c>
      <c r="H115" s="188">
        <f>IFERROR(VLOOKUP(E115,'[1]BẢNG MÃ RING'!$A$2:$C$322,3,0),0)</f>
        <v>0.2475</v>
      </c>
      <c r="I115" s="188">
        <f t="shared" si="2"/>
        <v>14.85</v>
      </c>
      <c r="J115" s="203">
        <v>44560</v>
      </c>
    </row>
    <row r="116" spans="1:11" ht="15.75" x14ac:dyDescent="0.25">
      <c r="A116" s="187">
        <f t="shared" si="3"/>
        <v>113</v>
      </c>
      <c r="B116" s="200">
        <v>22522883</v>
      </c>
      <c r="C116" s="205" t="s">
        <v>939</v>
      </c>
      <c r="D116" s="202" t="s">
        <v>1062</v>
      </c>
      <c r="E116" s="211" t="s">
        <v>492</v>
      </c>
      <c r="F116" s="199" t="str">
        <f>VLOOKUP(E116,'[1]BẢNG MÃ RING'!$A$2:$C$322,2,0)</f>
        <v>3V01-16.5-11.05</v>
      </c>
      <c r="G116" s="206">
        <v>60</v>
      </c>
      <c r="H116" s="188">
        <f>IFERROR(VLOOKUP(E116,'[1]BẢNG MÃ RING'!$A$2:$C$322,3,0),0)</f>
        <v>0.2475</v>
      </c>
      <c r="I116" s="188">
        <f t="shared" si="2"/>
        <v>14.85</v>
      </c>
      <c r="J116" s="203">
        <v>44546</v>
      </c>
    </row>
    <row r="117" spans="1:11" ht="15.75" x14ac:dyDescent="0.25">
      <c r="A117" s="187">
        <f t="shared" si="3"/>
        <v>114</v>
      </c>
      <c r="B117" s="200">
        <v>22523342</v>
      </c>
      <c r="C117" s="205" t="s">
        <v>940</v>
      </c>
      <c r="D117" s="202" t="s">
        <v>1063</v>
      </c>
      <c r="E117" s="211" t="s">
        <v>492</v>
      </c>
      <c r="F117" s="199" t="str">
        <f>VLOOKUP(E117,'[1]BẢNG MÃ RING'!$A$2:$C$322,2,0)</f>
        <v>3V01-16.5-11.05</v>
      </c>
      <c r="G117" s="206">
        <v>60</v>
      </c>
      <c r="H117" s="188">
        <f>IFERROR(VLOOKUP(E117,'[1]BẢNG MÃ RING'!$A$2:$C$322,3,0),0)</f>
        <v>0.2475</v>
      </c>
      <c r="I117" s="188">
        <f t="shared" si="2"/>
        <v>14.85</v>
      </c>
      <c r="J117" s="203">
        <v>44546</v>
      </c>
    </row>
    <row r="118" spans="1:11" ht="15.75" x14ac:dyDescent="0.25">
      <c r="A118" s="187">
        <f t="shared" si="3"/>
        <v>115</v>
      </c>
      <c r="B118" s="200">
        <v>22524358</v>
      </c>
      <c r="C118" s="205" t="s">
        <v>941</v>
      </c>
      <c r="D118" s="202" t="s">
        <v>1064</v>
      </c>
      <c r="E118" s="211" t="s">
        <v>492</v>
      </c>
      <c r="F118" s="199" t="str">
        <f>VLOOKUP(E118,'[1]BẢNG MÃ RING'!$A$2:$C$322,2,0)</f>
        <v>3V01-16.5-11.05</v>
      </c>
      <c r="G118" s="206">
        <v>60</v>
      </c>
      <c r="H118" s="188">
        <f>IFERROR(VLOOKUP(E118,'[1]BẢNG MÃ RING'!$A$2:$C$322,3,0),0)</f>
        <v>0.2475</v>
      </c>
      <c r="I118" s="188">
        <f t="shared" si="2"/>
        <v>14.85</v>
      </c>
      <c r="J118" s="203">
        <v>44546</v>
      </c>
    </row>
    <row r="119" spans="1:11" ht="15.75" x14ac:dyDescent="0.25">
      <c r="A119" s="187">
        <f t="shared" si="3"/>
        <v>116</v>
      </c>
      <c r="B119" s="200">
        <v>22523827</v>
      </c>
      <c r="C119" s="205" t="s">
        <v>942</v>
      </c>
      <c r="D119" s="202" t="s">
        <v>1065</v>
      </c>
      <c r="E119" s="211" t="s">
        <v>493</v>
      </c>
      <c r="F119" s="199" t="str">
        <f>VLOOKUP(E119,'[1]BẢNG MÃ RING'!$A$2:$C$322,2,0)</f>
        <v>3V01-16.5-10.05-T</v>
      </c>
      <c r="G119" s="206">
        <v>40</v>
      </c>
      <c r="H119" s="188">
        <f>IFERROR(VLOOKUP(E119,'[1]BẢNG MÃ RING'!$A$2:$C$322,3,0),0)</f>
        <v>0.2475</v>
      </c>
      <c r="I119" s="188">
        <f t="shared" si="2"/>
        <v>9.9</v>
      </c>
      <c r="J119" s="203">
        <v>44546</v>
      </c>
    </row>
    <row r="120" spans="1:11" ht="15.75" x14ac:dyDescent="0.25">
      <c r="A120" s="187">
        <f t="shared" si="3"/>
        <v>117</v>
      </c>
      <c r="B120" s="200">
        <v>12633987</v>
      </c>
      <c r="C120" s="205" t="s">
        <v>943</v>
      </c>
      <c r="D120" s="202" t="s">
        <v>1066</v>
      </c>
      <c r="E120" s="211" t="s">
        <v>1118</v>
      </c>
      <c r="F120" s="199" t="str">
        <f>VLOOKUP(E120,'[1]BẢNG MÃ RING'!$A$2:$C$322,2,0)</f>
        <v>3V01-16.5-13.05-W</v>
      </c>
      <c r="G120" s="206">
        <v>110</v>
      </c>
      <c r="H120" s="188">
        <f>IFERROR(VLOOKUP(E120,'[1]BẢNG MÃ RING'!$A$2:$C$322,3,0),0)</f>
        <v>0.2475</v>
      </c>
      <c r="I120" s="188">
        <f t="shared" si="2"/>
        <v>27.225000000000001</v>
      </c>
      <c r="J120" s="203">
        <v>44560</v>
      </c>
    </row>
    <row r="121" spans="1:11" ht="15.75" x14ac:dyDescent="0.25">
      <c r="A121" s="187">
        <f t="shared" si="3"/>
        <v>118</v>
      </c>
      <c r="B121" s="200">
        <v>12633030</v>
      </c>
      <c r="C121" s="205" t="s">
        <v>944</v>
      </c>
      <c r="D121" s="202" t="s">
        <v>816</v>
      </c>
      <c r="E121" s="211" t="s">
        <v>803</v>
      </c>
      <c r="F121" s="199" t="str">
        <f>VLOOKUP(E121,'[1]BẢNG MÃ RING'!$A$2:$C$322,2,0)</f>
        <v>3V01-16.5-11.55</v>
      </c>
      <c r="G121" s="206">
        <v>100</v>
      </c>
      <c r="H121" s="188">
        <f>IFERROR(VLOOKUP(E121,'[1]BẢNG MÃ RING'!$A$2:$C$322,3,0),0)</f>
        <v>0.2475</v>
      </c>
      <c r="I121" s="188">
        <f t="shared" si="2"/>
        <v>24.75</v>
      </c>
      <c r="J121" s="203">
        <v>44560</v>
      </c>
    </row>
    <row r="122" spans="1:11" ht="15.75" x14ac:dyDescent="0.25">
      <c r="A122" s="187">
        <f t="shared" si="3"/>
        <v>119</v>
      </c>
      <c r="B122" s="200">
        <v>22522933</v>
      </c>
      <c r="C122" s="205" t="s">
        <v>939</v>
      </c>
      <c r="D122" s="202" t="s">
        <v>1062</v>
      </c>
      <c r="E122" s="211" t="s">
        <v>495</v>
      </c>
      <c r="F122" s="199" t="str">
        <f>VLOOKUP(E122,'[1]BẢNG MÃ RING'!$A$2:$C$322,2,0)</f>
        <v>3V01-26.5-22.8</v>
      </c>
      <c r="G122" s="206">
        <v>60</v>
      </c>
      <c r="H122" s="188">
        <f>IFERROR(VLOOKUP(E122,'[1]BẢNG MÃ RING'!$A$2:$C$322,3,0),0)</f>
        <v>0.59</v>
      </c>
      <c r="I122" s="188">
        <f t="shared" si="2"/>
        <v>35.4</v>
      </c>
      <c r="J122" s="203">
        <v>44546</v>
      </c>
    </row>
    <row r="123" spans="1:11" ht="15.75" x14ac:dyDescent="0.25">
      <c r="A123" s="187">
        <f t="shared" si="3"/>
        <v>120</v>
      </c>
      <c r="B123" s="200">
        <v>22523407</v>
      </c>
      <c r="C123" s="205" t="s">
        <v>940</v>
      </c>
      <c r="D123" s="202" t="s">
        <v>1063</v>
      </c>
      <c r="E123" s="211" t="s">
        <v>495</v>
      </c>
      <c r="F123" s="199" t="str">
        <f>VLOOKUP(E123,'[1]BẢNG MÃ RING'!$A$2:$C$322,2,0)</f>
        <v>3V01-26.5-22.8</v>
      </c>
      <c r="G123" s="206">
        <v>60</v>
      </c>
      <c r="H123" s="188">
        <f>IFERROR(VLOOKUP(E123,'[1]BẢNG MÃ RING'!$A$2:$C$322,3,0),0)</f>
        <v>0.59</v>
      </c>
      <c r="I123" s="188">
        <f t="shared" si="2"/>
        <v>35.4</v>
      </c>
      <c r="J123" s="203">
        <v>44546</v>
      </c>
    </row>
    <row r="124" spans="1:11" ht="15.75" x14ac:dyDescent="0.25">
      <c r="A124" s="187">
        <f t="shared" si="3"/>
        <v>121</v>
      </c>
      <c r="B124" s="200">
        <v>22523900</v>
      </c>
      <c r="C124" s="205" t="s">
        <v>942</v>
      </c>
      <c r="D124" s="202" t="s">
        <v>1065</v>
      </c>
      <c r="E124" s="211" t="s">
        <v>495</v>
      </c>
      <c r="F124" s="199" t="str">
        <f>VLOOKUP(E124,'[1]BẢNG MÃ RING'!$A$2:$C$322,2,0)</f>
        <v>3V01-26.5-22.8</v>
      </c>
      <c r="G124" s="206">
        <v>60</v>
      </c>
      <c r="H124" s="188">
        <f>IFERROR(VLOOKUP(E124,'[1]BẢNG MÃ RING'!$A$2:$C$322,3,0),0)</f>
        <v>0.59</v>
      </c>
      <c r="I124" s="188">
        <f t="shared" si="2"/>
        <v>35.4</v>
      </c>
      <c r="J124" s="203">
        <v>44546</v>
      </c>
    </row>
    <row r="125" spans="1:11" ht="15.75" x14ac:dyDescent="0.25">
      <c r="A125" s="187">
        <f t="shared" si="3"/>
        <v>122</v>
      </c>
      <c r="B125" s="200">
        <v>22524427</v>
      </c>
      <c r="C125" s="205" t="s">
        <v>941</v>
      </c>
      <c r="D125" s="202" t="s">
        <v>1064</v>
      </c>
      <c r="E125" s="211" t="s">
        <v>495</v>
      </c>
      <c r="F125" s="199" t="str">
        <f>VLOOKUP(E125,'[1]BẢNG MÃ RING'!$A$2:$C$322,2,0)</f>
        <v>3V01-26.5-22.8</v>
      </c>
      <c r="G125" s="206">
        <v>60</v>
      </c>
      <c r="H125" s="188">
        <f>IFERROR(VLOOKUP(E125,'[1]BẢNG MÃ RING'!$A$2:$C$322,3,0),0)</f>
        <v>0.59</v>
      </c>
      <c r="I125" s="188">
        <f t="shared" si="2"/>
        <v>35.4</v>
      </c>
      <c r="J125" s="203">
        <v>44546</v>
      </c>
    </row>
    <row r="126" spans="1:11" ht="15.75" x14ac:dyDescent="0.25">
      <c r="A126" s="187">
        <f t="shared" si="3"/>
        <v>123</v>
      </c>
      <c r="B126" s="200">
        <v>12885429</v>
      </c>
      <c r="C126" s="205" t="s">
        <v>945</v>
      </c>
      <c r="D126" s="202" t="s">
        <v>1067</v>
      </c>
      <c r="E126" s="211" t="s">
        <v>772</v>
      </c>
      <c r="F126" s="199" t="str">
        <f>VLOOKUP(E126,'[1]BẢNG MÃ RING'!$A$2:$C$322,2,0)</f>
        <v>3V01-19-36</v>
      </c>
      <c r="G126" s="206">
        <v>60</v>
      </c>
      <c r="H126" s="188">
        <f>IFERROR(VLOOKUP(E126,'[1]BẢNG MÃ RING'!$A$2:$C$322,3,0),0)</f>
        <v>2.5249999999999999</v>
      </c>
      <c r="I126" s="188">
        <f t="shared" si="2"/>
        <v>151.5</v>
      </c>
      <c r="J126" s="203">
        <v>44546</v>
      </c>
      <c r="K126" s="85" t="s">
        <v>825</v>
      </c>
    </row>
    <row r="127" spans="1:11" ht="15.75" x14ac:dyDescent="0.25">
      <c r="A127" s="187">
        <f t="shared" si="3"/>
        <v>124</v>
      </c>
      <c r="B127" s="200">
        <v>12424715</v>
      </c>
      <c r="C127" s="205" t="s">
        <v>946</v>
      </c>
      <c r="D127" s="202" t="s">
        <v>1067</v>
      </c>
      <c r="E127" s="211" t="s">
        <v>772</v>
      </c>
      <c r="F127" s="199" t="str">
        <f>VLOOKUP(E127,'[1]BẢNG MÃ RING'!$A$2:$C$322,2,0)</f>
        <v>3V01-19-36</v>
      </c>
      <c r="G127" s="206">
        <v>70</v>
      </c>
      <c r="H127" s="188">
        <f>IFERROR(VLOOKUP(E127,'[1]BẢNG MÃ RING'!$A$2:$C$322,3,0),0)</f>
        <v>2.5249999999999999</v>
      </c>
      <c r="I127" s="188">
        <f t="shared" si="2"/>
        <v>176.75</v>
      </c>
      <c r="J127" s="203">
        <v>44546</v>
      </c>
    </row>
    <row r="128" spans="1:11" ht="15.75" x14ac:dyDescent="0.25">
      <c r="A128" s="187">
        <f t="shared" si="3"/>
        <v>125</v>
      </c>
      <c r="B128" s="200">
        <v>22607333</v>
      </c>
      <c r="C128" s="205" t="s">
        <v>947</v>
      </c>
      <c r="D128" s="202" t="s">
        <v>1068</v>
      </c>
      <c r="E128" s="211" t="s">
        <v>498</v>
      </c>
      <c r="F128" s="199" t="str">
        <f>VLOOKUP(E128,'[1]BẢNG MÃ RING'!$A$2:$C$322,2,0)</f>
        <v>3V01-19-10.55</v>
      </c>
      <c r="G128" s="206">
        <v>60</v>
      </c>
      <c r="H128" s="188">
        <f>IFERROR(VLOOKUP(E128,'[1]BẢNG MÃ RING'!$A$2:$C$322,3,0),0)</f>
        <v>1.0669999999999999</v>
      </c>
      <c r="I128" s="188">
        <f t="shared" si="2"/>
        <v>64.02</v>
      </c>
      <c r="J128" s="203">
        <v>44560</v>
      </c>
    </row>
    <row r="129" spans="1:11" ht="15.75" x14ac:dyDescent="0.25">
      <c r="A129" s="187">
        <f t="shared" si="3"/>
        <v>126</v>
      </c>
      <c r="B129" s="200">
        <v>12995029</v>
      </c>
      <c r="C129" s="205" t="s">
        <v>948</v>
      </c>
      <c r="D129" s="202" t="s">
        <v>1069</v>
      </c>
      <c r="E129" s="211" t="s">
        <v>500</v>
      </c>
      <c r="F129" s="199" t="str">
        <f>VLOOKUP(E129,'[1]BẢNG MÃ RING'!$A$2:$C$322,2,0)</f>
        <v>3V01-19-13</v>
      </c>
      <c r="G129" s="206">
        <v>60</v>
      </c>
      <c r="H129" s="188">
        <f>IFERROR(VLOOKUP(E129,'[1]BẢNG MÃ RING'!$A$2:$C$322,3,0),0)</f>
        <v>1.0669999999999999</v>
      </c>
      <c r="I129" s="188">
        <f t="shared" si="2"/>
        <v>64.02</v>
      </c>
      <c r="J129" s="203">
        <v>44560</v>
      </c>
    </row>
    <row r="130" spans="1:11" ht="15.75" x14ac:dyDescent="0.25">
      <c r="A130" s="187">
        <f t="shared" si="3"/>
        <v>127</v>
      </c>
      <c r="B130" s="200">
        <v>22522990</v>
      </c>
      <c r="C130" s="205" t="s">
        <v>939</v>
      </c>
      <c r="D130" s="202" t="s">
        <v>1062</v>
      </c>
      <c r="E130" s="211" t="s">
        <v>507</v>
      </c>
      <c r="F130" s="199" t="str">
        <f>VLOOKUP(E130,'[1]BẢNG MÃ RING'!$A$2:$C$322,2,0)</f>
        <v>3V01-23.5-20.6</v>
      </c>
      <c r="G130" s="206">
        <v>60</v>
      </c>
      <c r="H130" s="188">
        <f>IFERROR(VLOOKUP(E130,'[1]BẢNG MÃ RING'!$A$2:$C$322,3,0),0)</f>
        <v>0.42</v>
      </c>
      <c r="I130" s="188">
        <f t="shared" si="2"/>
        <v>25.2</v>
      </c>
      <c r="J130" s="203">
        <v>44546</v>
      </c>
    </row>
    <row r="131" spans="1:11" ht="15.75" x14ac:dyDescent="0.25">
      <c r="A131" s="187">
        <f t="shared" si="3"/>
        <v>128</v>
      </c>
      <c r="B131" s="200">
        <v>22523445</v>
      </c>
      <c r="C131" s="205" t="s">
        <v>940</v>
      </c>
      <c r="D131" s="202" t="s">
        <v>1063</v>
      </c>
      <c r="E131" s="211" t="s">
        <v>507</v>
      </c>
      <c r="F131" s="199" t="str">
        <f>VLOOKUP(E131,'[1]BẢNG MÃ RING'!$A$2:$C$322,2,0)</f>
        <v>3V01-23.5-20.6</v>
      </c>
      <c r="G131" s="206">
        <v>60</v>
      </c>
      <c r="H131" s="188">
        <f>IFERROR(VLOOKUP(E131,'[1]BẢNG MÃ RING'!$A$2:$C$322,3,0),0)</f>
        <v>0.42</v>
      </c>
      <c r="I131" s="188">
        <f t="shared" si="2"/>
        <v>25.2</v>
      </c>
      <c r="J131" s="203">
        <v>44546</v>
      </c>
    </row>
    <row r="132" spans="1:11" ht="15.75" x14ac:dyDescent="0.25">
      <c r="A132" s="187">
        <f t="shared" si="3"/>
        <v>129</v>
      </c>
      <c r="B132" s="200">
        <v>22523934</v>
      </c>
      <c r="C132" s="205" t="s">
        <v>942</v>
      </c>
      <c r="D132" s="202" t="s">
        <v>1065</v>
      </c>
      <c r="E132" s="211" t="s">
        <v>507</v>
      </c>
      <c r="F132" s="199" t="str">
        <f>VLOOKUP(E132,'[1]BẢNG MÃ RING'!$A$2:$C$322,2,0)</f>
        <v>3V01-23.5-20.6</v>
      </c>
      <c r="G132" s="206">
        <v>60</v>
      </c>
      <c r="H132" s="188">
        <f>IFERROR(VLOOKUP(E132,'[1]BẢNG MÃ RING'!$A$2:$C$322,3,0),0)</f>
        <v>0.42</v>
      </c>
      <c r="I132" s="188">
        <f t="shared" ref="I132:I195" si="4">H132*G132</f>
        <v>25.2</v>
      </c>
      <c r="J132" s="203">
        <v>44546</v>
      </c>
    </row>
    <row r="133" spans="1:11" ht="15.75" x14ac:dyDescent="0.25">
      <c r="A133" s="187">
        <f t="shared" ref="A133:A196" si="5">IF(AND( A132="",A131=""),1,IF(B133="","",IF(B132="",A131+1,A132+1)))</f>
        <v>130</v>
      </c>
      <c r="B133" s="200">
        <v>22524446</v>
      </c>
      <c r="C133" s="205" t="s">
        <v>941</v>
      </c>
      <c r="D133" s="202" t="s">
        <v>1064</v>
      </c>
      <c r="E133" s="211" t="s">
        <v>507</v>
      </c>
      <c r="F133" s="199" t="str">
        <f>VLOOKUP(E133,'[1]BẢNG MÃ RING'!$A$2:$C$322,2,0)</f>
        <v>3V01-23.5-20.6</v>
      </c>
      <c r="G133" s="206">
        <v>60</v>
      </c>
      <c r="H133" s="188">
        <f>IFERROR(VLOOKUP(E133,'[1]BẢNG MÃ RING'!$A$2:$C$322,3,0),0)</f>
        <v>0.42</v>
      </c>
      <c r="I133" s="188">
        <f t="shared" si="4"/>
        <v>25.2</v>
      </c>
      <c r="J133" s="203">
        <v>44546</v>
      </c>
    </row>
    <row r="134" spans="1:11" ht="15.75" x14ac:dyDescent="0.25">
      <c r="A134" s="187">
        <f t="shared" si="5"/>
        <v>131</v>
      </c>
      <c r="B134" s="200">
        <v>12854708</v>
      </c>
      <c r="C134" s="205" t="s">
        <v>949</v>
      </c>
      <c r="D134" s="202" t="s">
        <v>1070</v>
      </c>
      <c r="E134" s="211" t="s">
        <v>1119</v>
      </c>
      <c r="F134" s="199" t="str">
        <f>VLOOKUP(E134,'[1]BẢNG MÃ RING'!$A$2:$C$322,2,0)</f>
        <v>3V0201290</v>
      </c>
      <c r="G134" s="206">
        <v>60</v>
      </c>
      <c r="H134" s="188">
        <f>IFERROR(VLOOKUP(E134,'[1]BẢNG MÃ RING'!$A$2:$C$322,3,0),0)</f>
        <v>0.252</v>
      </c>
      <c r="I134" s="188">
        <f t="shared" si="4"/>
        <v>15.120000000000001</v>
      </c>
      <c r="J134" s="203">
        <v>44546</v>
      </c>
      <c r="K134" s="85" t="s">
        <v>825</v>
      </c>
    </row>
    <row r="135" spans="1:11" ht="15.75" x14ac:dyDescent="0.25">
      <c r="A135" s="187">
        <f t="shared" si="5"/>
        <v>132</v>
      </c>
      <c r="B135" s="200">
        <v>12404032</v>
      </c>
      <c r="C135" s="205" t="s">
        <v>950</v>
      </c>
      <c r="D135" s="202" t="s">
        <v>1070</v>
      </c>
      <c r="E135" s="211" t="s">
        <v>1119</v>
      </c>
      <c r="F135" s="199" t="str">
        <f>VLOOKUP(E135,'[1]BẢNG MÃ RING'!$A$2:$C$322,2,0)</f>
        <v>3V0201290</v>
      </c>
      <c r="G135" s="206">
        <v>110</v>
      </c>
      <c r="H135" s="188">
        <f>IFERROR(VLOOKUP(E135,'[1]BẢNG MÃ RING'!$A$2:$C$322,3,0),0)</f>
        <v>0.252</v>
      </c>
      <c r="I135" s="188">
        <f t="shared" si="4"/>
        <v>27.72</v>
      </c>
      <c r="J135" s="203">
        <v>44549</v>
      </c>
    </row>
    <row r="136" spans="1:11" ht="15.75" x14ac:dyDescent="0.25">
      <c r="A136" s="187">
        <f t="shared" si="5"/>
        <v>133</v>
      </c>
      <c r="B136" s="200">
        <v>12856263</v>
      </c>
      <c r="C136" s="205" t="s">
        <v>951</v>
      </c>
      <c r="D136" s="202" t="s">
        <v>1071</v>
      </c>
      <c r="E136" s="211" t="s">
        <v>1120</v>
      </c>
      <c r="F136" s="199" t="str">
        <f>VLOOKUP(E136,'[1]BẢNG MÃ RING'!$A$2:$C$322,2,0)</f>
        <v>3V02-18-11.55-A</v>
      </c>
      <c r="G136" s="206">
        <v>60</v>
      </c>
      <c r="H136" s="188">
        <f>IFERROR(VLOOKUP(E136,'[1]BẢNG MÃ RING'!$A$2:$C$322,3,0),0)</f>
        <v>0.252</v>
      </c>
      <c r="I136" s="188">
        <f t="shared" si="4"/>
        <v>15.120000000000001</v>
      </c>
      <c r="J136" s="203">
        <v>44546</v>
      </c>
    </row>
    <row r="137" spans="1:11" ht="15.75" x14ac:dyDescent="0.25">
      <c r="A137" s="187">
        <f t="shared" si="5"/>
        <v>134</v>
      </c>
      <c r="B137" s="200">
        <v>12404560</v>
      </c>
      <c r="C137" s="205" t="s">
        <v>952</v>
      </c>
      <c r="D137" s="202" t="s">
        <v>1072</v>
      </c>
      <c r="E137" s="211" t="s">
        <v>1120</v>
      </c>
      <c r="F137" s="199" t="str">
        <f>VLOOKUP(E137,'[1]BẢNG MÃ RING'!$A$2:$C$322,2,0)</f>
        <v>3V02-18-11.55-A</v>
      </c>
      <c r="G137" s="206">
        <v>100</v>
      </c>
      <c r="H137" s="188">
        <f>IFERROR(VLOOKUP(E137,'[1]BẢNG MÃ RING'!$A$2:$C$322,3,0),0)</f>
        <v>0.252</v>
      </c>
      <c r="I137" s="188">
        <f t="shared" si="4"/>
        <v>25.2</v>
      </c>
      <c r="J137" s="203">
        <v>44549</v>
      </c>
    </row>
    <row r="138" spans="1:11" ht="15.75" x14ac:dyDescent="0.25">
      <c r="A138" s="187">
        <f t="shared" si="5"/>
        <v>135</v>
      </c>
      <c r="B138" s="200">
        <v>12800633</v>
      </c>
      <c r="C138" s="205" t="s">
        <v>953</v>
      </c>
      <c r="D138" s="202" t="s">
        <v>1073</v>
      </c>
      <c r="E138" s="211" t="s">
        <v>804</v>
      </c>
      <c r="F138" s="199" t="str">
        <f>VLOOKUP(E138,'[1]BẢNG MÃ RING'!$A$2:$C$322,2,0)</f>
        <v>3V02-18-11.55-B</v>
      </c>
      <c r="G138" s="206">
        <v>40</v>
      </c>
      <c r="H138" s="188">
        <f>IFERROR(VLOOKUP(E138,'[1]BẢNG MÃ RING'!$A$2:$C$322,3,0),0)</f>
        <v>0.252</v>
      </c>
      <c r="I138" s="188">
        <f t="shared" si="4"/>
        <v>10.08</v>
      </c>
      <c r="J138" s="203">
        <v>44581</v>
      </c>
    </row>
    <row r="139" spans="1:11" ht="15.75" x14ac:dyDescent="0.25">
      <c r="A139" s="187">
        <f t="shared" si="5"/>
        <v>136</v>
      </c>
      <c r="B139" s="200">
        <v>12803567</v>
      </c>
      <c r="C139" s="205" t="s">
        <v>954</v>
      </c>
      <c r="D139" s="202" t="s">
        <v>1073</v>
      </c>
      <c r="E139" s="211" t="s">
        <v>804</v>
      </c>
      <c r="F139" s="199" t="str">
        <f>VLOOKUP(E139,'[1]BẢNG MÃ RING'!$A$2:$C$322,2,0)</f>
        <v>3V02-18-11.55-B</v>
      </c>
      <c r="G139" s="206">
        <v>60</v>
      </c>
      <c r="H139" s="188">
        <f>IFERROR(VLOOKUP(E139,'[1]BẢNG MÃ RING'!$A$2:$C$322,3,0),0)</f>
        <v>0.252</v>
      </c>
      <c r="I139" s="188">
        <f t="shared" si="4"/>
        <v>15.120000000000001</v>
      </c>
      <c r="J139" s="203">
        <v>44581</v>
      </c>
    </row>
    <row r="140" spans="1:11" ht="15.75" x14ac:dyDescent="0.25">
      <c r="A140" s="187">
        <f t="shared" si="5"/>
        <v>137</v>
      </c>
      <c r="B140" s="200">
        <v>12800018</v>
      </c>
      <c r="C140" s="205" t="s">
        <v>955</v>
      </c>
      <c r="D140" s="202" t="s">
        <v>1074</v>
      </c>
      <c r="E140" s="211" t="s">
        <v>1121</v>
      </c>
      <c r="F140" s="199" t="str">
        <f>VLOOKUP(E140,'[1]BẢNG MÃ RING'!$A$2:$C$322,2,0)</f>
        <v>3V02-18-12.05-C</v>
      </c>
      <c r="G140" s="206">
        <v>60</v>
      </c>
      <c r="H140" s="188">
        <f>IFERROR(VLOOKUP(E140,'[1]BẢNG MÃ RING'!$A$2:$C$322,3,0),0)</f>
        <v>0.252</v>
      </c>
      <c r="I140" s="188">
        <f t="shared" si="4"/>
        <v>15.120000000000001</v>
      </c>
      <c r="J140" s="203">
        <v>44581</v>
      </c>
    </row>
    <row r="141" spans="1:11" ht="15.75" x14ac:dyDescent="0.25">
      <c r="A141" s="187">
        <f t="shared" si="5"/>
        <v>138</v>
      </c>
      <c r="B141" s="200">
        <v>12802952</v>
      </c>
      <c r="C141" s="205" t="s">
        <v>956</v>
      </c>
      <c r="D141" s="202" t="s">
        <v>1074</v>
      </c>
      <c r="E141" s="211" t="s">
        <v>1121</v>
      </c>
      <c r="F141" s="199" t="str">
        <f>VLOOKUP(E141,'[1]BẢNG MÃ RING'!$A$2:$C$322,2,0)</f>
        <v>3V02-18-12.05-C</v>
      </c>
      <c r="G141" s="206">
        <v>60</v>
      </c>
      <c r="H141" s="188">
        <f>IFERROR(VLOOKUP(E141,'[1]BẢNG MÃ RING'!$A$2:$C$322,3,0),0)</f>
        <v>0.252</v>
      </c>
      <c r="I141" s="188">
        <f t="shared" si="4"/>
        <v>15.120000000000001</v>
      </c>
      <c r="J141" s="203">
        <v>44581</v>
      </c>
    </row>
    <row r="142" spans="1:11" ht="15.75" x14ac:dyDescent="0.25">
      <c r="A142" s="187">
        <f t="shared" si="5"/>
        <v>139</v>
      </c>
      <c r="B142" s="200">
        <v>12856790</v>
      </c>
      <c r="C142" s="205" t="s">
        <v>957</v>
      </c>
      <c r="D142" s="202" t="s">
        <v>1075</v>
      </c>
      <c r="E142" s="211" t="s">
        <v>1122</v>
      </c>
      <c r="F142" s="199" t="str">
        <f>VLOOKUP(E142,'[1]BẢNG MÃ RING'!$A$2:$C$322,2,0)</f>
        <v>3V02-18-12.05-P</v>
      </c>
      <c r="G142" s="206">
        <v>50</v>
      </c>
      <c r="H142" s="188">
        <f>IFERROR(VLOOKUP(E142,'[1]BẢNG MÃ RING'!$A$2:$C$322,3,0),0)</f>
        <v>0.252</v>
      </c>
      <c r="I142" s="188">
        <f t="shared" si="4"/>
        <v>12.6</v>
      </c>
      <c r="J142" s="203">
        <v>44546</v>
      </c>
    </row>
    <row r="143" spans="1:11" ht="15.75" x14ac:dyDescent="0.25">
      <c r="A143" s="187">
        <f t="shared" si="5"/>
        <v>140</v>
      </c>
      <c r="B143" s="200">
        <v>12830387</v>
      </c>
      <c r="C143" s="205" t="s">
        <v>958</v>
      </c>
      <c r="D143" s="202" t="s">
        <v>1076</v>
      </c>
      <c r="E143" s="211" t="s">
        <v>519</v>
      </c>
      <c r="F143" s="199" t="str">
        <f>VLOOKUP(E143,'[1]BẢNG MÃ RING'!$A$2:$C$322,2,0)</f>
        <v>3V02-30.8-24</v>
      </c>
      <c r="G143" s="206">
        <v>100</v>
      </c>
      <c r="H143" s="188">
        <f>IFERROR(VLOOKUP(E143,'[1]BẢNG MÃ RING'!$A$2:$C$322,3,0),0)</f>
        <v>0.84150000000000003</v>
      </c>
      <c r="I143" s="188">
        <f t="shared" si="4"/>
        <v>84.15</v>
      </c>
      <c r="J143" s="203">
        <v>44560</v>
      </c>
      <c r="K143" s="85" t="s">
        <v>1155</v>
      </c>
    </row>
    <row r="144" spans="1:11" ht="15.75" x14ac:dyDescent="0.25">
      <c r="A144" s="187">
        <f t="shared" si="5"/>
        <v>141</v>
      </c>
      <c r="B144" s="200">
        <v>12831041</v>
      </c>
      <c r="C144" s="205" t="s">
        <v>959</v>
      </c>
      <c r="D144" s="202" t="s">
        <v>1077</v>
      </c>
      <c r="E144" s="211" t="s">
        <v>519</v>
      </c>
      <c r="F144" s="199" t="str">
        <f>VLOOKUP(E144,'[1]BẢNG MÃ RING'!$A$2:$C$322,2,0)</f>
        <v>3V02-30.8-24</v>
      </c>
      <c r="G144" s="206">
        <v>110</v>
      </c>
      <c r="H144" s="188">
        <f>IFERROR(VLOOKUP(E144,'[1]BẢNG MÃ RING'!$A$2:$C$322,3,0),0)</f>
        <v>0.84150000000000003</v>
      </c>
      <c r="I144" s="188">
        <f t="shared" si="4"/>
        <v>92.564999999999998</v>
      </c>
      <c r="J144" s="203">
        <v>44560</v>
      </c>
    </row>
    <row r="145" spans="1:11" ht="15.75" x14ac:dyDescent="0.25">
      <c r="A145" s="187">
        <f t="shared" si="5"/>
        <v>142</v>
      </c>
      <c r="B145" s="200">
        <v>12831755</v>
      </c>
      <c r="C145" s="205" t="s">
        <v>960</v>
      </c>
      <c r="D145" s="202" t="s">
        <v>1078</v>
      </c>
      <c r="E145" s="211" t="s">
        <v>519</v>
      </c>
      <c r="F145" s="199" t="str">
        <f>VLOOKUP(E145,'[1]BẢNG MÃ RING'!$A$2:$C$322,2,0)</f>
        <v>3V02-30.8-24</v>
      </c>
      <c r="G145" s="206">
        <v>110</v>
      </c>
      <c r="H145" s="188">
        <f>IFERROR(VLOOKUP(E145,'[1]BẢNG MÃ RING'!$A$2:$C$322,3,0),0)</f>
        <v>0.84150000000000003</v>
      </c>
      <c r="I145" s="188">
        <f t="shared" si="4"/>
        <v>92.564999999999998</v>
      </c>
      <c r="J145" s="203">
        <v>44560</v>
      </c>
    </row>
    <row r="146" spans="1:11" ht="15.75" x14ac:dyDescent="0.25">
      <c r="A146" s="187">
        <f t="shared" si="5"/>
        <v>143</v>
      </c>
      <c r="B146" s="200">
        <v>12830422</v>
      </c>
      <c r="C146" s="205" t="s">
        <v>958</v>
      </c>
      <c r="D146" s="202" t="s">
        <v>1076</v>
      </c>
      <c r="E146" s="211" t="s">
        <v>522</v>
      </c>
      <c r="F146" s="199" t="str">
        <f>VLOOKUP(E146,'[1]BẢNG MÃ RING'!$A$2:$C$322,2,0)</f>
        <v>3V02-25.4-24</v>
      </c>
      <c r="G146" s="206">
        <v>70</v>
      </c>
      <c r="H146" s="188">
        <f>IFERROR(VLOOKUP(E146,'[1]BẢNG MÃ RING'!$A$2:$C$322,3,0),0)</f>
        <v>0.74250000000000005</v>
      </c>
      <c r="I146" s="188">
        <f t="shared" si="4"/>
        <v>51.975000000000001</v>
      </c>
      <c r="J146" s="203">
        <v>44560</v>
      </c>
    </row>
    <row r="147" spans="1:11" ht="15.75" x14ac:dyDescent="0.25">
      <c r="A147" s="187">
        <f t="shared" si="5"/>
        <v>144</v>
      </c>
      <c r="B147" s="200">
        <v>12831060</v>
      </c>
      <c r="C147" s="205" t="s">
        <v>959</v>
      </c>
      <c r="D147" s="202" t="s">
        <v>1077</v>
      </c>
      <c r="E147" s="211" t="s">
        <v>522</v>
      </c>
      <c r="F147" s="199" t="str">
        <f>VLOOKUP(E147,'[1]BẢNG MÃ RING'!$A$2:$C$322,2,0)</f>
        <v>3V02-25.4-24</v>
      </c>
      <c r="G147" s="206">
        <v>110</v>
      </c>
      <c r="H147" s="188">
        <f>IFERROR(VLOOKUP(E147,'[1]BẢNG MÃ RING'!$A$2:$C$322,3,0),0)</f>
        <v>0.74250000000000005</v>
      </c>
      <c r="I147" s="188">
        <f t="shared" si="4"/>
        <v>81.675000000000011</v>
      </c>
      <c r="J147" s="203">
        <v>44560</v>
      </c>
    </row>
    <row r="148" spans="1:11" ht="15.75" x14ac:dyDescent="0.25">
      <c r="A148" s="187">
        <f t="shared" si="5"/>
        <v>145</v>
      </c>
      <c r="B148" s="200">
        <v>12831793</v>
      </c>
      <c r="C148" s="205" t="s">
        <v>960</v>
      </c>
      <c r="D148" s="202" t="s">
        <v>1078</v>
      </c>
      <c r="E148" s="211" t="s">
        <v>522</v>
      </c>
      <c r="F148" s="199" t="str">
        <f>VLOOKUP(E148,'[1]BẢNG MÃ RING'!$A$2:$C$322,2,0)</f>
        <v>3V02-25.4-24</v>
      </c>
      <c r="G148" s="206">
        <v>110</v>
      </c>
      <c r="H148" s="188">
        <f>IFERROR(VLOOKUP(E148,'[1]BẢNG MÃ RING'!$A$2:$C$322,3,0),0)</f>
        <v>0.74250000000000005</v>
      </c>
      <c r="I148" s="188">
        <f t="shared" si="4"/>
        <v>81.675000000000011</v>
      </c>
      <c r="J148" s="203">
        <v>44560</v>
      </c>
    </row>
    <row r="149" spans="1:11" ht="15.75" x14ac:dyDescent="0.25">
      <c r="A149" s="187">
        <f t="shared" si="5"/>
        <v>146</v>
      </c>
      <c r="B149" s="200">
        <v>22511573</v>
      </c>
      <c r="C149" s="205" t="s">
        <v>961</v>
      </c>
      <c r="D149" s="202" t="s">
        <v>1079</v>
      </c>
      <c r="E149" s="211" t="s">
        <v>1123</v>
      </c>
      <c r="F149" s="199" t="str">
        <f>VLOOKUP(E149,'[1]BẢNG MÃ RING'!$A$2:$C$322,2,0)</f>
        <v>3V02-25.4-22.65-6</v>
      </c>
      <c r="G149" s="206">
        <v>130</v>
      </c>
      <c r="H149" s="188">
        <f>IFERROR(VLOOKUP(E149,'[1]BẢNG MÃ RING'!$A$2:$C$322,3,0),0)</f>
        <v>0.74250000000000005</v>
      </c>
      <c r="I149" s="188">
        <f t="shared" si="4"/>
        <v>96.525000000000006</v>
      </c>
      <c r="J149" s="203">
        <v>44546</v>
      </c>
      <c r="K149" s="85" t="s">
        <v>1149</v>
      </c>
    </row>
    <row r="150" spans="1:11" ht="15.75" x14ac:dyDescent="0.25">
      <c r="A150" s="187">
        <f t="shared" si="5"/>
        <v>147</v>
      </c>
      <c r="B150" s="200">
        <v>22512261</v>
      </c>
      <c r="C150" s="205" t="s">
        <v>962</v>
      </c>
      <c r="D150" s="202" t="s">
        <v>1080</v>
      </c>
      <c r="E150" s="211" t="s">
        <v>1123</v>
      </c>
      <c r="F150" s="199" t="str">
        <f>VLOOKUP(E150,'[1]BẢNG MÃ RING'!$A$2:$C$322,2,0)</f>
        <v>3V02-25.4-22.65-6</v>
      </c>
      <c r="G150" s="206">
        <v>210</v>
      </c>
      <c r="H150" s="188">
        <f>IFERROR(VLOOKUP(E150,'[1]BẢNG MÃ RING'!$A$2:$C$322,3,0),0)</f>
        <v>0.74250000000000005</v>
      </c>
      <c r="I150" s="188">
        <f t="shared" si="4"/>
        <v>155.92500000000001</v>
      </c>
      <c r="J150" s="203">
        <v>44546</v>
      </c>
    </row>
    <row r="151" spans="1:11" ht="15.75" x14ac:dyDescent="0.25">
      <c r="A151" s="187">
        <f t="shared" si="5"/>
        <v>148</v>
      </c>
      <c r="B151" s="200">
        <v>22512975</v>
      </c>
      <c r="C151" s="205" t="s">
        <v>963</v>
      </c>
      <c r="D151" s="202" t="s">
        <v>1081</v>
      </c>
      <c r="E151" s="211" t="s">
        <v>1124</v>
      </c>
      <c r="F151" s="199" t="str">
        <f>VLOOKUP(E151,'[1]BẢNG MÃ RING'!$A$2:$C$322,2,0)</f>
        <v>3V0207570</v>
      </c>
      <c r="G151" s="206">
        <v>40</v>
      </c>
      <c r="H151" s="188">
        <f>IFERROR(VLOOKUP(E151,'[1]BẢNG MÃ RING'!$A$2:$C$322,3,0),0)</f>
        <v>0.74250000000000005</v>
      </c>
      <c r="I151" s="188">
        <f t="shared" si="4"/>
        <v>29.700000000000003</v>
      </c>
      <c r="J151" s="203">
        <v>44546</v>
      </c>
      <c r="K151" s="85" t="s">
        <v>1149</v>
      </c>
    </row>
    <row r="152" spans="1:11" ht="15.75" x14ac:dyDescent="0.25">
      <c r="A152" s="187">
        <f t="shared" si="5"/>
        <v>149</v>
      </c>
      <c r="B152" s="200">
        <v>22513770</v>
      </c>
      <c r="C152" s="205" t="s">
        <v>964</v>
      </c>
      <c r="D152" s="202" t="s">
        <v>1082</v>
      </c>
      <c r="E152" s="211" t="s">
        <v>1125</v>
      </c>
      <c r="F152" s="199" t="str">
        <f>VLOOKUP(E152,'[1]BẢNG MÃ RING'!$A$2:$C$322,2,0)</f>
        <v>3V02-25.4-24-8</v>
      </c>
      <c r="G152" s="206">
        <v>30</v>
      </c>
      <c r="H152" s="188">
        <f>IFERROR(VLOOKUP(E152,'[1]BẢNG MÃ RING'!$A$2:$C$322,3,0),0)</f>
        <v>0.74250000000000005</v>
      </c>
      <c r="I152" s="188">
        <f t="shared" si="4"/>
        <v>22.275000000000002</v>
      </c>
      <c r="J152" s="203">
        <v>44546</v>
      </c>
      <c r="K152" s="85" t="s">
        <v>1149</v>
      </c>
    </row>
    <row r="153" spans="1:11" ht="15.75" x14ac:dyDescent="0.25">
      <c r="A153" s="187">
        <f t="shared" si="5"/>
        <v>150</v>
      </c>
      <c r="B153" s="200">
        <v>12768718</v>
      </c>
      <c r="C153" s="205" t="s">
        <v>965</v>
      </c>
      <c r="D153" s="202" t="s">
        <v>1083</v>
      </c>
      <c r="E153" s="211" t="s">
        <v>1126</v>
      </c>
      <c r="F153" s="199" t="str">
        <f>VLOOKUP(E153,'[1]BẢNG MÃ RING'!$A$2:$C$322,2,0)</f>
        <v>3V02-24.4-18-5</v>
      </c>
      <c r="G153" s="206">
        <v>110</v>
      </c>
      <c r="H153" s="188">
        <f>IFERROR(VLOOKUP(E153,'[1]BẢNG MÃ RING'!$A$2:$C$322,3,0),0)</f>
        <v>0.59</v>
      </c>
      <c r="I153" s="188">
        <f t="shared" si="4"/>
        <v>64.899999999999991</v>
      </c>
      <c r="J153" s="203">
        <v>44539</v>
      </c>
    </row>
    <row r="154" spans="1:11" ht="15.75" x14ac:dyDescent="0.25">
      <c r="A154" s="187">
        <f t="shared" si="5"/>
        <v>151</v>
      </c>
      <c r="B154" s="200">
        <v>12769146</v>
      </c>
      <c r="C154" s="205" t="s">
        <v>966</v>
      </c>
      <c r="D154" s="202" t="s">
        <v>1084</v>
      </c>
      <c r="E154" s="211" t="s">
        <v>1126</v>
      </c>
      <c r="F154" s="199" t="str">
        <f>VLOOKUP(E154,'[1]BẢNG MÃ RING'!$A$2:$C$322,2,0)</f>
        <v>3V02-24.4-18-5</v>
      </c>
      <c r="G154" s="206">
        <v>110</v>
      </c>
      <c r="H154" s="188">
        <f>IFERROR(VLOOKUP(E154,'[1]BẢNG MÃ RING'!$A$2:$C$322,3,0),0)</f>
        <v>0.59</v>
      </c>
      <c r="I154" s="188">
        <f t="shared" si="4"/>
        <v>64.899999999999991</v>
      </c>
      <c r="J154" s="203">
        <v>44539</v>
      </c>
    </row>
    <row r="155" spans="1:11" ht="15.75" x14ac:dyDescent="0.25">
      <c r="A155" s="187">
        <f t="shared" si="5"/>
        <v>152</v>
      </c>
      <c r="B155" s="200">
        <v>12769601</v>
      </c>
      <c r="C155" s="205" t="s">
        <v>967</v>
      </c>
      <c r="D155" s="202" t="s">
        <v>1085</v>
      </c>
      <c r="E155" s="211" t="s">
        <v>1126</v>
      </c>
      <c r="F155" s="199" t="str">
        <f>VLOOKUP(E155,'[1]BẢNG MÃ RING'!$A$2:$C$322,2,0)</f>
        <v>3V02-24.4-18-5</v>
      </c>
      <c r="G155" s="206">
        <v>110</v>
      </c>
      <c r="H155" s="188">
        <f>IFERROR(VLOOKUP(E155,'[1]BẢNG MÃ RING'!$A$2:$C$322,3,0),0)</f>
        <v>0.59</v>
      </c>
      <c r="I155" s="188">
        <f t="shared" si="4"/>
        <v>64.899999999999991</v>
      </c>
      <c r="J155" s="203">
        <v>44539</v>
      </c>
    </row>
    <row r="156" spans="1:11" ht="15.75" x14ac:dyDescent="0.25">
      <c r="A156" s="187">
        <f t="shared" si="5"/>
        <v>153</v>
      </c>
      <c r="B156" s="200">
        <v>12770041</v>
      </c>
      <c r="C156" s="205" t="s">
        <v>968</v>
      </c>
      <c r="D156" s="202" t="s">
        <v>1086</v>
      </c>
      <c r="E156" s="211" t="s">
        <v>1126</v>
      </c>
      <c r="F156" s="199" t="str">
        <f>VLOOKUP(E156,'[1]BẢNG MÃ RING'!$A$2:$C$322,2,0)</f>
        <v>3V02-24.4-18-5</v>
      </c>
      <c r="G156" s="206">
        <v>110</v>
      </c>
      <c r="H156" s="188">
        <f>IFERROR(VLOOKUP(E156,'[1]BẢNG MÃ RING'!$A$2:$C$322,3,0),0)</f>
        <v>0.59</v>
      </c>
      <c r="I156" s="188">
        <f t="shared" si="4"/>
        <v>64.899999999999991</v>
      </c>
      <c r="J156" s="203">
        <v>44539</v>
      </c>
    </row>
    <row r="157" spans="1:11" ht="15.75" x14ac:dyDescent="0.25">
      <c r="A157" s="187">
        <f t="shared" si="5"/>
        <v>154</v>
      </c>
      <c r="B157" s="200">
        <v>22983124</v>
      </c>
      <c r="C157" s="205" t="s">
        <v>969</v>
      </c>
      <c r="D157" s="202" t="s">
        <v>1087</v>
      </c>
      <c r="E157" s="211" t="s">
        <v>738</v>
      </c>
      <c r="F157" s="199" t="str">
        <f>VLOOKUP(E157,'[1]BẢNG MÃ RING'!$A$2:$C$322,2,0)</f>
        <v>3V02-22.2-20</v>
      </c>
      <c r="G157" s="206">
        <v>70</v>
      </c>
      <c r="H157" s="188">
        <f>IFERROR(VLOOKUP(E157,'[1]BẢNG MÃ RING'!$A$2:$C$322,3,0),0)</f>
        <v>0.56999999999999995</v>
      </c>
      <c r="I157" s="188">
        <f t="shared" si="4"/>
        <v>39.9</v>
      </c>
      <c r="J157" s="203">
        <v>44546</v>
      </c>
      <c r="K157" s="85" t="s">
        <v>1150</v>
      </c>
    </row>
    <row r="158" spans="1:11" ht="15.75" x14ac:dyDescent="0.25">
      <c r="A158" s="187">
        <f t="shared" si="5"/>
        <v>155</v>
      </c>
      <c r="B158" s="200">
        <v>22984881</v>
      </c>
      <c r="C158" s="205" t="s">
        <v>970</v>
      </c>
      <c r="D158" s="202" t="s">
        <v>1088</v>
      </c>
      <c r="E158" s="211" t="s">
        <v>738</v>
      </c>
      <c r="F158" s="199" t="str">
        <f>VLOOKUP(E158,'[1]BẢNG MÃ RING'!$A$2:$C$322,2,0)</f>
        <v>3V02-22.2-20</v>
      </c>
      <c r="G158" s="206">
        <v>130</v>
      </c>
      <c r="H158" s="188">
        <f>IFERROR(VLOOKUP(E158,'[1]BẢNG MÃ RING'!$A$2:$C$322,3,0),0)</f>
        <v>0.56999999999999995</v>
      </c>
      <c r="I158" s="188">
        <f t="shared" si="4"/>
        <v>74.099999999999994</v>
      </c>
      <c r="J158" s="203">
        <v>44546</v>
      </c>
    </row>
    <row r="159" spans="1:11" ht="15.75" x14ac:dyDescent="0.25">
      <c r="A159" s="187">
        <f t="shared" si="5"/>
        <v>156</v>
      </c>
      <c r="B159" s="200">
        <v>22986590</v>
      </c>
      <c r="C159" s="205" t="s">
        <v>971</v>
      </c>
      <c r="D159" s="202" t="s">
        <v>817</v>
      </c>
      <c r="E159" s="211" t="s">
        <v>738</v>
      </c>
      <c r="F159" s="199" t="str">
        <f>VLOOKUP(E159,'[1]BẢNG MÃ RING'!$A$2:$C$322,2,0)</f>
        <v>3V02-22.2-20</v>
      </c>
      <c r="G159" s="206">
        <v>60</v>
      </c>
      <c r="H159" s="188">
        <f>IFERROR(VLOOKUP(E159,'[1]BẢNG MÃ RING'!$A$2:$C$322,3,0),0)</f>
        <v>0.56999999999999995</v>
      </c>
      <c r="I159" s="188">
        <f t="shared" si="4"/>
        <v>34.199999999999996</v>
      </c>
      <c r="J159" s="203">
        <v>44546</v>
      </c>
    </row>
    <row r="160" spans="1:11" ht="15.75" x14ac:dyDescent="0.25">
      <c r="A160" s="187">
        <f t="shared" si="5"/>
        <v>157</v>
      </c>
      <c r="B160" s="200">
        <v>22602377</v>
      </c>
      <c r="C160" s="205" t="s">
        <v>972</v>
      </c>
      <c r="D160" s="202" t="s">
        <v>782</v>
      </c>
      <c r="E160" s="211" t="s">
        <v>795</v>
      </c>
      <c r="F160" s="199" t="str">
        <f>VLOOKUP(E160,'[1]BẢNG MÃ RING'!$A$2:$C$322,2,0)</f>
        <v>3V02527-16.5-11.55</v>
      </c>
      <c r="G160" s="206">
        <v>110</v>
      </c>
      <c r="H160" s="188">
        <f>IFERROR(VLOOKUP(E160,'[1]BẢNG MÃ RING'!$A$2:$C$322,3,0),0)</f>
        <v>0.45</v>
      </c>
      <c r="I160" s="188">
        <f t="shared" si="4"/>
        <v>49.5</v>
      </c>
      <c r="J160" s="203">
        <v>44560</v>
      </c>
    </row>
    <row r="161" spans="1:11" ht="15.75" x14ac:dyDescent="0.25">
      <c r="A161" s="187">
        <f t="shared" si="5"/>
        <v>158</v>
      </c>
      <c r="B161" s="200">
        <v>22602809</v>
      </c>
      <c r="C161" s="205" t="s">
        <v>973</v>
      </c>
      <c r="D161" s="202" t="s">
        <v>783</v>
      </c>
      <c r="E161" s="211" t="s">
        <v>795</v>
      </c>
      <c r="F161" s="199" t="str">
        <f>VLOOKUP(E161,'[1]BẢNG MÃ RING'!$A$2:$C$322,2,0)</f>
        <v>3V02527-16.5-11.55</v>
      </c>
      <c r="G161" s="206">
        <v>60</v>
      </c>
      <c r="H161" s="188">
        <f>IFERROR(VLOOKUP(E161,'[1]BẢNG MÃ RING'!$A$2:$C$322,3,0),0)</f>
        <v>0.45</v>
      </c>
      <c r="I161" s="188">
        <f t="shared" si="4"/>
        <v>27</v>
      </c>
      <c r="J161" s="203">
        <v>44560</v>
      </c>
    </row>
    <row r="162" spans="1:11" ht="15.75" x14ac:dyDescent="0.25">
      <c r="A162" s="187">
        <f t="shared" si="5"/>
        <v>159</v>
      </c>
      <c r="B162" s="200">
        <v>22603306</v>
      </c>
      <c r="C162" s="205" t="s">
        <v>974</v>
      </c>
      <c r="D162" s="202" t="s">
        <v>784</v>
      </c>
      <c r="E162" s="211" t="s">
        <v>795</v>
      </c>
      <c r="F162" s="199" t="str">
        <f>VLOOKUP(E162,'[1]BẢNG MÃ RING'!$A$2:$C$322,2,0)</f>
        <v>3V02527-16.5-11.55</v>
      </c>
      <c r="G162" s="206">
        <v>110</v>
      </c>
      <c r="H162" s="188">
        <f>IFERROR(VLOOKUP(E162,'[1]BẢNG MÃ RING'!$A$2:$C$322,3,0),0)</f>
        <v>0.45</v>
      </c>
      <c r="I162" s="188">
        <f t="shared" si="4"/>
        <v>49.5</v>
      </c>
      <c r="J162" s="203">
        <v>44560</v>
      </c>
    </row>
    <row r="163" spans="1:11" ht="15.75" x14ac:dyDescent="0.25">
      <c r="A163" s="187">
        <f t="shared" si="5"/>
        <v>160</v>
      </c>
      <c r="B163" s="200">
        <v>22599407</v>
      </c>
      <c r="C163" s="205" t="s">
        <v>975</v>
      </c>
      <c r="D163" s="202" t="s">
        <v>786</v>
      </c>
      <c r="E163" s="211" t="s">
        <v>796</v>
      </c>
      <c r="F163" s="199" t="str">
        <f>VLOOKUP(E163,'[1]BẢNG MÃ RING'!$A$2:$C$322,2,0)</f>
        <v>3V02527-16.5-10.05</v>
      </c>
      <c r="G163" s="206">
        <v>50</v>
      </c>
      <c r="H163" s="188">
        <f>IFERROR(VLOOKUP(E163,'[1]BẢNG MÃ RING'!$A$2:$C$322,3,0),0)</f>
        <v>0.45</v>
      </c>
      <c r="I163" s="188">
        <f t="shared" si="4"/>
        <v>22.5</v>
      </c>
      <c r="J163" s="203">
        <v>44560</v>
      </c>
    </row>
    <row r="164" spans="1:11" ht="15.75" x14ac:dyDescent="0.25">
      <c r="A164" s="187">
        <f t="shared" si="5"/>
        <v>161</v>
      </c>
      <c r="B164" s="200">
        <v>22599899</v>
      </c>
      <c r="C164" s="205" t="s">
        <v>976</v>
      </c>
      <c r="D164" s="202" t="s">
        <v>785</v>
      </c>
      <c r="E164" s="211" t="s">
        <v>796</v>
      </c>
      <c r="F164" s="199" t="str">
        <f>VLOOKUP(E164,'[1]BẢNG MÃ RING'!$A$2:$C$322,2,0)</f>
        <v>3V02527-16.5-10.05</v>
      </c>
      <c r="G164" s="206">
        <v>110</v>
      </c>
      <c r="H164" s="188">
        <f>IFERROR(VLOOKUP(E164,'[1]BẢNG MÃ RING'!$A$2:$C$322,3,0),0)</f>
        <v>0.45</v>
      </c>
      <c r="I164" s="188">
        <f t="shared" si="4"/>
        <v>49.5</v>
      </c>
      <c r="J164" s="203">
        <v>44560</v>
      </c>
    </row>
    <row r="165" spans="1:11" ht="15.75" x14ac:dyDescent="0.25">
      <c r="A165" s="187">
        <f t="shared" si="5"/>
        <v>162</v>
      </c>
      <c r="B165" s="200">
        <v>22598933</v>
      </c>
      <c r="C165" s="205" t="s">
        <v>977</v>
      </c>
      <c r="D165" s="202" t="s">
        <v>790</v>
      </c>
      <c r="E165" s="211" t="s">
        <v>797</v>
      </c>
      <c r="F165" s="199" t="str">
        <f>VLOOKUP(E165,'[1]BẢNG MÃ RING'!$A$2:$C$322,2,0)</f>
        <v>3V02527-16.5-10.55</v>
      </c>
      <c r="G165" s="206">
        <v>50</v>
      </c>
      <c r="H165" s="188">
        <f>IFERROR(VLOOKUP(E165,'[1]BẢNG MÃ RING'!$A$2:$C$322,3,0),0)</f>
        <v>0.45</v>
      </c>
      <c r="I165" s="188">
        <f t="shared" si="4"/>
        <v>22.5</v>
      </c>
      <c r="J165" s="203">
        <v>44560</v>
      </c>
    </row>
    <row r="166" spans="1:11" ht="15.75" x14ac:dyDescent="0.25">
      <c r="A166" s="187">
        <f t="shared" si="5"/>
        <v>163</v>
      </c>
      <c r="B166" s="200">
        <v>22601426</v>
      </c>
      <c r="C166" s="205" t="s">
        <v>978</v>
      </c>
      <c r="D166" s="202" t="s">
        <v>787</v>
      </c>
      <c r="E166" s="211" t="s">
        <v>797</v>
      </c>
      <c r="F166" s="199" t="str">
        <f>VLOOKUP(E166,'[1]BẢNG MÃ RING'!$A$2:$C$322,2,0)</f>
        <v>3V02527-16.5-10.55</v>
      </c>
      <c r="G166" s="206">
        <v>60</v>
      </c>
      <c r="H166" s="188">
        <f>IFERROR(VLOOKUP(E166,'[1]BẢNG MÃ RING'!$A$2:$C$322,3,0),0)</f>
        <v>0.45</v>
      </c>
      <c r="I166" s="188">
        <f t="shared" si="4"/>
        <v>27</v>
      </c>
      <c r="J166" s="203">
        <v>44560</v>
      </c>
    </row>
    <row r="167" spans="1:11" ht="15.75" x14ac:dyDescent="0.25">
      <c r="A167" s="187">
        <f t="shared" si="5"/>
        <v>164</v>
      </c>
      <c r="B167" s="200">
        <v>22601900</v>
      </c>
      <c r="C167" s="205" t="s">
        <v>979</v>
      </c>
      <c r="D167" s="202" t="s">
        <v>788</v>
      </c>
      <c r="E167" s="211" t="s">
        <v>797</v>
      </c>
      <c r="F167" s="199" t="str">
        <f>VLOOKUP(E167,'[1]BẢNG MÃ RING'!$A$2:$C$322,2,0)</f>
        <v>3V02527-16.5-10.55</v>
      </c>
      <c r="G167" s="206">
        <v>170</v>
      </c>
      <c r="H167" s="188">
        <f>IFERROR(VLOOKUP(E167,'[1]BẢNG MÃ RING'!$A$2:$C$322,3,0),0)</f>
        <v>0.45</v>
      </c>
      <c r="I167" s="188">
        <f t="shared" si="4"/>
        <v>76.5</v>
      </c>
      <c r="J167" s="203">
        <v>44560</v>
      </c>
    </row>
    <row r="168" spans="1:11" ht="15.75" x14ac:dyDescent="0.25">
      <c r="A168" s="187">
        <f t="shared" si="5"/>
        <v>165</v>
      </c>
      <c r="B168" s="200">
        <v>22603814</v>
      </c>
      <c r="C168" s="205" t="s">
        <v>980</v>
      </c>
      <c r="D168" s="202" t="s">
        <v>789</v>
      </c>
      <c r="E168" s="211" t="s">
        <v>797</v>
      </c>
      <c r="F168" s="199" t="str">
        <f>VLOOKUP(E168,'[1]BẢNG MÃ RING'!$A$2:$C$322,2,0)</f>
        <v>3V02527-16.5-10.55</v>
      </c>
      <c r="G168" s="206">
        <v>60</v>
      </c>
      <c r="H168" s="188">
        <f>IFERROR(VLOOKUP(E168,'[1]BẢNG MÃ RING'!$A$2:$C$322,3,0),0)</f>
        <v>0.45</v>
      </c>
      <c r="I168" s="188">
        <f t="shared" si="4"/>
        <v>27</v>
      </c>
      <c r="J168" s="203">
        <v>44560</v>
      </c>
    </row>
    <row r="169" spans="1:11" ht="15.75" x14ac:dyDescent="0.25">
      <c r="A169" s="187">
        <f t="shared" si="5"/>
        <v>166</v>
      </c>
      <c r="B169" s="200">
        <v>22599025</v>
      </c>
      <c r="C169" s="205" t="s">
        <v>977</v>
      </c>
      <c r="D169" s="202" t="s">
        <v>790</v>
      </c>
      <c r="E169" s="211" t="s">
        <v>1127</v>
      </c>
      <c r="F169" s="199" t="str">
        <f>VLOOKUP(E169,'[1]BẢNG MÃ RING'!$A$2:$C$322,2,0)</f>
        <v>3V02545-24-21.2</v>
      </c>
      <c r="G169" s="206">
        <v>30</v>
      </c>
      <c r="H169" s="188">
        <f>IFERROR(VLOOKUP(E169,'[1]BẢNG MÃ RING'!$A$2:$C$322,3,0),0)</f>
        <v>0.45</v>
      </c>
      <c r="I169" s="188">
        <f t="shared" si="4"/>
        <v>13.5</v>
      </c>
      <c r="J169" s="203">
        <v>44560</v>
      </c>
      <c r="K169" s="85" t="s">
        <v>1151</v>
      </c>
    </row>
    <row r="170" spans="1:11" ht="15.75" x14ac:dyDescent="0.25">
      <c r="A170" s="187">
        <f t="shared" si="5"/>
        <v>167</v>
      </c>
      <c r="B170" s="200">
        <v>22599483</v>
      </c>
      <c r="C170" s="205" t="s">
        <v>975</v>
      </c>
      <c r="D170" s="202" t="s">
        <v>786</v>
      </c>
      <c r="E170" s="211" t="s">
        <v>1127</v>
      </c>
      <c r="F170" s="199" t="str">
        <f>VLOOKUP(E170,'[1]BẢNG MÃ RING'!$A$2:$C$322,2,0)</f>
        <v>3V02545-24-21.2</v>
      </c>
      <c r="G170" s="206">
        <v>60</v>
      </c>
      <c r="H170" s="188">
        <f>IFERROR(VLOOKUP(E170,'[1]BẢNG MÃ RING'!$A$2:$C$322,3,0),0)</f>
        <v>0.45</v>
      </c>
      <c r="I170" s="188">
        <f t="shared" si="4"/>
        <v>27</v>
      </c>
      <c r="J170" s="203">
        <v>44560</v>
      </c>
    </row>
    <row r="171" spans="1:11" ht="15.75" x14ac:dyDescent="0.25">
      <c r="A171" s="187">
        <f t="shared" si="5"/>
        <v>168</v>
      </c>
      <c r="B171" s="200">
        <v>22599972</v>
      </c>
      <c r="C171" s="205" t="s">
        <v>976</v>
      </c>
      <c r="D171" s="202" t="s">
        <v>785</v>
      </c>
      <c r="E171" s="211" t="s">
        <v>1127</v>
      </c>
      <c r="F171" s="199" t="str">
        <f>VLOOKUP(E171,'[1]BẢNG MÃ RING'!$A$2:$C$322,2,0)</f>
        <v>3V02545-24-21.2</v>
      </c>
      <c r="G171" s="206">
        <v>110</v>
      </c>
      <c r="H171" s="188">
        <f>IFERROR(VLOOKUP(E171,'[1]BẢNG MÃ RING'!$A$2:$C$322,3,0),0)</f>
        <v>0.45</v>
      </c>
      <c r="I171" s="188">
        <f t="shared" si="4"/>
        <v>49.5</v>
      </c>
      <c r="J171" s="203">
        <v>44560</v>
      </c>
    </row>
    <row r="172" spans="1:11" ht="15.75" x14ac:dyDescent="0.25">
      <c r="A172" s="187">
        <f t="shared" si="5"/>
        <v>169</v>
      </c>
      <c r="B172" s="200">
        <v>22601498</v>
      </c>
      <c r="C172" s="205" t="s">
        <v>978</v>
      </c>
      <c r="D172" s="202" t="s">
        <v>787</v>
      </c>
      <c r="E172" s="211" t="s">
        <v>1127</v>
      </c>
      <c r="F172" s="199" t="str">
        <f>VLOOKUP(E172,'[1]BẢNG MÃ RING'!$A$2:$C$322,2,0)</f>
        <v>3V02545-24-21.2</v>
      </c>
      <c r="G172" s="206">
        <v>60</v>
      </c>
      <c r="H172" s="188">
        <f>IFERROR(VLOOKUP(E172,'[1]BẢNG MÃ RING'!$A$2:$C$322,3,0),0)</f>
        <v>0.45</v>
      </c>
      <c r="I172" s="188">
        <f t="shared" si="4"/>
        <v>27</v>
      </c>
      <c r="J172" s="203">
        <v>44560</v>
      </c>
    </row>
    <row r="173" spans="1:11" ht="15.75" x14ac:dyDescent="0.25">
      <c r="A173" s="187">
        <f t="shared" si="5"/>
        <v>170</v>
      </c>
      <c r="B173" s="200">
        <v>22601991</v>
      </c>
      <c r="C173" s="205" t="s">
        <v>979</v>
      </c>
      <c r="D173" s="202" t="s">
        <v>788</v>
      </c>
      <c r="E173" s="211" t="s">
        <v>1127</v>
      </c>
      <c r="F173" s="199" t="str">
        <f>VLOOKUP(E173,'[1]BẢNG MÃ RING'!$A$2:$C$322,2,0)</f>
        <v>3V02545-24-21.2</v>
      </c>
      <c r="G173" s="206">
        <v>170</v>
      </c>
      <c r="H173" s="188">
        <f>IFERROR(VLOOKUP(E173,'[1]BẢNG MÃ RING'!$A$2:$C$322,3,0),0)</f>
        <v>0.45</v>
      </c>
      <c r="I173" s="188">
        <f t="shared" si="4"/>
        <v>76.5</v>
      </c>
      <c r="J173" s="203">
        <v>44560</v>
      </c>
    </row>
    <row r="174" spans="1:11" ht="15.75" x14ac:dyDescent="0.25">
      <c r="A174" s="187">
        <f t="shared" si="5"/>
        <v>171</v>
      </c>
      <c r="B174" s="200">
        <v>22602446</v>
      </c>
      <c r="C174" s="205" t="s">
        <v>972</v>
      </c>
      <c r="D174" s="202" t="s">
        <v>782</v>
      </c>
      <c r="E174" s="211" t="s">
        <v>1127</v>
      </c>
      <c r="F174" s="199" t="str">
        <f>VLOOKUP(E174,'[1]BẢNG MÃ RING'!$A$2:$C$322,2,0)</f>
        <v>3V02545-24-21.2</v>
      </c>
      <c r="G174" s="206">
        <v>110</v>
      </c>
      <c r="H174" s="188">
        <f>IFERROR(VLOOKUP(E174,'[1]BẢNG MÃ RING'!$A$2:$C$322,3,0),0)</f>
        <v>0.45</v>
      </c>
      <c r="I174" s="188">
        <f t="shared" si="4"/>
        <v>49.5</v>
      </c>
      <c r="J174" s="203">
        <v>44560</v>
      </c>
    </row>
    <row r="175" spans="1:11" ht="15.75" x14ac:dyDescent="0.25">
      <c r="A175" s="187">
        <f t="shared" si="5"/>
        <v>172</v>
      </c>
      <c r="B175" s="200">
        <v>22602885</v>
      </c>
      <c r="C175" s="205" t="s">
        <v>973</v>
      </c>
      <c r="D175" s="202" t="s">
        <v>783</v>
      </c>
      <c r="E175" s="211" t="s">
        <v>1127</v>
      </c>
      <c r="F175" s="199" t="str">
        <f>VLOOKUP(E175,'[1]BẢNG MÃ RING'!$A$2:$C$322,2,0)</f>
        <v>3V02545-24-21.2</v>
      </c>
      <c r="G175" s="206">
        <v>60</v>
      </c>
      <c r="H175" s="188">
        <f>IFERROR(VLOOKUP(E175,'[1]BẢNG MÃ RING'!$A$2:$C$322,3,0),0)</f>
        <v>0.45</v>
      </c>
      <c r="I175" s="188">
        <f t="shared" si="4"/>
        <v>27</v>
      </c>
      <c r="J175" s="203">
        <v>44560</v>
      </c>
    </row>
    <row r="176" spans="1:11" ht="15.75" x14ac:dyDescent="0.25">
      <c r="A176" s="187">
        <f t="shared" si="5"/>
        <v>173</v>
      </c>
      <c r="B176" s="200">
        <v>22603382</v>
      </c>
      <c r="C176" s="205" t="s">
        <v>974</v>
      </c>
      <c r="D176" s="202" t="s">
        <v>784</v>
      </c>
      <c r="E176" s="211" t="s">
        <v>1127</v>
      </c>
      <c r="F176" s="199" t="str">
        <f>VLOOKUP(E176,'[1]BẢNG MÃ RING'!$A$2:$C$322,2,0)</f>
        <v>3V02545-24-21.2</v>
      </c>
      <c r="G176" s="206">
        <v>110</v>
      </c>
      <c r="H176" s="188">
        <f>IFERROR(VLOOKUP(E176,'[1]BẢNG MÃ RING'!$A$2:$C$322,3,0),0)</f>
        <v>0.45</v>
      </c>
      <c r="I176" s="188">
        <f t="shared" si="4"/>
        <v>49.5</v>
      </c>
      <c r="J176" s="203">
        <v>44560</v>
      </c>
    </row>
    <row r="177" spans="1:11" ht="15.75" x14ac:dyDescent="0.25">
      <c r="A177" s="187">
        <f t="shared" si="5"/>
        <v>174</v>
      </c>
      <c r="B177" s="200">
        <v>22603890</v>
      </c>
      <c r="C177" s="205" t="s">
        <v>980</v>
      </c>
      <c r="D177" s="202" t="s">
        <v>789</v>
      </c>
      <c r="E177" s="211" t="s">
        <v>1127</v>
      </c>
      <c r="F177" s="199" t="str">
        <f>VLOOKUP(E177,'[1]BẢNG MÃ RING'!$A$2:$C$322,2,0)</f>
        <v>3V02545-24-21.2</v>
      </c>
      <c r="G177" s="206">
        <v>60</v>
      </c>
      <c r="H177" s="188">
        <f>IFERROR(VLOOKUP(E177,'[1]BẢNG MÃ RING'!$A$2:$C$322,3,0),0)</f>
        <v>0.45</v>
      </c>
      <c r="I177" s="188">
        <f t="shared" si="4"/>
        <v>27</v>
      </c>
      <c r="J177" s="203">
        <v>44560</v>
      </c>
    </row>
    <row r="178" spans="1:11" ht="15.75" x14ac:dyDescent="0.25">
      <c r="A178" s="187">
        <f t="shared" si="5"/>
        <v>175</v>
      </c>
      <c r="B178" s="200">
        <v>22982283</v>
      </c>
      <c r="C178" s="205" t="s">
        <v>981</v>
      </c>
      <c r="D178" s="202" t="s">
        <v>1089</v>
      </c>
      <c r="E178" s="211" t="s">
        <v>746</v>
      </c>
      <c r="F178" s="199" t="str">
        <f>VLOOKUP(E178,'[1]BẢNG MÃ RING'!$A$2:$C$322,2,0)</f>
        <v>3V02-19.8-18</v>
      </c>
      <c r="G178" s="206">
        <v>60</v>
      </c>
      <c r="H178" s="188">
        <f>IFERROR(VLOOKUP(E178,'[1]BẢNG MÃ RING'!$A$2:$C$322,3,0),0)</f>
        <v>0.44</v>
      </c>
      <c r="I178" s="188">
        <f t="shared" si="4"/>
        <v>26.4</v>
      </c>
      <c r="J178" s="203">
        <v>44546</v>
      </c>
    </row>
    <row r="179" spans="1:11" ht="15.75" x14ac:dyDescent="0.25">
      <c r="A179" s="187">
        <f t="shared" si="5"/>
        <v>176</v>
      </c>
      <c r="B179" s="200">
        <v>22984018</v>
      </c>
      <c r="C179" s="205" t="s">
        <v>982</v>
      </c>
      <c r="D179" s="202" t="s">
        <v>1090</v>
      </c>
      <c r="E179" s="211" t="s">
        <v>746</v>
      </c>
      <c r="F179" s="199" t="str">
        <f>VLOOKUP(E179,'[1]BẢNG MÃ RING'!$A$2:$C$322,2,0)</f>
        <v>3V02-19.8-18</v>
      </c>
      <c r="G179" s="206">
        <v>60</v>
      </c>
      <c r="H179" s="188">
        <f>IFERROR(VLOOKUP(E179,'[1]BẢNG MÃ RING'!$A$2:$C$322,3,0),0)</f>
        <v>0.44</v>
      </c>
      <c r="I179" s="188">
        <f t="shared" si="4"/>
        <v>26.4</v>
      </c>
      <c r="J179" s="203">
        <v>44546</v>
      </c>
    </row>
    <row r="180" spans="1:11" ht="15.75" x14ac:dyDescent="0.25">
      <c r="A180" s="187">
        <f t="shared" si="5"/>
        <v>177</v>
      </c>
      <c r="B180" s="200">
        <v>22985722</v>
      </c>
      <c r="C180" s="205" t="s">
        <v>983</v>
      </c>
      <c r="D180" s="202" t="s">
        <v>1091</v>
      </c>
      <c r="E180" s="211" t="s">
        <v>746</v>
      </c>
      <c r="F180" s="199" t="str">
        <f>VLOOKUP(E180,'[1]BẢNG MÃ RING'!$A$2:$C$322,2,0)</f>
        <v>3V02-19.8-18</v>
      </c>
      <c r="G180" s="206">
        <v>60</v>
      </c>
      <c r="H180" s="188">
        <f>IFERROR(VLOOKUP(E180,'[1]BẢNG MÃ RING'!$A$2:$C$322,3,0),0)</f>
        <v>0.44</v>
      </c>
      <c r="I180" s="188">
        <f t="shared" si="4"/>
        <v>26.4</v>
      </c>
      <c r="J180" s="203">
        <v>44546</v>
      </c>
    </row>
    <row r="181" spans="1:11" ht="15.75" x14ac:dyDescent="0.25">
      <c r="A181" s="187">
        <f t="shared" si="5"/>
        <v>178</v>
      </c>
      <c r="B181" s="200">
        <v>22984041</v>
      </c>
      <c r="C181" s="205" t="s">
        <v>982</v>
      </c>
      <c r="D181" s="202" t="s">
        <v>1090</v>
      </c>
      <c r="E181" s="211" t="s">
        <v>748</v>
      </c>
      <c r="F181" s="199" t="str">
        <f>VLOOKUP(E181,'[1]BẢNG MÃ RING'!$A$2:$C$322,2,0)</f>
        <v>3V02-25-21.8</v>
      </c>
      <c r="G181" s="206">
        <v>40</v>
      </c>
      <c r="H181" s="188">
        <f>IFERROR(VLOOKUP(E181,'[1]BẢNG MÃ RING'!$A$2:$C$322,3,0),0)</f>
        <v>0.85</v>
      </c>
      <c r="I181" s="188">
        <f t="shared" si="4"/>
        <v>34</v>
      </c>
      <c r="J181" s="203">
        <v>44546</v>
      </c>
    </row>
    <row r="182" spans="1:11" ht="15.75" x14ac:dyDescent="0.25">
      <c r="A182" s="187">
        <f t="shared" si="5"/>
        <v>179</v>
      </c>
      <c r="B182" s="200">
        <v>22985760</v>
      </c>
      <c r="C182" s="205" t="s">
        <v>983</v>
      </c>
      <c r="D182" s="202" t="s">
        <v>1091</v>
      </c>
      <c r="E182" s="211" t="s">
        <v>748</v>
      </c>
      <c r="F182" s="199" t="str">
        <f>VLOOKUP(E182,'[1]BẢNG MÃ RING'!$A$2:$C$322,2,0)</f>
        <v>3V02-25-21.8</v>
      </c>
      <c r="G182" s="206">
        <v>60</v>
      </c>
      <c r="H182" s="188">
        <f>IFERROR(VLOOKUP(E182,'[1]BẢNG MÃ RING'!$A$2:$C$322,3,0),0)</f>
        <v>0.85</v>
      </c>
      <c r="I182" s="188">
        <f t="shared" si="4"/>
        <v>51</v>
      </c>
      <c r="J182" s="203">
        <v>44546</v>
      </c>
    </row>
    <row r="183" spans="1:11" ht="15.75" x14ac:dyDescent="0.25">
      <c r="A183" s="187">
        <f t="shared" si="5"/>
        <v>180</v>
      </c>
      <c r="B183" s="200">
        <v>12634954</v>
      </c>
      <c r="C183" s="205" t="s">
        <v>984</v>
      </c>
      <c r="D183" s="202" t="s">
        <v>1092</v>
      </c>
      <c r="E183" s="211" t="s">
        <v>1128</v>
      </c>
      <c r="F183" s="199" t="str">
        <f>VLOOKUP(E183,'[1]BẢNG MÃ RING'!$A$2:$C$322,2,0)</f>
        <v>3V0265600</v>
      </c>
      <c r="G183" s="206">
        <v>90</v>
      </c>
      <c r="H183" s="188">
        <f>IFERROR(VLOOKUP(E183,'[1]BẢNG MÃ RING'!$A$2:$C$322,3,0),0)</f>
        <v>1.1639999999999999</v>
      </c>
      <c r="I183" s="188">
        <f t="shared" si="4"/>
        <v>104.75999999999999</v>
      </c>
      <c r="J183" s="203">
        <v>44560</v>
      </c>
      <c r="K183" s="85" t="s">
        <v>825</v>
      </c>
    </row>
    <row r="184" spans="1:11" ht="15.75" x14ac:dyDescent="0.25">
      <c r="A184" s="187">
        <f t="shared" si="5"/>
        <v>181</v>
      </c>
      <c r="B184" s="200">
        <v>12635936</v>
      </c>
      <c r="C184" s="205" t="s">
        <v>985</v>
      </c>
      <c r="D184" s="202" t="s">
        <v>1092</v>
      </c>
      <c r="E184" s="211" t="s">
        <v>1128</v>
      </c>
      <c r="F184" s="199" t="str">
        <f>VLOOKUP(E184,'[1]BẢNG MÃ RING'!$A$2:$C$322,2,0)</f>
        <v>3V0265600</v>
      </c>
      <c r="G184" s="206">
        <v>110</v>
      </c>
      <c r="H184" s="188">
        <f>IFERROR(VLOOKUP(E184,'[1]BẢNG MÃ RING'!$A$2:$C$322,3,0),0)</f>
        <v>1.1639999999999999</v>
      </c>
      <c r="I184" s="188">
        <f t="shared" si="4"/>
        <v>128.04</v>
      </c>
      <c r="J184" s="203">
        <v>44560</v>
      </c>
    </row>
    <row r="185" spans="1:11" ht="15.75" x14ac:dyDescent="0.25">
      <c r="A185" s="187">
        <f t="shared" si="5"/>
        <v>182</v>
      </c>
      <c r="B185" s="200">
        <v>12633078</v>
      </c>
      <c r="C185" s="205" t="s">
        <v>944</v>
      </c>
      <c r="D185" s="202" t="s">
        <v>816</v>
      </c>
      <c r="E185" s="211" t="s">
        <v>805</v>
      </c>
      <c r="F185" s="199" t="str">
        <f>VLOOKUP(E185,'[1]BẢNG MÃ RING'!$A$2:$C$322,2,0)</f>
        <v>3V0265610</v>
      </c>
      <c r="G185" s="206">
        <v>70</v>
      </c>
      <c r="H185" s="188">
        <f>IFERROR(VLOOKUP(E185,'[1]BẢNG MÃ RING'!$A$2:$C$322,3,0),0)</f>
        <v>1.1639999999999999</v>
      </c>
      <c r="I185" s="188">
        <f t="shared" si="4"/>
        <v>81.47999999999999</v>
      </c>
      <c r="J185" s="203">
        <v>44560</v>
      </c>
    </row>
    <row r="186" spans="1:11" ht="15.75" x14ac:dyDescent="0.25">
      <c r="A186" s="187">
        <f t="shared" si="5"/>
        <v>183</v>
      </c>
      <c r="B186" s="200">
        <v>12634026</v>
      </c>
      <c r="C186" s="205" t="s">
        <v>943</v>
      </c>
      <c r="D186" s="202" t="s">
        <v>1066</v>
      </c>
      <c r="E186" s="211" t="s">
        <v>1129</v>
      </c>
      <c r="F186" s="199" t="str">
        <f>VLOOKUP(E186,'[1]BẢNG MÃ RING'!$A$2:$C$322,2,0)</f>
        <v>3V0265630</v>
      </c>
      <c r="G186" s="206">
        <v>110</v>
      </c>
      <c r="H186" s="188">
        <f>IFERROR(VLOOKUP(E186,'[1]BẢNG MÃ RING'!$A$2:$C$322,3,0),0)</f>
        <v>1.1639999999999999</v>
      </c>
      <c r="I186" s="188">
        <f t="shared" si="4"/>
        <v>128.04</v>
      </c>
      <c r="J186" s="203">
        <v>44560</v>
      </c>
    </row>
    <row r="187" spans="1:11" ht="15.75" x14ac:dyDescent="0.25">
      <c r="A187" s="187">
        <f t="shared" si="5"/>
        <v>184</v>
      </c>
      <c r="B187" s="200">
        <v>12635008</v>
      </c>
      <c r="C187" s="205" t="s">
        <v>984</v>
      </c>
      <c r="D187" s="202" t="s">
        <v>1092</v>
      </c>
      <c r="E187" s="211" t="s">
        <v>798</v>
      </c>
      <c r="F187" s="199" t="str">
        <f>VLOOKUP(E187,'[1]BẢNG MÃ RING'!$A$2:$C$322,2,0)</f>
        <v>3V0265800</v>
      </c>
      <c r="G187" s="206">
        <v>190</v>
      </c>
      <c r="H187" s="188">
        <f>IFERROR(VLOOKUP(E187,'[1]BẢNG MÃ RING'!$A$2:$C$322,3,0),0)</f>
        <v>1.2609999999999999</v>
      </c>
      <c r="I187" s="188">
        <f t="shared" si="4"/>
        <v>239.58999999999997</v>
      </c>
      <c r="J187" s="203">
        <v>44560</v>
      </c>
      <c r="K187" s="85" t="s">
        <v>1152</v>
      </c>
    </row>
    <row r="188" spans="1:11" ht="15.75" x14ac:dyDescent="0.25">
      <c r="A188" s="187">
        <f t="shared" si="5"/>
        <v>185</v>
      </c>
      <c r="B188" s="200">
        <v>12635974</v>
      </c>
      <c r="C188" s="205" t="s">
        <v>985</v>
      </c>
      <c r="D188" s="202" t="s">
        <v>1092</v>
      </c>
      <c r="E188" s="211" t="s">
        <v>798</v>
      </c>
      <c r="F188" s="199" t="str">
        <f>VLOOKUP(E188,'[1]BẢNG MÃ RING'!$A$2:$C$322,2,0)</f>
        <v>3V0265800</v>
      </c>
      <c r="G188" s="206">
        <v>110</v>
      </c>
      <c r="H188" s="188">
        <f>IFERROR(VLOOKUP(E188,'[1]BẢNG MÃ RING'!$A$2:$C$322,3,0),0)</f>
        <v>1.2609999999999999</v>
      </c>
      <c r="I188" s="188">
        <f t="shared" si="4"/>
        <v>138.70999999999998</v>
      </c>
      <c r="J188" s="203">
        <v>44560</v>
      </c>
    </row>
    <row r="189" spans="1:11" ht="15.75" x14ac:dyDescent="0.25">
      <c r="A189" s="187">
        <f t="shared" si="5"/>
        <v>186</v>
      </c>
      <c r="B189" s="200">
        <v>12636922</v>
      </c>
      <c r="C189" s="205" t="s">
        <v>986</v>
      </c>
      <c r="D189" s="202" t="s">
        <v>791</v>
      </c>
      <c r="E189" s="211" t="s">
        <v>798</v>
      </c>
      <c r="F189" s="199" t="str">
        <f>VLOOKUP(E189,'[1]BẢNG MÃ RING'!$A$2:$C$322,2,0)</f>
        <v>3V0265800</v>
      </c>
      <c r="G189" s="206">
        <v>220</v>
      </c>
      <c r="H189" s="188">
        <f>IFERROR(VLOOKUP(E189,'[1]BẢNG MÃ RING'!$A$2:$C$322,3,0),0)</f>
        <v>1.2609999999999999</v>
      </c>
      <c r="I189" s="188">
        <f t="shared" si="4"/>
        <v>277.41999999999996</v>
      </c>
      <c r="J189" s="203">
        <v>44560</v>
      </c>
    </row>
    <row r="190" spans="1:11" ht="15.75" x14ac:dyDescent="0.25">
      <c r="A190" s="187">
        <f t="shared" si="5"/>
        <v>187</v>
      </c>
      <c r="B190" s="200">
        <v>12637888</v>
      </c>
      <c r="C190" s="205" t="s">
        <v>987</v>
      </c>
      <c r="D190" s="202" t="s">
        <v>792</v>
      </c>
      <c r="E190" s="211" t="s">
        <v>798</v>
      </c>
      <c r="F190" s="199" t="str">
        <f>VLOOKUP(E190,'[1]BẢNG MÃ RING'!$A$2:$C$322,2,0)</f>
        <v>3V0265800</v>
      </c>
      <c r="G190" s="206">
        <v>220</v>
      </c>
      <c r="H190" s="188">
        <f>IFERROR(VLOOKUP(E190,'[1]BẢNG MÃ RING'!$A$2:$C$322,3,0),0)</f>
        <v>1.2609999999999999</v>
      </c>
      <c r="I190" s="188">
        <f t="shared" si="4"/>
        <v>277.41999999999996</v>
      </c>
      <c r="J190" s="203">
        <v>44560</v>
      </c>
    </row>
    <row r="191" spans="1:11" ht="15.75" x14ac:dyDescent="0.25">
      <c r="A191" s="187">
        <f t="shared" si="5"/>
        <v>188</v>
      </c>
      <c r="B191" s="200">
        <v>22511592</v>
      </c>
      <c r="C191" s="205" t="s">
        <v>961</v>
      </c>
      <c r="D191" s="202" t="s">
        <v>1079</v>
      </c>
      <c r="E191" s="211" t="s">
        <v>1130</v>
      </c>
      <c r="F191" s="199" t="str">
        <f>VLOOKUP(E191,'[1]BẢNG MÃ RING'!$A$2:$C$322,2,0)</f>
        <v>3V02-31-22.6</v>
      </c>
      <c r="G191" s="206">
        <v>130</v>
      </c>
      <c r="H191" s="188">
        <f>IFERROR(VLOOKUP(E191,'[1]BẢNG MÃ RING'!$A$2:$C$322,3,0),0)</f>
        <v>0.92</v>
      </c>
      <c r="I191" s="188">
        <f t="shared" si="4"/>
        <v>119.60000000000001</v>
      </c>
      <c r="J191" s="203">
        <v>44546</v>
      </c>
      <c r="K191" s="85" t="s">
        <v>1149</v>
      </c>
    </row>
    <row r="192" spans="1:11" ht="15.75" x14ac:dyDescent="0.25">
      <c r="A192" s="187">
        <f t="shared" si="5"/>
        <v>189</v>
      </c>
      <c r="B192" s="200">
        <v>22512311</v>
      </c>
      <c r="C192" s="205" t="s">
        <v>962</v>
      </c>
      <c r="D192" s="202" t="s">
        <v>1080</v>
      </c>
      <c r="E192" s="211" t="s">
        <v>1130</v>
      </c>
      <c r="F192" s="199" t="str">
        <f>VLOOKUP(E192,'[1]BẢNG MÃ RING'!$A$2:$C$322,2,0)</f>
        <v>3V02-31-22.6</v>
      </c>
      <c r="G192" s="206">
        <v>210</v>
      </c>
      <c r="H192" s="188">
        <f>IFERROR(VLOOKUP(E192,'[1]BẢNG MÃ RING'!$A$2:$C$322,3,0),0)</f>
        <v>0.92</v>
      </c>
      <c r="I192" s="188">
        <f t="shared" si="4"/>
        <v>193.20000000000002</v>
      </c>
      <c r="J192" s="203">
        <v>44546</v>
      </c>
    </row>
    <row r="193" spans="1:11" ht="15.75" x14ac:dyDescent="0.25">
      <c r="A193" s="187">
        <f t="shared" si="5"/>
        <v>190</v>
      </c>
      <c r="B193" s="200">
        <v>22513029</v>
      </c>
      <c r="C193" s="205" t="s">
        <v>963</v>
      </c>
      <c r="D193" s="202" t="s">
        <v>1081</v>
      </c>
      <c r="E193" s="211" t="s">
        <v>1131</v>
      </c>
      <c r="F193" s="199" t="str">
        <f>VLOOKUP(E193,'[1]BẢNG MÃ RING'!$A$2:$C$322,2,0)</f>
        <v>3V02-31-23</v>
      </c>
      <c r="G193" s="206">
        <v>60</v>
      </c>
      <c r="H193" s="188">
        <f>IFERROR(VLOOKUP(E193,'[1]BẢNG MÃ RING'!$A$2:$C$322,3,0),0)</f>
        <v>0.92</v>
      </c>
      <c r="I193" s="188">
        <f t="shared" si="4"/>
        <v>55.2</v>
      </c>
      <c r="J193" s="203">
        <v>44546</v>
      </c>
      <c r="K193" s="85" t="s">
        <v>1149</v>
      </c>
    </row>
    <row r="194" spans="1:11" ht="15.75" x14ac:dyDescent="0.25">
      <c r="A194" s="187">
        <f t="shared" si="5"/>
        <v>191</v>
      </c>
      <c r="B194" s="200">
        <v>22513785</v>
      </c>
      <c r="C194" s="205" t="s">
        <v>964</v>
      </c>
      <c r="D194" s="202" t="s">
        <v>1082</v>
      </c>
      <c r="E194" s="211" t="s">
        <v>1132</v>
      </c>
      <c r="F194" s="199" t="str">
        <f>VLOOKUP(E194,'[1]BẢNG MÃ RING'!$A$2:$C$322,2,0)</f>
        <v>3V02-31-24</v>
      </c>
      <c r="G194" s="206">
        <v>50</v>
      </c>
      <c r="H194" s="188">
        <f>IFERROR(VLOOKUP(E194,'[1]BẢNG MÃ RING'!$A$2:$C$322,3,0),0)</f>
        <v>0.92</v>
      </c>
      <c r="I194" s="188">
        <f t="shared" si="4"/>
        <v>46</v>
      </c>
      <c r="J194" s="203">
        <v>44546</v>
      </c>
      <c r="K194" s="85" t="s">
        <v>1149</v>
      </c>
    </row>
    <row r="195" spans="1:11" ht="15.75" x14ac:dyDescent="0.25">
      <c r="A195" s="187">
        <f t="shared" si="5"/>
        <v>192</v>
      </c>
      <c r="B195" s="200">
        <v>22514469</v>
      </c>
      <c r="C195" s="205" t="s">
        <v>988</v>
      </c>
      <c r="D195" s="202" t="s">
        <v>1093</v>
      </c>
      <c r="E195" s="211" t="s">
        <v>1133</v>
      </c>
      <c r="F195" s="199" t="str">
        <f>VLOOKUP(E195,'[1]BẢNG MÃ RING'!$A$2:$C$322,2,0)</f>
        <v>3V02-27.4-26</v>
      </c>
      <c r="G195" s="206">
        <v>60</v>
      </c>
      <c r="H195" s="188">
        <f>IFERROR(VLOOKUP(E195,'[1]BẢNG MÃ RING'!$A$2:$C$322,3,0),0)</f>
        <v>0.56999999999999995</v>
      </c>
      <c r="I195" s="188">
        <f t="shared" si="4"/>
        <v>34.199999999999996</v>
      </c>
      <c r="J195" s="203">
        <v>44546</v>
      </c>
    </row>
    <row r="196" spans="1:11" ht="15.75" x14ac:dyDescent="0.25">
      <c r="A196" s="187">
        <f t="shared" si="5"/>
        <v>193</v>
      </c>
      <c r="B196" s="200">
        <v>22515211</v>
      </c>
      <c r="C196" s="205" t="s">
        <v>989</v>
      </c>
      <c r="D196" s="202" t="s">
        <v>1094</v>
      </c>
      <c r="E196" s="211" t="s">
        <v>1133</v>
      </c>
      <c r="F196" s="199" t="str">
        <f>VLOOKUP(E196,'[1]BẢNG MÃ RING'!$A$2:$C$322,2,0)</f>
        <v>3V02-27.4-26</v>
      </c>
      <c r="G196" s="206">
        <v>60</v>
      </c>
      <c r="H196" s="188">
        <f>IFERROR(VLOOKUP(E196,'[1]BẢNG MÃ RING'!$A$2:$C$322,3,0),0)</f>
        <v>0.56999999999999995</v>
      </c>
      <c r="I196" s="188">
        <f t="shared" ref="I196:I228" si="6">H196*G196</f>
        <v>34.199999999999996</v>
      </c>
      <c r="J196" s="203">
        <v>44546</v>
      </c>
    </row>
    <row r="197" spans="1:11" ht="15.75" x14ac:dyDescent="0.25">
      <c r="A197" s="187">
        <f t="shared" ref="A197:A228" si="7">IF(AND( A196="",A195=""),1,IF(B197="","",IF(B196="",A195+1,A196+1)))</f>
        <v>194</v>
      </c>
      <c r="B197" s="200">
        <v>12996700</v>
      </c>
      <c r="C197" s="205" t="s">
        <v>990</v>
      </c>
      <c r="D197" s="202" t="s">
        <v>1095</v>
      </c>
      <c r="E197" s="211" t="s">
        <v>1134</v>
      </c>
      <c r="F197" s="199" t="str">
        <f>VLOOKUP(E197,'[1]BẢNG MÃ RING'!$A$2:$C$322,2,0)</f>
        <v>3V02-19.4-13.55</v>
      </c>
      <c r="G197" s="206">
        <v>220</v>
      </c>
      <c r="H197" s="188">
        <f>IFERROR(VLOOKUP(E197,'[1]BẢNG MÃ RING'!$A$2:$C$322,3,0),0)</f>
        <v>0.49</v>
      </c>
      <c r="I197" s="188">
        <f t="shared" si="6"/>
        <v>107.8</v>
      </c>
      <c r="J197" s="203">
        <v>44560</v>
      </c>
    </row>
    <row r="198" spans="1:11" ht="15.75" x14ac:dyDescent="0.25">
      <c r="A198" s="187">
        <f t="shared" si="7"/>
        <v>195</v>
      </c>
      <c r="B198" s="200">
        <v>12997088</v>
      </c>
      <c r="C198" s="205" t="s">
        <v>991</v>
      </c>
      <c r="D198" s="202" t="s">
        <v>1095</v>
      </c>
      <c r="E198" s="211" t="s">
        <v>1134</v>
      </c>
      <c r="F198" s="199" t="str">
        <f>VLOOKUP(E198,'[1]BẢNG MÃ RING'!$A$2:$C$322,2,0)</f>
        <v>3V02-19.4-13.55</v>
      </c>
      <c r="G198" s="206">
        <v>110</v>
      </c>
      <c r="H198" s="188">
        <f>IFERROR(VLOOKUP(E198,'[1]BẢNG MÃ RING'!$A$2:$C$322,3,0),0)</f>
        <v>0.49</v>
      </c>
      <c r="I198" s="188">
        <f t="shared" si="6"/>
        <v>53.9</v>
      </c>
      <c r="J198" s="203">
        <v>44560</v>
      </c>
    </row>
    <row r="199" spans="1:11" ht="15.75" x14ac:dyDescent="0.25">
      <c r="A199" s="187">
        <f t="shared" si="7"/>
        <v>196</v>
      </c>
      <c r="B199" s="200">
        <v>12997460</v>
      </c>
      <c r="C199" s="205" t="s">
        <v>992</v>
      </c>
      <c r="D199" s="202" t="s">
        <v>1096</v>
      </c>
      <c r="E199" s="211" t="s">
        <v>1134</v>
      </c>
      <c r="F199" s="199" t="str">
        <f>VLOOKUP(E199,'[1]BẢNG MÃ RING'!$A$2:$C$322,2,0)</f>
        <v>3V02-19.4-13.55</v>
      </c>
      <c r="G199" s="206">
        <v>110</v>
      </c>
      <c r="H199" s="188">
        <f>IFERROR(VLOOKUP(E199,'[1]BẢNG MÃ RING'!$A$2:$C$322,3,0),0)</f>
        <v>0.49</v>
      </c>
      <c r="I199" s="188">
        <f t="shared" si="6"/>
        <v>53.9</v>
      </c>
      <c r="J199" s="203">
        <v>44560</v>
      </c>
    </row>
    <row r="200" spans="1:11" ht="15.75" x14ac:dyDescent="0.25">
      <c r="A200" s="187">
        <f t="shared" si="7"/>
        <v>197</v>
      </c>
      <c r="B200" s="200">
        <v>12995472</v>
      </c>
      <c r="C200" s="205" t="s">
        <v>993</v>
      </c>
      <c r="D200" s="202" t="s">
        <v>1097</v>
      </c>
      <c r="E200" s="211" t="s">
        <v>1135</v>
      </c>
      <c r="F200" s="199" t="str">
        <f>VLOOKUP(E200,'[1]BẢNG MÃ RING'!$A$2:$C$322,2,0)</f>
        <v>3V02-19.4-12.55</v>
      </c>
      <c r="G200" s="206">
        <v>200</v>
      </c>
      <c r="H200" s="188">
        <f>IFERROR(VLOOKUP(E200,'[1]BẢNG MÃ RING'!$A$2:$C$322,3,0),0)</f>
        <v>0.49</v>
      </c>
      <c r="I200" s="188">
        <f t="shared" si="6"/>
        <v>98</v>
      </c>
      <c r="J200" s="203">
        <v>44560</v>
      </c>
      <c r="K200" s="85" t="s">
        <v>1153</v>
      </c>
    </row>
    <row r="201" spans="1:11" ht="15.75" x14ac:dyDescent="0.25">
      <c r="A201" s="187">
        <f t="shared" si="7"/>
        <v>198</v>
      </c>
      <c r="B201" s="200">
        <v>12995873</v>
      </c>
      <c r="C201" s="205" t="s">
        <v>994</v>
      </c>
      <c r="D201" s="202" t="s">
        <v>1098</v>
      </c>
      <c r="E201" s="211" t="s">
        <v>1135</v>
      </c>
      <c r="F201" s="199" t="str">
        <f>VLOOKUP(E201,'[1]BẢNG MÃ RING'!$A$2:$C$322,2,0)</f>
        <v>3V02-19.4-12.55</v>
      </c>
      <c r="G201" s="206">
        <v>220</v>
      </c>
      <c r="H201" s="188">
        <f>IFERROR(VLOOKUP(E201,'[1]BẢNG MÃ RING'!$A$2:$C$322,3,0),0)</f>
        <v>0.49</v>
      </c>
      <c r="I201" s="188">
        <f t="shared" si="6"/>
        <v>107.8</v>
      </c>
      <c r="J201" s="203">
        <v>44560</v>
      </c>
    </row>
    <row r="202" spans="1:11" ht="15.75" x14ac:dyDescent="0.25">
      <c r="A202" s="187">
        <f t="shared" si="7"/>
        <v>199</v>
      </c>
      <c r="B202" s="200">
        <v>12996309</v>
      </c>
      <c r="C202" s="205" t="s">
        <v>995</v>
      </c>
      <c r="D202" s="202" t="s">
        <v>1099</v>
      </c>
      <c r="E202" s="211" t="s">
        <v>1136</v>
      </c>
      <c r="F202" s="199" t="str">
        <f>VLOOKUP(E202,'[1]BẢNG MÃ RING'!$A$2:$C$322,2,0)</f>
        <v>3V02-19.4-13.05</v>
      </c>
      <c r="G202" s="206">
        <v>180</v>
      </c>
      <c r="H202" s="188">
        <f>IFERROR(VLOOKUP(E202,'[1]BẢNG MÃ RING'!$A$2:$C$322,3,0),0)</f>
        <v>0.49</v>
      </c>
      <c r="I202" s="188">
        <f t="shared" si="6"/>
        <v>88.2</v>
      </c>
      <c r="J202" s="203">
        <v>44560</v>
      </c>
      <c r="K202" s="85" t="s">
        <v>1153</v>
      </c>
    </row>
    <row r="203" spans="1:11" ht="15.75" x14ac:dyDescent="0.25">
      <c r="A203" s="187">
        <f t="shared" si="7"/>
        <v>200</v>
      </c>
      <c r="B203" s="200">
        <v>12998231</v>
      </c>
      <c r="C203" s="205" t="s">
        <v>996</v>
      </c>
      <c r="D203" s="202" t="s">
        <v>1100</v>
      </c>
      <c r="E203" s="211" t="s">
        <v>1137</v>
      </c>
      <c r="F203" s="199" t="str">
        <f>VLOOKUP(E203,'[1]BẢNG MÃ RING'!$A$2:$C$322,2,0)</f>
        <v>3V02-16.5-13.05</v>
      </c>
      <c r="G203" s="206">
        <v>210</v>
      </c>
      <c r="H203" s="188">
        <f>IFERROR(VLOOKUP(E203,'[1]BẢNG MÃ RING'!$A$2:$C$322,3,0),0)</f>
        <v>0.42</v>
      </c>
      <c r="I203" s="188">
        <f t="shared" si="6"/>
        <v>88.2</v>
      </c>
      <c r="J203" s="203">
        <v>44560</v>
      </c>
    </row>
    <row r="204" spans="1:11" ht="15.75" x14ac:dyDescent="0.25">
      <c r="A204" s="187">
        <f t="shared" si="7"/>
        <v>201</v>
      </c>
      <c r="B204" s="200">
        <v>12998628</v>
      </c>
      <c r="C204" s="205" t="s">
        <v>997</v>
      </c>
      <c r="D204" s="202" t="s">
        <v>1101</v>
      </c>
      <c r="E204" s="211" t="s">
        <v>1138</v>
      </c>
      <c r="F204" s="199" t="str">
        <f>VLOOKUP(E204,'[1]BẢNG MÃ RING'!$A$2:$C$322,2,0)</f>
        <v>3V02-16.5-12.55</v>
      </c>
      <c r="G204" s="206">
        <v>80</v>
      </c>
      <c r="H204" s="188">
        <f>IFERROR(VLOOKUP(E204,'[1]BẢNG MÃ RING'!$A$2:$C$322,3,0),0)</f>
        <v>0.42</v>
      </c>
      <c r="I204" s="188">
        <f t="shared" si="6"/>
        <v>33.6</v>
      </c>
      <c r="J204" s="203">
        <v>44560</v>
      </c>
    </row>
    <row r="205" spans="1:11" ht="15.75" x14ac:dyDescent="0.25">
      <c r="A205" s="187">
        <f t="shared" si="7"/>
        <v>202</v>
      </c>
      <c r="B205" s="200">
        <v>22514576</v>
      </c>
      <c r="C205" s="205" t="s">
        <v>988</v>
      </c>
      <c r="D205" s="202" t="s">
        <v>1093</v>
      </c>
      <c r="E205" s="211" t="s">
        <v>1139</v>
      </c>
      <c r="F205" s="199" t="str">
        <f>VLOOKUP(E205,'[1]BẢNG MÃ RING'!$A$2:$C$322,2,0)</f>
        <v>3V02-29-26.85</v>
      </c>
      <c r="G205" s="206">
        <v>20</v>
      </c>
      <c r="H205" s="188">
        <f>IFERROR(VLOOKUP(E205,'[1]BẢNG MÃ RING'!$A$2:$C$322,3,0),0)</f>
        <v>0.39</v>
      </c>
      <c r="I205" s="188">
        <f t="shared" si="6"/>
        <v>7.8000000000000007</v>
      </c>
      <c r="J205" s="203">
        <v>44546</v>
      </c>
    </row>
    <row r="206" spans="1:11" ht="15.75" x14ac:dyDescent="0.25">
      <c r="A206" s="187">
        <f t="shared" si="7"/>
        <v>203</v>
      </c>
      <c r="B206" s="200">
        <v>22515283</v>
      </c>
      <c r="C206" s="205" t="s">
        <v>989</v>
      </c>
      <c r="D206" s="202" t="s">
        <v>1094</v>
      </c>
      <c r="E206" s="211" t="s">
        <v>1139</v>
      </c>
      <c r="F206" s="199" t="str">
        <f>VLOOKUP(E206,'[1]BẢNG MÃ RING'!$A$2:$C$322,2,0)</f>
        <v>3V02-29-26.85</v>
      </c>
      <c r="G206" s="206">
        <v>60</v>
      </c>
      <c r="H206" s="188">
        <f>IFERROR(VLOOKUP(E206,'[1]BẢNG MÃ RING'!$A$2:$C$322,3,0),0)</f>
        <v>0.39</v>
      </c>
      <c r="I206" s="188">
        <f t="shared" si="6"/>
        <v>23.400000000000002</v>
      </c>
      <c r="J206" s="203">
        <v>44546</v>
      </c>
    </row>
    <row r="207" spans="1:11" ht="15.75" x14ac:dyDescent="0.25">
      <c r="A207" s="187">
        <f t="shared" si="7"/>
        <v>204</v>
      </c>
      <c r="B207" s="200">
        <v>12854770</v>
      </c>
      <c r="C207" s="205" t="s">
        <v>949</v>
      </c>
      <c r="D207" s="202" t="s">
        <v>1070</v>
      </c>
      <c r="E207" s="211" t="s">
        <v>1140</v>
      </c>
      <c r="F207" s="199" t="str">
        <f>VLOOKUP(E207,'[1]BẢNG MÃ RING'!$A$2:$C$322,2,0)</f>
        <v>3V02757-25-22</v>
      </c>
      <c r="G207" s="206">
        <v>10</v>
      </c>
      <c r="H207" s="188">
        <f>IFERROR(VLOOKUP(E207,'[1]BẢNG MÃ RING'!$A$2:$C$322,3,0),0)</f>
        <v>0.6</v>
      </c>
      <c r="I207" s="188">
        <f t="shared" si="6"/>
        <v>6</v>
      </c>
      <c r="J207" s="203">
        <v>44546</v>
      </c>
    </row>
    <row r="208" spans="1:11" ht="15.75" x14ac:dyDescent="0.25">
      <c r="A208" s="187">
        <f t="shared" si="7"/>
        <v>205</v>
      </c>
      <c r="B208" s="200">
        <v>12856313</v>
      </c>
      <c r="C208" s="205" t="s">
        <v>951</v>
      </c>
      <c r="D208" s="202" t="s">
        <v>1071</v>
      </c>
      <c r="E208" s="211" t="s">
        <v>1140</v>
      </c>
      <c r="F208" s="199" t="str">
        <f>VLOOKUP(E208,'[1]BẢNG MÃ RING'!$A$2:$C$322,2,0)</f>
        <v>3V02757-25-22</v>
      </c>
      <c r="G208" s="206">
        <v>60</v>
      </c>
      <c r="H208" s="188">
        <f>IFERROR(VLOOKUP(E208,'[1]BẢNG MÃ RING'!$A$2:$C$322,3,0),0)</f>
        <v>0.6</v>
      </c>
      <c r="I208" s="188">
        <f t="shared" si="6"/>
        <v>36</v>
      </c>
      <c r="J208" s="203">
        <v>44546</v>
      </c>
    </row>
    <row r="209" spans="1:11" ht="15.75" x14ac:dyDescent="0.25">
      <c r="A209" s="187">
        <f t="shared" si="7"/>
        <v>206</v>
      </c>
      <c r="B209" s="200">
        <v>12856821</v>
      </c>
      <c r="C209" s="205" t="s">
        <v>957</v>
      </c>
      <c r="D209" s="202" t="s">
        <v>1075</v>
      </c>
      <c r="E209" s="211" t="s">
        <v>1140</v>
      </c>
      <c r="F209" s="199" t="str">
        <f>VLOOKUP(E209,'[1]BẢNG MÃ RING'!$A$2:$C$322,2,0)</f>
        <v>3V02757-25-22</v>
      </c>
      <c r="G209" s="206">
        <v>60</v>
      </c>
      <c r="H209" s="188">
        <f>IFERROR(VLOOKUP(E209,'[1]BẢNG MÃ RING'!$A$2:$C$322,3,0),0)</f>
        <v>0.6</v>
      </c>
      <c r="I209" s="188">
        <f t="shared" si="6"/>
        <v>36</v>
      </c>
      <c r="J209" s="203">
        <v>44546</v>
      </c>
    </row>
    <row r="210" spans="1:11" ht="15.75" x14ac:dyDescent="0.25">
      <c r="A210" s="187">
        <f t="shared" si="7"/>
        <v>207</v>
      </c>
      <c r="B210" s="200">
        <v>12404085</v>
      </c>
      <c r="C210" s="205" t="s">
        <v>950</v>
      </c>
      <c r="D210" s="202" t="s">
        <v>1070</v>
      </c>
      <c r="E210" s="211" t="s">
        <v>1140</v>
      </c>
      <c r="F210" s="199" t="str">
        <f>VLOOKUP(E210,'[1]BẢNG MÃ RING'!$A$2:$C$322,2,0)</f>
        <v>3V02757-25-22</v>
      </c>
      <c r="G210" s="206">
        <v>110</v>
      </c>
      <c r="H210" s="188">
        <f>IFERROR(VLOOKUP(E210,'[1]BẢNG MÃ RING'!$A$2:$C$322,3,0),0)</f>
        <v>0.6</v>
      </c>
      <c r="I210" s="188">
        <f t="shared" si="6"/>
        <v>66</v>
      </c>
      <c r="J210" s="203">
        <v>44549</v>
      </c>
    </row>
    <row r="211" spans="1:11" ht="15.75" x14ac:dyDescent="0.25">
      <c r="A211" s="187">
        <f t="shared" si="7"/>
        <v>208</v>
      </c>
      <c r="B211" s="200">
        <v>12404610</v>
      </c>
      <c r="C211" s="205" t="s">
        <v>952</v>
      </c>
      <c r="D211" s="202" t="s">
        <v>1072</v>
      </c>
      <c r="E211" s="211" t="s">
        <v>1140</v>
      </c>
      <c r="F211" s="199" t="str">
        <f>VLOOKUP(E211,'[1]BẢNG MÃ RING'!$A$2:$C$322,2,0)</f>
        <v>3V02757-25-22</v>
      </c>
      <c r="G211" s="206">
        <v>110</v>
      </c>
      <c r="H211" s="188">
        <f>IFERROR(VLOOKUP(E211,'[1]BẢNG MÃ RING'!$A$2:$C$322,3,0),0)</f>
        <v>0.6</v>
      </c>
      <c r="I211" s="188">
        <f t="shared" si="6"/>
        <v>66</v>
      </c>
      <c r="J211" s="203">
        <v>44549</v>
      </c>
    </row>
    <row r="212" spans="1:11" ht="15.75" x14ac:dyDescent="0.25">
      <c r="A212" s="187">
        <f t="shared" si="7"/>
        <v>209</v>
      </c>
      <c r="B212" s="200">
        <v>12860073</v>
      </c>
      <c r="C212" s="205" t="s">
        <v>998</v>
      </c>
      <c r="D212" s="202" t="s">
        <v>1102</v>
      </c>
      <c r="E212" s="211" t="s">
        <v>1141</v>
      </c>
      <c r="F212" s="199" t="str">
        <f>VLOOKUP(E212,'[1]BẢNG MÃ RING'!$A$2:$C$322,2,0)</f>
        <v>3V02805-26.2-22</v>
      </c>
      <c r="G212" s="206">
        <v>20</v>
      </c>
      <c r="H212" s="188">
        <f>IFERROR(VLOOKUP(E212,'[1]BẢNG MÃ RING'!$A$2:$C$322,3,0),0)</f>
        <v>0.59</v>
      </c>
      <c r="I212" s="188">
        <f t="shared" si="6"/>
        <v>11.799999999999999</v>
      </c>
      <c r="J212" s="203">
        <v>44539</v>
      </c>
    </row>
    <row r="213" spans="1:11" ht="15.75" x14ac:dyDescent="0.25">
      <c r="A213" s="187">
        <f t="shared" si="7"/>
        <v>210</v>
      </c>
      <c r="B213" s="200">
        <v>22595353</v>
      </c>
      <c r="C213" s="205" t="s">
        <v>999</v>
      </c>
      <c r="D213" s="202" t="s">
        <v>1103</v>
      </c>
      <c r="E213" s="211" t="s">
        <v>1142</v>
      </c>
      <c r="F213" s="199" t="str">
        <f>VLOOKUP(E213,'[1]BẢNG MÃ RING'!$A$2:$C$322,2,0)</f>
        <v>3V02-26-21.1</v>
      </c>
      <c r="G213" s="206">
        <v>30</v>
      </c>
      <c r="H213" s="188">
        <f>IFERROR(VLOOKUP(E213,'[1]BẢNG MÃ RING'!$A$2:$C$322,3,0),0)</f>
        <v>0.54</v>
      </c>
      <c r="I213" s="188">
        <f t="shared" si="6"/>
        <v>16.200000000000003</v>
      </c>
      <c r="J213" s="203">
        <v>44539</v>
      </c>
      <c r="K213" s="85" t="s">
        <v>1154</v>
      </c>
    </row>
    <row r="214" spans="1:11" ht="15.75" x14ac:dyDescent="0.25">
      <c r="A214" s="187">
        <f t="shared" si="7"/>
        <v>211</v>
      </c>
      <c r="B214" s="200">
        <v>22595701</v>
      </c>
      <c r="C214" s="205" t="s">
        <v>1000</v>
      </c>
      <c r="D214" s="202" t="s">
        <v>1104</v>
      </c>
      <c r="E214" s="211" t="s">
        <v>1142</v>
      </c>
      <c r="F214" s="199" t="str">
        <f>VLOOKUP(E214,'[1]BẢNG MÃ RING'!$A$2:$C$322,2,0)</f>
        <v>3V02-26-21.1</v>
      </c>
      <c r="G214" s="206">
        <v>60</v>
      </c>
      <c r="H214" s="188">
        <f>IFERROR(VLOOKUP(E214,'[1]BẢNG MÃ RING'!$A$2:$C$322,3,0),0)</f>
        <v>0.54</v>
      </c>
      <c r="I214" s="188">
        <f t="shared" si="6"/>
        <v>32.400000000000006</v>
      </c>
      <c r="J214" s="203">
        <v>44539</v>
      </c>
    </row>
    <row r="215" spans="1:11" ht="15.75" x14ac:dyDescent="0.25">
      <c r="A215" s="187">
        <f t="shared" si="7"/>
        <v>212</v>
      </c>
      <c r="B215" s="200">
        <v>22596404</v>
      </c>
      <c r="C215" s="205" t="s">
        <v>1001</v>
      </c>
      <c r="D215" s="202" t="s">
        <v>1105</v>
      </c>
      <c r="E215" s="211" t="s">
        <v>1142</v>
      </c>
      <c r="F215" s="199" t="str">
        <f>VLOOKUP(E215,'[1]BẢNG MÃ RING'!$A$2:$C$322,2,0)</f>
        <v>3V02-26-21.1</v>
      </c>
      <c r="G215" s="206">
        <v>110</v>
      </c>
      <c r="H215" s="188">
        <f>IFERROR(VLOOKUP(E215,'[1]BẢNG MÃ RING'!$A$2:$C$322,3,0),0)</f>
        <v>0.54</v>
      </c>
      <c r="I215" s="188">
        <f t="shared" si="6"/>
        <v>59.400000000000006</v>
      </c>
      <c r="J215" s="203">
        <v>44539</v>
      </c>
    </row>
    <row r="216" spans="1:11" ht="15.75" x14ac:dyDescent="0.25">
      <c r="A216" s="187">
        <f t="shared" si="7"/>
        <v>213</v>
      </c>
      <c r="B216" s="200">
        <v>12389262</v>
      </c>
      <c r="C216" s="205" t="s">
        <v>1002</v>
      </c>
      <c r="D216" s="202" t="s">
        <v>818</v>
      </c>
      <c r="E216" s="211" t="s">
        <v>806</v>
      </c>
      <c r="F216" s="199" t="str">
        <f>VLOOKUP(E216,'[1]BẢNG MÃ RING'!$A$2:$C$322,2,0)</f>
        <v>3V02-23-20.6-5</v>
      </c>
      <c r="G216" s="206">
        <v>110</v>
      </c>
      <c r="H216" s="188">
        <f>IFERROR(VLOOKUP(E216,'[1]BẢNG MÃ RING'!$A$2:$C$322,3,0),0)</f>
        <v>0.44</v>
      </c>
      <c r="I216" s="188">
        <f t="shared" si="6"/>
        <v>48.4</v>
      </c>
      <c r="J216" s="203">
        <v>44546</v>
      </c>
      <c r="K216" s="85" t="s">
        <v>1154</v>
      </c>
    </row>
    <row r="217" spans="1:11" ht="15.75" x14ac:dyDescent="0.25">
      <c r="A217" s="187">
        <f t="shared" si="7"/>
        <v>214</v>
      </c>
      <c r="B217" s="200">
        <v>12389840</v>
      </c>
      <c r="C217" s="205" t="s">
        <v>1003</v>
      </c>
      <c r="D217" s="202" t="s">
        <v>819</v>
      </c>
      <c r="E217" s="211" t="s">
        <v>806</v>
      </c>
      <c r="F217" s="199" t="str">
        <f>VLOOKUP(E217,'[1]BẢNG MÃ RING'!$A$2:$C$322,2,0)</f>
        <v>3V02-23-20.6-5</v>
      </c>
      <c r="G217" s="206">
        <v>110</v>
      </c>
      <c r="H217" s="188">
        <f>IFERROR(VLOOKUP(E217,'[1]BẢNG MÃ RING'!$A$2:$C$322,3,0),0)</f>
        <v>0.44</v>
      </c>
      <c r="I217" s="188">
        <f t="shared" si="6"/>
        <v>48.4</v>
      </c>
      <c r="J217" s="203">
        <v>44546</v>
      </c>
    </row>
    <row r="218" spans="1:11" ht="15.75" x14ac:dyDescent="0.25">
      <c r="A218" s="187">
        <f t="shared" si="7"/>
        <v>215</v>
      </c>
      <c r="B218" s="200">
        <v>12390466</v>
      </c>
      <c r="C218" s="205" t="s">
        <v>1004</v>
      </c>
      <c r="D218" s="202" t="s">
        <v>820</v>
      </c>
      <c r="E218" s="211" t="s">
        <v>806</v>
      </c>
      <c r="F218" s="199" t="str">
        <f>VLOOKUP(E218,'[1]BẢNG MÃ RING'!$A$2:$C$322,2,0)</f>
        <v>3V02-23-20.6-5</v>
      </c>
      <c r="G218" s="206">
        <v>110</v>
      </c>
      <c r="H218" s="188">
        <f>IFERROR(VLOOKUP(E218,'[1]BẢNG MÃ RING'!$A$2:$C$322,3,0),0)</f>
        <v>0.44</v>
      </c>
      <c r="I218" s="188">
        <f t="shared" si="6"/>
        <v>48.4</v>
      </c>
      <c r="J218" s="203">
        <v>44546</v>
      </c>
    </row>
    <row r="219" spans="1:11" ht="15.75" x14ac:dyDescent="0.25">
      <c r="A219" s="187">
        <f t="shared" si="7"/>
        <v>216</v>
      </c>
      <c r="B219" s="200">
        <v>12391085</v>
      </c>
      <c r="C219" s="205" t="s">
        <v>1005</v>
      </c>
      <c r="D219" s="202" t="s">
        <v>821</v>
      </c>
      <c r="E219" s="211" t="s">
        <v>806</v>
      </c>
      <c r="F219" s="199" t="str">
        <f>VLOOKUP(E219,'[1]BẢNG MÃ RING'!$A$2:$C$322,2,0)</f>
        <v>3V02-23-20.6-5</v>
      </c>
      <c r="G219" s="206">
        <v>110</v>
      </c>
      <c r="H219" s="188">
        <f>IFERROR(VLOOKUP(E219,'[1]BẢNG MÃ RING'!$A$2:$C$322,3,0),0)</f>
        <v>0.44</v>
      </c>
      <c r="I219" s="188">
        <f t="shared" si="6"/>
        <v>48.4</v>
      </c>
      <c r="J219" s="203">
        <v>44546</v>
      </c>
    </row>
    <row r="220" spans="1:11" ht="15.75" x14ac:dyDescent="0.25">
      <c r="A220" s="187">
        <f t="shared" si="7"/>
        <v>217</v>
      </c>
      <c r="B220" s="200">
        <v>12391770</v>
      </c>
      <c r="C220" s="205" t="s">
        <v>1006</v>
      </c>
      <c r="D220" s="202" t="s">
        <v>822</v>
      </c>
      <c r="E220" s="211" t="s">
        <v>807</v>
      </c>
      <c r="F220" s="199" t="str">
        <f>VLOOKUP(E220,'[1]BẢNG MÃ RING'!$A$2:$C$322,2,0)</f>
        <v>3V02-25.5-23.1</v>
      </c>
      <c r="G220" s="206">
        <v>110</v>
      </c>
      <c r="H220" s="188">
        <f>IFERROR(VLOOKUP(E220,'[1]BẢNG MÃ RING'!$A$2:$C$322,3,0),0)</f>
        <v>0.5</v>
      </c>
      <c r="I220" s="188">
        <f t="shared" si="6"/>
        <v>55</v>
      </c>
      <c r="J220" s="203">
        <v>44546</v>
      </c>
      <c r="K220" s="85" t="s">
        <v>825</v>
      </c>
    </row>
    <row r="221" spans="1:11" ht="15.75" x14ac:dyDescent="0.25">
      <c r="A221" s="187">
        <f t="shared" si="7"/>
        <v>218</v>
      </c>
      <c r="B221" s="200">
        <v>22610073</v>
      </c>
      <c r="C221" s="205" t="s">
        <v>1007</v>
      </c>
      <c r="D221" s="202" t="s">
        <v>1106</v>
      </c>
      <c r="E221" s="211" t="s">
        <v>1143</v>
      </c>
      <c r="F221" s="199" t="str">
        <f>VLOOKUP(E221,'[1]BẢNG MÃ RING'!$A$2:$C$322,2,0)</f>
        <v>3V02-29-23</v>
      </c>
      <c r="G221" s="206">
        <v>110</v>
      </c>
      <c r="H221" s="188">
        <f>IFERROR(VLOOKUP(E221,'[1]BẢNG MÃ RING'!$A$2:$C$322,3,0),0)</f>
        <v>0.59</v>
      </c>
      <c r="I221" s="188">
        <f t="shared" si="6"/>
        <v>64.899999999999991</v>
      </c>
      <c r="J221" s="203">
        <v>44560</v>
      </c>
    </row>
    <row r="222" spans="1:11" ht="15.75" x14ac:dyDescent="0.25">
      <c r="A222" s="187">
        <f t="shared" si="7"/>
        <v>219</v>
      </c>
      <c r="B222" s="200">
        <v>22610104</v>
      </c>
      <c r="C222" s="205" t="s">
        <v>1007</v>
      </c>
      <c r="D222" s="202" t="s">
        <v>1106</v>
      </c>
      <c r="E222" s="211" t="s">
        <v>1144</v>
      </c>
      <c r="F222" s="199" t="str">
        <f>VLOOKUP(E222,'[1]BẢNG MÃ RING'!$A$2:$C$322,2,0)</f>
        <v>3V03-27-23.05</v>
      </c>
      <c r="G222" s="206">
        <v>60</v>
      </c>
      <c r="H222" s="188">
        <f>IFERROR(VLOOKUP(E222,'[1]BẢNG MÃ RING'!$A$2:$C$322,3,0),0)</f>
        <v>0.45</v>
      </c>
      <c r="I222" s="188">
        <f t="shared" si="6"/>
        <v>27</v>
      </c>
      <c r="J222" s="203">
        <v>44560</v>
      </c>
      <c r="K222" s="85" t="s">
        <v>1154</v>
      </c>
    </row>
    <row r="223" spans="1:11" ht="15.75" x14ac:dyDescent="0.25">
      <c r="A223" s="187">
        <f t="shared" si="7"/>
        <v>220</v>
      </c>
      <c r="B223" s="200">
        <v>12523547</v>
      </c>
      <c r="C223" s="205" t="s">
        <v>1008</v>
      </c>
      <c r="D223" s="202" t="s">
        <v>823</v>
      </c>
      <c r="E223" s="211" t="s">
        <v>808</v>
      </c>
      <c r="F223" s="199" t="str">
        <f>VLOOKUP(E223,'[1]BẢNG MÃ RING'!$A$2:$C$322,2,0)</f>
        <v>3V03-19.5-13.55</v>
      </c>
      <c r="G223" s="206">
        <v>60</v>
      </c>
      <c r="H223" s="188">
        <f>IFERROR(VLOOKUP(E223,'[1]BẢNG MÃ RING'!$A$2:$C$322,3,0),0)</f>
        <v>0.44</v>
      </c>
      <c r="I223" s="188">
        <f t="shared" si="6"/>
        <v>26.4</v>
      </c>
      <c r="J223" s="203">
        <v>44581</v>
      </c>
    </row>
    <row r="224" spans="1:11" ht="15.75" x14ac:dyDescent="0.25">
      <c r="A224" s="187">
        <f t="shared" si="7"/>
        <v>221</v>
      </c>
      <c r="B224" s="200">
        <v>12523952</v>
      </c>
      <c r="C224" s="205" t="s">
        <v>1009</v>
      </c>
      <c r="D224" s="202" t="s">
        <v>1107</v>
      </c>
      <c r="E224" s="211" t="s">
        <v>1145</v>
      </c>
      <c r="F224" s="199" t="str">
        <f>VLOOKUP(E224,'[1]BẢNG MÃ RING'!$A$2:$C$322,2,0)</f>
        <v>3V03-19.5-14.05</v>
      </c>
      <c r="G224" s="206">
        <v>40</v>
      </c>
      <c r="H224" s="188">
        <f>IFERROR(VLOOKUP(E224,'[1]BẢNG MÃ RING'!$A$2:$C$322,3,0),0)</f>
        <v>0.44</v>
      </c>
      <c r="I224" s="188">
        <f t="shared" si="6"/>
        <v>17.600000000000001</v>
      </c>
      <c r="J224" s="203">
        <v>44581</v>
      </c>
    </row>
    <row r="225" spans="1:10" ht="15.75" x14ac:dyDescent="0.25">
      <c r="A225" s="187">
        <f t="shared" si="7"/>
        <v>222</v>
      </c>
      <c r="B225" s="200">
        <v>12524376</v>
      </c>
      <c r="C225" s="205" t="s">
        <v>1010</v>
      </c>
      <c r="D225" s="202" t="s">
        <v>793</v>
      </c>
      <c r="E225" s="211" t="s">
        <v>799</v>
      </c>
      <c r="F225" s="199" t="str">
        <f>VLOOKUP(E225,'[1]BẢNG MÃ RING'!$A$2:$C$322,2,0)</f>
        <v>3V03-19.5-14.55</v>
      </c>
      <c r="G225" s="206">
        <v>60</v>
      </c>
      <c r="H225" s="188">
        <f>IFERROR(VLOOKUP(E225,'[1]BẢNG MÃ RING'!$A$2:$C$322,3,0),0)</f>
        <v>0.44</v>
      </c>
      <c r="I225" s="188">
        <f t="shared" si="6"/>
        <v>26.4</v>
      </c>
      <c r="J225" s="203">
        <v>44581</v>
      </c>
    </row>
    <row r="226" spans="1:10" ht="15.75" x14ac:dyDescent="0.25">
      <c r="A226" s="187">
        <f t="shared" si="7"/>
        <v>223</v>
      </c>
      <c r="B226" s="200">
        <v>12524796</v>
      </c>
      <c r="C226" s="205" t="s">
        <v>1011</v>
      </c>
      <c r="D226" s="202" t="s">
        <v>1108</v>
      </c>
      <c r="E226" s="211" t="s">
        <v>1146</v>
      </c>
      <c r="F226" s="199" t="str">
        <f>VLOOKUP(E226,'[1]BẢNG MÃ RING'!$A$2:$C$322,2,0)</f>
        <v>3V03-19.5-15.55</v>
      </c>
      <c r="G226" s="206">
        <v>60</v>
      </c>
      <c r="H226" s="188">
        <f>IFERROR(VLOOKUP(E226,'[1]BẢNG MÃ RING'!$A$2:$C$322,3,0),0)</f>
        <v>0.44</v>
      </c>
      <c r="I226" s="188">
        <f t="shared" si="6"/>
        <v>26.4</v>
      </c>
      <c r="J226" s="203">
        <v>44581</v>
      </c>
    </row>
    <row r="227" spans="1:10" ht="15.75" x14ac:dyDescent="0.25">
      <c r="A227" s="187">
        <f t="shared" si="7"/>
        <v>224</v>
      </c>
      <c r="B227" s="200">
        <v>12525202</v>
      </c>
      <c r="C227" s="205" t="s">
        <v>1012</v>
      </c>
      <c r="D227" s="202" t="s">
        <v>794</v>
      </c>
      <c r="E227" s="211" t="s">
        <v>800</v>
      </c>
      <c r="F227" s="199" t="str">
        <f>VLOOKUP(E227,'[1]BẢNG MÃ RING'!$A$2:$C$322,2,0)</f>
        <v>3V03-19.5-16.05</v>
      </c>
      <c r="G227" s="206">
        <v>50</v>
      </c>
      <c r="H227" s="188">
        <f>IFERROR(VLOOKUP(E227,'[1]BẢNG MÃ RING'!$A$2:$C$322,3,0),0)</f>
        <v>0.44</v>
      </c>
      <c r="I227" s="188">
        <f t="shared" si="6"/>
        <v>22</v>
      </c>
      <c r="J227" s="203">
        <v>44581</v>
      </c>
    </row>
    <row r="228" spans="1:10" ht="15.75" x14ac:dyDescent="0.25">
      <c r="A228" s="187">
        <f t="shared" si="7"/>
        <v>225</v>
      </c>
      <c r="B228" s="200">
        <v>12571640</v>
      </c>
      <c r="C228" s="205" t="s">
        <v>846</v>
      </c>
      <c r="D228" s="202" t="s">
        <v>1015</v>
      </c>
      <c r="E228" s="211" t="s">
        <v>711</v>
      </c>
      <c r="F228" s="199" t="str">
        <f>VLOOKUP(E228,'[1]BẢNG MÃ RING'!$A$2:$C$322,2,0)</f>
        <v>7418-14.5-12</v>
      </c>
      <c r="G228" s="206">
        <v>210</v>
      </c>
      <c r="H228" s="188">
        <f>IFERROR(VLOOKUP(E228,'[1]BẢNG MÃ RING'!$A$2:$C$322,3,0),0)</f>
        <v>0.28999999999999998</v>
      </c>
      <c r="I228" s="188">
        <f t="shared" si="6"/>
        <v>60.9</v>
      </c>
      <c r="J228" s="203">
        <v>44539</v>
      </c>
    </row>
    <row r="229" spans="1:10" ht="15.75" x14ac:dyDescent="0.25">
      <c r="A229" s="187" t="e">
        <f>IF(AND(#REF!= "",#REF!=""),1,IF(B229="","",IF(#REF!="",#REF!+1,#REF!+1)))</f>
        <v>#REF!</v>
      </c>
      <c r="B229" s="200"/>
      <c r="C229" s="205"/>
      <c r="D229" s="202"/>
      <c r="E229" s="201"/>
      <c r="F229" s="199" t="e">
        <f>VLOOKUP(E229,'[1]BẢNG MÃ RING'!$A$2:$C$322,2,0)</f>
        <v>#N/A</v>
      </c>
      <c r="G229" s="206"/>
      <c r="H229" s="188">
        <f>IFERROR(VLOOKUP(E229,'[1]BẢNG MÃ RING'!$A$2:$C$322,3,0),0)</f>
        <v>0</v>
      </c>
      <c r="I229" s="188">
        <f t="shared" ref="I229:I269" si="8">H229*G229</f>
        <v>0</v>
      </c>
      <c r="J229" s="203"/>
    </row>
    <row r="230" spans="1:10" ht="15.75" x14ac:dyDescent="0.25">
      <c r="A230" s="187" t="e">
        <f>IF(AND( A229="",#REF!=""),1,IF(B230="","",IF(B229="",#REF!+1,A229+1)))</f>
        <v>#REF!</v>
      </c>
      <c r="B230" s="200"/>
      <c r="C230" s="205"/>
      <c r="D230" s="202"/>
      <c r="E230" s="201"/>
      <c r="F230" s="199" t="e">
        <f>VLOOKUP(E230,'[1]BẢNG MÃ RING'!$A$2:$C$322,2,0)</f>
        <v>#N/A</v>
      </c>
      <c r="G230" s="206"/>
      <c r="H230" s="188">
        <f>IFERROR(VLOOKUP(E230,'[1]BẢNG MÃ RING'!$A$2:$C$322,3,0),0)</f>
        <v>0</v>
      </c>
      <c r="I230" s="188">
        <f t="shared" si="8"/>
        <v>0</v>
      </c>
      <c r="J230" s="203"/>
    </row>
    <row r="231" spans="1:10" ht="15.75" x14ac:dyDescent="0.25">
      <c r="A231" s="187" t="e">
        <f t="shared" ref="A231:A269" si="9">IF(AND( A230="",A229=""),1,IF(B231="","",IF(B230="",A229+1,A230+1)))</f>
        <v>#REF!</v>
      </c>
      <c r="B231" s="200"/>
      <c r="C231" s="205"/>
      <c r="D231" s="202"/>
      <c r="E231" s="201"/>
      <c r="F231" s="199" t="e">
        <f>VLOOKUP(E231,'[1]BẢNG MÃ RING'!$A$2:$C$322,2,0)</f>
        <v>#N/A</v>
      </c>
      <c r="G231" s="206"/>
      <c r="H231" s="188">
        <f>IFERROR(VLOOKUP(E231,'[1]BẢNG MÃ RING'!$A$2:$C$322,3,0),0)</f>
        <v>0</v>
      </c>
      <c r="I231" s="188">
        <f t="shared" si="8"/>
        <v>0</v>
      </c>
      <c r="J231" s="203"/>
    </row>
    <row r="232" spans="1:10" ht="15.75" x14ac:dyDescent="0.25">
      <c r="A232" s="187" t="e">
        <f t="shared" si="9"/>
        <v>#REF!</v>
      </c>
      <c r="B232" s="200"/>
      <c r="C232" s="205"/>
      <c r="D232" s="202"/>
      <c r="E232" s="201"/>
      <c r="F232" s="199" t="e">
        <f>VLOOKUP(E232,'[1]BẢNG MÃ RING'!$A$2:$C$322,2,0)</f>
        <v>#N/A</v>
      </c>
      <c r="G232" s="206"/>
      <c r="H232" s="188">
        <f>IFERROR(VLOOKUP(E232,'[1]BẢNG MÃ RING'!$A$2:$C$322,3,0),0)</f>
        <v>0</v>
      </c>
      <c r="I232" s="188">
        <f t="shared" si="8"/>
        <v>0</v>
      </c>
      <c r="J232" s="203"/>
    </row>
    <row r="233" spans="1:10" ht="15.75" x14ac:dyDescent="0.25">
      <c r="A233" s="187" t="e">
        <f t="shared" si="9"/>
        <v>#REF!</v>
      </c>
      <c r="B233" s="200"/>
      <c r="C233" s="205"/>
      <c r="D233" s="202"/>
      <c r="E233" s="201"/>
      <c r="F233" s="199" t="e">
        <f>VLOOKUP(E233,'[1]BẢNG MÃ RING'!$A$2:$C$322,2,0)</f>
        <v>#N/A</v>
      </c>
      <c r="G233" s="206"/>
      <c r="H233" s="188">
        <f>IFERROR(VLOOKUP(E233,'[1]BẢNG MÃ RING'!$A$2:$C$322,3,0),0)</f>
        <v>0</v>
      </c>
      <c r="I233" s="188">
        <f t="shared" si="8"/>
        <v>0</v>
      </c>
      <c r="J233" s="203"/>
    </row>
    <row r="234" spans="1:10" ht="15.75" x14ac:dyDescent="0.25">
      <c r="A234" s="187" t="e">
        <f t="shared" si="9"/>
        <v>#REF!</v>
      </c>
      <c r="B234" s="200"/>
      <c r="C234" s="205"/>
      <c r="D234" s="202"/>
      <c r="E234" s="201"/>
      <c r="F234" s="199" t="e">
        <f>VLOOKUP(E234,'[1]BẢNG MÃ RING'!$A$2:$C$322,2,0)</f>
        <v>#N/A</v>
      </c>
      <c r="G234" s="206"/>
      <c r="H234" s="188">
        <f>IFERROR(VLOOKUP(E234,'[1]BẢNG MÃ RING'!$A$2:$C$322,3,0),0)</f>
        <v>0</v>
      </c>
      <c r="I234" s="188">
        <f t="shared" si="8"/>
        <v>0</v>
      </c>
      <c r="J234" s="203"/>
    </row>
    <row r="235" spans="1:10" ht="15.75" x14ac:dyDescent="0.25">
      <c r="A235" s="187" t="e">
        <f t="shared" si="9"/>
        <v>#REF!</v>
      </c>
      <c r="B235" s="200"/>
      <c r="C235" s="205"/>
      <c r="D235" s="202"/>
      <c r="E235" s="201"/>
      <c r="F235" s="199" t="e">
        <f>VLOOKUP(E235,'[1]BẢNG MÃ RING'!$A$2:$C$322,2,0)</f>
        <v>#N/A</v>
      </c>
      <c r="G235" s="206"/>
      <c r="H235" s="188">
        <f>IFERROR(VLOOKUP(E235,'[1]BẢNG MÃ RING'!$A$2:$C$322,3,0),0)</f>
        <v>0</v>
      </c>
      <c r="I235" s="188">
        <f t="shared" si="8"/>
        <v>0</v>
      </c>
      <c r="J235" s="203"/>
    </row>
    <row r="236" spans="1:10" ht="15.75" x14ac:dyDescent="0.25">
      <c r="A236" s="187" t="e">
        <f t="shared" si="9"/>
        <v>#REF!</v>
      </c>
      <c r="B236" s="200"/>
      <c r="C236" s="205"/>
      <c r="D236" s="202"/>
      <c r="E236" s="201"/>
      <c r="F236" s="199" t="e">
        <f>VLOOKUP(E236,'[1]BẢNG MÃ RING'!$A$2:$C$322,2,0)</f>
        <v>#N/A</v>
      </c>
      <c r="G236" s="206"/>
      <c r="H236" s="188">
        <f>IFERROR(VLOOKUP(E236,'[1]BẢNG MÃ RING'!$A$2:$C$322,3,0),0)</f>
        <v>0</v>
      </c>
      <c r="I236" s="188">
        <f t="shared" si="8"/>
        <v>0</v>
      </c>
      <c r="J236" s="203"/>
    </row>
    <row r="237" spans="1:10" ht="15.75" x14ac:dyDescent="0.25">
      <c r="A237" s="187" t="e">
        <f t="shared" si="9"/>
        <v>#REF!</v>
      </c>
      <c r="B237" s="200"/>
      <c r="C237" s="205"/>
      <c r="D237" s="202"/>
      <c r="E237" s="201"/>
      <c r="F237" s="199" t="e">
        <f>VLOOKUP(E237,'[1]BẢNG MÃ RING'!$A$2:$C$322,2,0)</f>
        <v>#N/A</v>
      </c>
      <c r="G237" s="206"/>
      <c r="H237" s="188">
        <f>IFERROR(VLOOKUP(E237,'[1]BẢNG MÃ RING'!$A$2:$C$322,3,0),0)</f>
        <v>0</v>
      </c>
      <c r="I237" s="188">
        <f t="shared" si="8"/>
        <v>0</v>
      </c>
      <c r="J237" s="203"/>
    </row>
    <row r="238" spans="1:10" ht="15.75" x14ac:dyDescent="0.25">
      <c r="A238" s="187" t="e">
        <f t="shared" si="9"/>
        <v>#REF!</v>
      </c>
      <c r="B238" s="200"/>
      <c r="C238" s="187"/>
      <c r="D238" s="187"/>
      <c r="E238" s="187"/>
      <c r="F238" s="199" t="e">
        <f>VLOOKUP(E238,'[1]BẢNG MÃ RING'!$A$2:$C$322,2,0)</f>
        <v>#N/A</v>
      </c>
      <c r="G238" s="206"/>
      <c r="H238" s="188">
        <f>IFERROR(VLOOKUP(E238,'[1]BẢNG MÃ RING'!$A$2:$C$322,3,0),0)</f>
        <v>0</v>
      </c>
      <c r="I238" s="188">
        <f t="shared" si="8"/>
        <v>0</v>
      </c>
      <c r="J238" s="203"/>
    </row>
    <row r="239" spans="1:10" ht="15.75" x14ac:dyDescent="0.25">
      <c r="A239" s="187" t="e">
        <f t="shared" si="9"/>
        <v>#REF!</v>
      </c>
      <c r="B239" s="200"/>
      <c r="C239" s="187"/>
      <c r="D239" s="187"/>
      <c r="E239" s="187"/>
      <c r="F239" s="199" t="e">
        <f>VLOOKUP(E239,'[1]BẢNG MÃ RING'!$A$2:$C$322,2,0)</f>
        <v>#N/A</v>
      </c>
      <c r="G239" s="206"/>
      <c r="H239" s="188">
        <f>IFERROR(VLOOKUP(E239,'[1]BẢNG MÃ RING'!$A$2:$C$322,3,0),0)</f>
        <v>0</v>
      </c>
      <c r="I239" s="188">
        <f t="shared" si="8"/>
        <v>0</v>
      </c>
      <c r="J239" s="203"/>
    </row>
    <row r="240" spans="1:10" ht="15.75" x14ac:dyDescent="0.25">
      <c r="A240" s="187" t="e">
        <f t="shared" si="9"/>
        <v>#REF!</v>
      </c>
      <c r="B240" s="200"/>
      <c r="C240" s="187"/>
      <c r="D240" s="187"/>
      <c r="E240" s="187"/>
      <c r="F240" s="199" t="e">
        <f>VLOOKUP(E240,'[1]BẢNG MÃ RING'!$A$2:$C$322,2,0)</f>
        <v>#N/A</v>
      </c>
      <c r="G240" s="206"/>
      <c r="H240" s="188">
        <f>IFERROR(VLOOKUP(E240,'[1]BẢNG MÃ RING'!$A$2:$C$322,3,0),0)</f>
        <v>0</v>
      </c>
      <c r="I240" s="188">
        <f t="shared" si="8"/>
        <v>0</v>
      </c>
      <c r="J240" s="203"/>
    </row>
    <row r="241" spans="1:10" ht="15.75" x14ac:dyDescent="0.25">
      <c r="A241" s="187" t="e">
        <f t="shared" si="9"/>
        <v>#REF!</v>
      </c>
      <c r="B241" s="200"/>
      <c r="C241" s="187"/>
      <c r="D241" s="187"/>
      <c r="E241" s="187"/>
      <c r="F241" s="199" t="e">
        <f>VLOOKUP(E241,'[1]BẢNG MÃ RING'!$A$2:$C$322,2,0)</f>
        <v>#N/A</v>
      </c>
      <c r="G241" s="206"/>
      <c r="H241" s="188">
        <f>IFERROR(VLOOKUP(E241,'[1]BẢNG MÃ RING'!$A$2:$C$322,3,0),0)</f>
        <v>0</v>
      </c>
      <c r="I241" s="188">
        <f t="shared" si="8"/>
        <v>0</v>
      </c>
      <c r="J241" s="203"/>
    </row>
    <row r="242" spans="1:10" ht="15.75" x14ac:dyDescent="0.25">
      <c r="A242" s="187" t="e">
        <f t="shared" si="9"/>
        <v>#REF!</v>
      </c>
      <c r="B242" s="200"/>
      <c r="C242" s="187"/>
      <c r="D242" s="187"/>
      <c r="E242" s="187"/>
      <c r="F242" s="199" t="e">
        <f>VLOOKUP(E242,'[1]BẢNG MÃ RING'!$A$2:$C$322,2,0)</f>
        <v>#N/A</v>
      </c>
      <c r="G242" s="206"/>
      <c r="H242" s="188">
        <f>IFERROR(VLOOKUP(E242,'[1]BẢNG MÃ RING'!$A$2:$C$322,3,0),0)</f>
        <v>0</v>
      </c>
      <c r="I242" s="188">
        <f t="shared" si="8"/>
        <v>0</v>
      </c>
      <c r="J242" s="203"/>
    </row>
    <row r="243" spans="1:10" ht="15.75" x14ac:dyDescent="0.25">
      <c r="A243" s="187" t="e">
        <f t="shared" si="9"/>
        <v>#REF!</v>
      </c>
      <c r="B243" s="200"/>
      <c r="C243" s="187"/>
      <c r="D243" s="187"/>
      <c r="E243" s="187"/>
      <c r="F243" s="199" t="e">
        <f>VLOOKUP(E243,'[1]BẢNG MÃ RING'!$A$2:$C$322,2,0)</f>
        <v>#N/A</v>
      </c>
      <c r="G243" s="206"/>
      <c r="H243" s="188">
        <f>IFERROR(VLOOKUP(E243,'[1]BẢNG MÃ RING'!$A$2:$C$322,3,0),0)</f>
        <v>0</v>
      </c>
      <c r="I243" s="188">
        <f t="shared" si="8"/>
        <v>0</v>
      </c>
      <c r="J243" s="203"/>
    </row>
    <row r="244" spans="1:10" ht="15.75" x14ac:dyDescent="0.25">
      <c r="A244" s="187" t="e">
        <f t="shared" si="9"/>
        <v>#REF!</v>
      </c>
      <c r="B244" s="200"/>
      <c r="C244" s="187"/>
      <c r="D244" s="187"/>
      <c r="E244" s="187"/>
      <c r="F244" s="199" t="e">
        <f>VLOOKUP(E244,'[1]BẢNG MÃ RING'!$A$2:$C$322,2,0)</f>
        <v>#N/A</v>
      </c>
      <c r="G244" s="206"/>
      <c r="H244" s="188">
        <f>IFERROR(VLOOKUP(E244,'[1]BẢNG MÃ RING'!$A$2:$C$322,3,0),0)</f>
        <v>0</v>
      </c>
      <c r="I244" s="188">
        <f t="shared" si="8"/>
        <v>0</v>
      </c>
      <c r="J244" s="203"/>
    </row>
    <row r="245" spans="1:10" ht="15.75" x14ac:dyDescent="0.25">
      <c r="A245" s="187" t="e">
        <f t="shared" si="9"/>
        <v>#REF!</v>
      </c>
      <c r="B245" s="200"/>
      <c r="C245" s="187"/>
      <c r="D245" s="187"/>
      <c r="E245" s="187"/>
      <c r="F245" s="199" t="e">
        <f>VLOOKUP(E245,'[1]BẢNG MÃ RING'!$A$2:$C$322,2,0)</f>
        <v>#N/A</v>
      </c>
      <c r="G245" s="206"/>
      <c r="H245" s="188">
        <f>IFERROR(VLOOKUP(E245,'[1]BẢNG MÃ RING'!$A$2:$C$322,3,0),0)</f>
        <v>0</v>
      </c>
      <c r="I245" s="188">
        <f t="shared" si="8"/>
        <v>0</v>
      </c>
      <c r="J245" s="203"/>
    </row>
    <row r="246" spans="1:10" ht="15.75" x14ac:dyDescent="0.25">
      <c r="A246" s="187" t="e">
        <f t="shared" si="9"/>
        <v>#REF!</v>
      </c>
      <c r="B246" s="200"/>
      <c r="C246" s="187"/>
      <c r="D246" s="187"/>
      <c r="E246" s="187"/>
      <c r="F246" s="199" t="e">
        <f>VLOOKUP(E246,'[1]BẢNG MÃ RING'!$A$2:$C$322,2,0)</f>
        <v>#N/A</v>
      </c>
      <c r="G246" s="206"/>
      <c r="H246" s="188">
        <f>IFERROR(VLOOKUP(E246,'[1]BẢNG MÃ RING'!$A$2:$C$322,3,0),0)</f>
        <v>0</v>
      </c>
      <c r="I246" s="188">
        <f t="shared" si="8"/>
        <v>0</v>
      </c>
      <c r="J246" s="203"/>
    </row>
    <row r="247" spans="1:10" ht="15.75" x14ac:dyDescent="0.25">
      <c r="A247" s="187" t="e">
        <f t="shared" si="9"/>
        <v>#REF!</v>
      </c>
      <c r="B247" s="200"/>
      <c r="C247" s="187"/>
      <c r="D247" s="187"/>
      <c r="E247" s="187"/>
      <c r="F247" s="199" t="e">
        <f>VLOOKUP(E247,'[1]BẢNG MÃ RING'!$A$2:$C$322,2,0)</f>
        <v>#N/A</v>
      </c>
      <c r="G247" s="206"/>
      <c r="H247" s="188">
        <f>IFERROR(VLOOKUP(E247,'[1]BẢNG MÃ RING'!$A$2:$C$322,3,0),0)</f>
        <v>0</v>
      </c>
      <c r="I247" s="188">
        <f t="shared" si="8"/>
        <v>0</v>
      </c>
      <c r="J247" s="203"/>
    </row>
    <row r="248" spans="1:10" ht="15.75" x14ac:dyDescent="0.25">
      <c r="A248" s="187" t="e">
        <f t="shared" si="9"/>
        <v>#REF!</v>
      </c>
      <c r="B248" s="200"/>
      <c r="C248" s="187"/>
      <c r="D248" s="187"/>
      <c r="E248" s="187"/>
      <c r="F248" s="199" t="e">
        <f>VLOOKUP(E248,'[1]BẢNG MÃ RING'!$A$2:$C$322,2,0)</f>
        <v>#N/A</v>
      </c>
      <c r="G248" s="206"/>
      <c r="H248" s="188">
        <f>IFERROR(VLOOKUP(E248,'[1]BẢNG MÃ RING'!$A$2:$C$322,3,0),0)</f>
        <v>0</v>
      </c>
      <c r="I248" s="188">
        <f t="shared" si="8"/>
        <v>0</v>
      </c>
      <c r="J248" s="203"/>
    </row>
    <row r="249" spans="1:10" ht="15.75" x14ac:dyDescent="0.25">
      <c r="A249" s="187" t="e">
        <f t="shared" si="9"/>
        <v>#REF!</v>
      </c>
      <c r="B249" s="200"/>
      <c r="C249" s="187"/>
      <c r="D249" s="187"/>
      <c r="E249" s="187"/>
      <c r="F249" s="199" t="e">
        <f>VLOOKUP(E249,'[1]BẢNG MÃ RING'!$A$2:$C$322,2,0)</f>
        <v>#N/A</v>
      </c>
      <c r="G249" s="206"/>
      <c r="H249" s="188">
        <f>IFERROR(VLOOKUP(E249,'[1]BẢNG MÃ RING'!$A$2:$C$322,3,0),0)</f>
        <v>0</v>
      </c>
      <c r="I249" s="188">
        <f t="shared" si="8"/>
        <v>0</v>
      </c>
      <c r="J249" s="203"/>
    </row>
    <row r="250" spans="1:10" ht="15.75" x14ac:dyDescent="0.25">
      <c r="A250" s="187" t="e">
        <f t="shared" si="9"/>
        <v>#REF!</v>
      </c>
      <c r="B250" s="200"/>
      <c r="C250" s="187"/>
      <c r="D250" s="187"/>
      <c r="E250" s="187"/>
      <c r="F250" s="199" t="e">
        <f>VLOOKUP(E250,'[1]BẢNG MÃ RING'!$A$2:$C$322,2,0)</f>
        <v>#N/A</v>
      </c>
      <c r="G250" s="206"/>
      <c r="H250" s="188">
        <f>IFERROR(VLOOKUP(E250,'[1]BẢNG MÃ RING'!$A$2:$C$322,3,0),0)</f>
        <v>0</v>
      </c>
      <c r="I250" s="188">
        <f t="shared" si="8"/>
        <v>0</v>
      </c>
      <c r="J250" s="203"/>
    </row>
    <row r="251" spans="1:10" ht="15.75" x14ac:dyDescent="0.25">
      <c r="A251" s="187" t="e">
        <f t="shared" si="9"/>
        <v>#REF!</v>
      </c>
      <c r="B251" s="200"/>
      <c r="C251" s="187"/>
      <c r="D251" s="187"/>
      <c r="E251" s="187"/>
      <c r="F251" s="199" t="e">
        <f>VLOOKUP(E251,'[1]BẢNG MÃ RING'!$A$2:$C$322,2,0)</f>
        <v>#N/A</v>
      </c>
      <c r="G251" s="206"/>
      <c r="H251" s="188">
        <f>IFERROR(VLOOKUP(E251,'[1]BẢNG MÃ RING'!$A$2:$C$322,3,0),0)</f>
        <v>0</v>
      </c>
      <c r="I251" s="188">
        <f t="shared" si="8"/>
        <v>0</v>
      </c>
      <c r="J251" s="203"/>
    </row>
    <row r="252" spans="1:10" ht="15.75" x14ac:dyDescent="0.25">
      <c r="A252" s="187" t="e">
        <f t="shared" si="9"/>
        <v>#REF!</v>
      </c>
      <c r="B252" s="200"/>
      <c r="C252" s="187"/>
      <c r="D252" s="187"/>
      <c r="E252" s="187"/>
      <c r="F252" s="199" t="e">
        <f>VLOOKUP(E252,'[1]BẢNG MÃ RING'!$A$2:$C$322,2,0)</f>
        <v>#N/A</v>
      </c>
      <c r="G252" s="206"/>
      <c r="H252" s="188">
        <f>IFERROR(VLOOKUP(E252,'[1]BẢNG MÃ RING'!$A$2:$C$322,3,0),0)</f>
        <v>0</v>
      </c>
      <c r="I252" s="188">
        <f t="shared" si="8"/>
        <v>0</v>
      </c>
      <c r="J252" s="203"/>
    </row>
    <row r="253" spans="1:10" ht="15.75" x14ac:dyDescent="0.25">
      <c r="A253" s="187" t="e">
        <f t="shared" si="9"/>
        <v>#REF!</v>
      </c>
      <c r="B253" s="200"/>
      <c r="C253" s="187"/>
      <c r="D253" s="187"/>
      <c r="E253" s="187"/>
      <c r="F253" s="199" t="e">
        <f>VLOOKUP(E253,'[1]BẢNG MÃ RING'!$A$2:$C$322,2,0)</f>
        <v>#N/A</v>
      </c>
      <c r="G253" s="206"/>
      <c r="H253" s="188">
        <f>IFERROR(VLOOKUP(E253,'[1]BẢNG MÃ RING'!$A$2:$C$322,3,0),0)</f>
        <v>0</v>
      </c>
      <c r="I253" s="188">
        <f t="shared" si="8"/>
        <v>0</v>
      </c>
      <c r="J253" s="203"/>
    </row>
    <row r="254" spans="1:10" ht="15.75" x14ac:dyDescent="0.25">
      <c r="A254" s="187" t="e">
        <f t="shared" si="9"/>
        <v>#REF!</v>
      </c>
      <c r="B254" s="200"/>
      <c r="C254" s="187"/>
      <c r="D254" s="187"/>
      <c r="E254" s="187"/>
      <c r="F254" s="199" t="e">
        <f>VLOOKUP(E254,'[1]BẢNG MÃ RING'!$A$2:$C$322,2,0)</f>
        <v>#N/A</v>
      </c>
      <c r="G254" s="206"/>
      <c r="H254" s="188">
        <f>IFERROR(VLOOKUP(E254,'[1]BẢNG MÃ RING'!$A$2:$C$322,3,0),0)</f>
        <v>0</v>
      </c>
      <c r="I254" s="188">
        <f t="shared" si="8"/>
        <v>0</v>
      </c>
      <c r="J254" s="203"/>
    </row>
    <row r="255" spans="1:10" ht="15.75" x14ac:dyDescent="0.25">
      <c r="A255" s="187" t="e">
        <f t="shared" si="9"/>
        <v>#REF!</v>
      </c>
      <c r="B255" s="200"/>
      <c r="C255" s="187"/>
      <c r="D255" s="187"/>
      <c r="E255" s="187"/>
      <c r="F255" s="199" t="e">
        <f>VLOOKUP(E255,'[1]BẢNG MÃ RING'!$A$2:$C$322,2,0)</f>
        <v>#N/A</v>
      </c>
      <c r="G255" s="206"/>
      <c r="H255" s="188">
        <f>IFERROR(VLOOKUP(E255,'[1]BẢNG MÃ RING'!$A$2:$C$322,3,0),0)</f>
        <v>0</v>
      </c>
      <c r="I255" s="188">
        <f t="shared" si="8"/>
        <v>0</v>
      </c>
      <c r="J255" s="203"/>
    </row>
    <row r="256" spans="1:10" ht="15.75" x14ac:dyDescent="0.25">
      <c r="A256" s="187" t="e">
        <f t="shared" si="9"/>
        <v>#REF!</v>
      </c>
      <c r="B256" s="200"/>
      <c r="C256" s="187"/>
      <c r="D256" s="187"/>
      <c r="E256" s="187"/>
      <c r="F256" s="199" t="e">
        <f>VLOOKUP(E256,'[1]BẢNG MÃ RING'!$A$2:$C$322,2,0)</f>
        <v>#N/A</v>
      </c>
      <c r="G256" s="206"/>
      <c r="H256" s="188">
        <f>IFERROR(VLOOKUP(E256,'[1]BẢNG MÃ RING'!$A$2:$C$322,3,0),0)</f>
        <v>0</v>
      </c>
      <c r="I256" s="188">
        <f t="shared" si="8"/>
        <v>0</v>
      </c>
      <c r="J256" s="203"/>
    </row>
    <row r="257" spans="1:10" ht="15.75" x14ac:dyDescent="0.25">
      <c r="A257" s="187" t="e">
        <f t="shared" si="9"/>
        <v>#REF!</v>
      </c>
      <c r="B257" s="200"/>
      <c r="C257" s="187"/>
      <c r="D257" s="187"/>
      <c r="E257" s="187"/>
      <c r="F257" s="199" t="e">
        <f>VLOOKUP(E257,'[1]BẢNG MÃ RING'!$A$2:$C$322,2,0)</f>
        <v>#N/A</v>
      </c>
      <c r="G257" s="206"/>
      <c r="H257" s="188">
        <f>IFERROR(VLOOKUP(E257,'[1]BẢNG MÃ RING'!$A$2:$C$322,3,0),0)</f>
        <v>0</v>
      </c>
      <c r="I257" s="188">
        <f t="shared" si="8"/>
        <v>0</v>
      </c>
      <c r="J257" s="203"/>
    </row>
    <row r="258" spans="1:10" ht="15.75" x14ac:dyDescent="0.25">
      <c r="A258" s="187" t="e">
        <f t="shared" si="9"/>
        <v>#REF!</v>
      </c>
      <c r="B258" s="200"/>
      <c r="C258" s="187"/>
      <c r="D258" s="187"/>
      <c r="E258" s="187"/>
      <c r="F258" s="199" t="e">
        <f>VLOOKUP(E258,'[1]BẢNG MÃ RING'!$A$2:$C$322,2,0)</f>
        <v>#N/A</v>
      </c>
      <c r="G258" s="206"/>
      <c r="H258" s="188">
        <f>IFERROR(VLOOKUP(E258,'[1]BẢNG MÃ RING'!$A$2:$C$322,3,0),0)</f>
        <v>0</v>
      </c>
      <c r="I258" s="188">
        <f t="shared" si="8"/>
        <v>0</v>
      </c>
      <c r="J258" s="203"/>
    </row>
    <row r="259" spans="1:10" ht="15.75" x14ac:dyDescent="0.25">
      <c r="A259" s="187" t="e">
        <f t="shared" si="9"/>
        <v>#REF!</v>
      </c>
      <c r="B259" s="200"/>
      <c r="C259" s="187"/>
      <c r="D259" s="187"/>
      <c r="E259" s="187"/>
      <c r="F259" s="199" t="e">
        <f>VLOOKUP(E259,'[1]BẢNG MÃ RING'!$A$2:$C$322,2,0)</f>
        <v>#N/A</v>
      </c>
      <c r="G259" s="206"/>
      <c r="H259" s="188">
        <f>IFERROR(VLOOKUP(E259,'[1]BẢNG MÃ RING'!$A$2:$C$322,3,0),0)</f>
        <v>0</v>
      </c>
      <c r="I259" s="188">
        <f t="shared" si="8"/>
        <v>0</v>
      </c>
      <c r="J259" s="203"/>
    </row>
    <row r="260" spans="1:10" ht="15.75" x14ac:dyDescent="0.25">
      <c r="A260" s="187" t="e">
        <f t="shared" si="9"/>
        <v>#REF!</v>
      </c>
      <c r="B260" s="200"/>
      <c r="C260" s="187"/>
      <c r="D260" s="187"/>
      <c r="E260" s="187"/>
      <c r="F260" s="199" t="e">
        <f>VLOOKUP(E260,'[1]BẢNG MÃ RING'!$A$2:$C$322,2,0)</f>
        <v>#N/A</v>
      </c>
      <c r="G260" s="206"/>
      <c r="H260" s="188">
        <f>IFERROR(VLOOKUP(E260,'[1]BẢNG MÃ RING'!$A$2:$C$322,3,0),0)</f>
        <v>0</v>
      </c>
      <c r="I260" s="188">
        <f t="shared" si="8"/>
        <v>0</v>
      </c>
      <c r="J260" s="203"/>
    </row>
    <row r="261" spans="1:10" ht="15.75" x14ac:dyDescent="0.25">
      <c r="A261" s="187" t="e">
        <f t="shared" si="9"/>
        <v>#REF!</v>
      </c>
      <c r="B261" s="200"/>
      <c r="C261" s="187"/>
      <c r="D261" s="187"/>
      <c r="E261" s="187"/>
      <c r="F261" s="199" t="e">
        <f>VLOOKUP(E261,'[1]BẢNG MÃ RING'!$A$2:$C$322,2,0)</f>
        <v>#N/A</v>
      </c>
      <c r="G261" s="206"/>
      <c r="H261" s="188">
        <f>IFERROR(VLOOKUP(E261,'[1]BẢNG MÃ RING'!$A$2:$C$322,3,0),0)</f>
        <v>0</v>
      </c>
      <c r="I261" s="188">
        <f t="shared" si="8"/>
        <v>0</v>
      </c>
      <c r="J261" s="203"/>
    </row>
    <row r="262" spans="1:10" ht="15.75" x14ac:dyDescent="0.25">
      <c r="A262" s="187" t="e">
        <f t="shared" si="9"/>
        <v>#REF!</v>
      </c>
      <c r="B262" s="200"/>
      <c r="C262" s="187"/>
      <c r="D262" s="187"/>
      <c r="E262" s="187"/>
      <c r="F262" s="199" t="e">
        <f>VLOOKUP(E262,'[1]BẢNG MÃ RING'!$A$2:$C$322,2,0)</f>
        <v>#N/A</v>
      </c>
      <c r="G262" s="206"/>
      <c r="H262" s="188">
        <f>IFERROR(VLOOKUP(E262,'[1]BẢNG MÃ RING'!$A$2:$C$322,3,0),0)</f>
        <v>0</v>
      </c>
      <c r="I262" s="188">
        <f t="shared" si="8"/>
        <v>0</v>
      </c>
      <c r="J262" s="203"/>
    </row>
    <row r="263" spans="1:10" ht="15.75" x14ac:dyDescent="0.25">
      <c r="A263" s="187" t="e">
        <f t="shared" si="9"/>
        <v>#REF!</v>
      </c>
      <c r="B263" s="200"/>
      <c r="C263" s="187"/>
      <c r="D263" s="187"/>
      <c r="E263" s="187"/>
      <c r="F263" s="199" t="e">
        <f>VLOOKUP(E263,'[1]BẢNG MÃ RING'!$A$2:$C$322,2,0)</f>
        <v>#N/A</v>
      </c>
      <c r="G263" s="206"/>
      <c r="H263" s="188">
        <f>IFERROR(VLOOKUP(E263,'[1]BẢNG MÃ RING'!$A$2:$C$322,3,0),0)</f>
        <v>0</v>
      </c>
      <c r="I263" s="188">
        <f t="shared" si="8"/>
        <v>0</v>
      </c>
      <c r="J263" s="203"/>
    </row>
    <row r="264" spans="1:10" ht="15.75" x14ac:dyDescent="0.25">
      <c r="A264" s="187" t="e">
        <f t="shared" si="9"/>
        <v>#REF!</v>
      </c>
      <c r="B264" s="200"/>
      <c r="C264" s="187"/>
      <c r="D264" s="187"/>
      <c r="E264" s="187"/>
      <c r="F264" s="199" t="e">
        <f>VLOOKUP(E264,'[1]BẢNG MÃ RING'!$A$2:$C$322,2,0)</f>
        <v>#N/A</v>
      </c>
      <c r="G264" s="206"/>
      <c r="H264" s="188">
        <f>IFERROR(VLOOKUP(E264,'[1]BẢNG MÃ RING'!$A$2:$C$322,3,0),0)</f>
        <v>0</v>
      </c>
      <c r="I264" s="188">
        <f t="shared" si="8"/>
        <v>0</v>
      </c>
      <c r="J264" s="203"/>
    </row>
    <row r="265" spans="1:10" ht="15.75" x14ac:dyDescent="0.25">
      <c r="A265" s="187" t="e">
        <f t="shared" si="9"/>
        <v>#REF!</v>
      </c>
      <c r="B265" s="200"/>
      <c r="C265" s="187"/>
      <c r="D265" s="187"/>
      <c r="E265" s="187"/>
      <c r="F265" s="199" t="e">
        <f>VLOOKUP(E265,'[1]BẢNG MÃ RING'!$A$2:$C$322,2,0)</f>
        <v>#N/A</v>
      </c>
      <c r="G265" s="206"/>
      <c r="H265" s="188">
        <f>IFERROR(VLOOKUP(E265,'[1]BẢNG MÃ RING'!$A$2:$C$322,3,0),0)</f>
        <v>0</v>
      </c>
      <c r="I265" s="188">
        <f t="shared" si="8"/>
        <v>0</v>
      </c>
      <c r="J265" s="203"/>
    </row>
    <row r="266" spans="1:10" ht="15.75" x14ac:dyDescent="0.25">
      <c r="A266" s="187" t="e">
        <f t="shared" si="9"/>
        <v>#REF!</v>
      </c>
      <c r="B266" s="200"/>
      <c r="C266" s="187"/>
      <c r="D266" s="187"/>
      <c r="E266" s="187"/>
      <c r="F266" s="199" t="e">
        <f>VLOOKUP(E266,'[1]BẢNG MÃ RING'!$A$2:$C$322,2,0)</f>
        <v>#N/A</v>
      </c>
      <c r="G266" s="206"/>
      <c r="H266" s="188">
        <f>IFERROR(VLOOKUP(E266,'[1]BẢNG MÃ RING'!$A$2:$C$322,3,0),0)</f>
        <v>0</v>
      </c>
      <c r="I266" s="188">
        <f t="shared" si="8"/>
        <v>0</v>
      </c>
      <c r="J266" s="203"/>
    </row>
    <row r="267" spans="1:10" ht="15.75" x14ac:dyDescent="0.25">
      <c r="A267" s="187" t="e">
        <f t="shared" si="9"/>
        <v>#REF!</v>
      </c>
      <c r="B267" s="200"/>
      <c r="C267" s="187"/>
      <c r="D267" s="187"/>
      <c r="E267" s="187"/>
      <c r="F267" s="199" t="e">
        <f>VLOOKUP(E267,'[1]BẢNG MÃ RING'!$A$2:$C$322,2,0)</f>
        <v>#N/A</v>
      </c>
      <c r="G267" s="206"/>
      <c r="H267" s="188">
        <f>IFERROR(VLOOKUP(E267,'[1]BẢNG MÃ RING'!$A$2:$C$322,3,0),0)</f>
        <v>0</v>
      </c>
      <c r="I267" s="188">
        <f t="shared" si="8"/>
        <v>0</v>
      </c>
      <c r="J267" s="203"/>
    </row>
    <row r="268" spans="1:10" ht="15.75" x14ac:dyDescent="0.25">
      <c r="A268" s="187" t="e">
        <f t="shared" si="9"/>
        <v>#REF!</v>
      </c>
      <c r="B268" s="200"/>
      <c r="C268" s="187"/>
      <c r="D268" s="187"/>
      <c r="E268" s="187"/>
      <c r="F268" s="199" t="e">
        <f>VLOOKUP(E268,'[1]BẢNG MÃ RING'!$A$2:$C$322,2,0)</f>
        <v>#N/A</v>
      </c>
      <c r="G268" s="206"/>
      <c r="H268" s="188">
        <f>IFERROR(VLOOKUP(E268,'[1]BẢNG MÃ RING'!$A$2:$C$322,3,0),0)</f>
        <v>0</v>
      </c>
      <c r="I268" s="188">
        <f t="shared" si="8"/>
        <v>0</v>
      </c>
      <c r="J268" s="203"/>
    </row>
    <row r="269" spans="1:10" ht="15.75" x14ac:dyDescent="0.25">
      <c r="A269" s="187" t="e">
        <f t="shared" si="9"/>
        <v>#REF!</v>
      </c>
      <c r="B269" s="200"/>
      <c r="C269" s="187"/>
      <c r="D269" s="187"/>
      <c r="E269" s="187"/>
      <c r="F269" s="199" t="e">
        <f>VLOOKUP(E269,'[1]BẢNG MÃ RING'!$A$2:$C$322,2,0)</f>
        <v>#N/A</v>
      </c>
      <c r="G269" s="206"/>
      <c r="H269" s="188">
        <f>IFERROR(VLOOKUP(E269,'[1]BẢNG MÃ RING'!$A$2:$C$322,3,0),0)</f>
        <v>0</v>
      </c>
      <c r="I269" s="188">
        <f t="shared" si="8"/>
        <v>0</v>
      </c>
      <c r="J269" s="203"/>
    </row>
    <row r="270" spans="1:10" ht="15.75" x14ac:dyDescent="0.25">
      <c r="A270" s="187" t="e">
        <f t="shared" ref="A270:A302" si="10">IF(AND( A269="",A268=""),1,IF(B270="","",IF(B269="",A268+1,A269+1)))</f>
        <v>#REF!</v>
      </c>
      <c r="B270" s="200"/>
      <c r="C270" s="187"/>
      <c r="D270" s="187"/>
      <c r="E270" s="187"/>
      <c r="F270" s="199" t="e">
        <f>VLOOKUP(E270,'[1]BẢNG MÃ RING'!$A$2:$C$322,2,0)</f>
        <v>#N/A</v>
      </c>
      <c r="G270" s="206"/>
      <c r="H270" s="188">
        <f>IFERROR(VLOOKUP(E270,'[1]BẢNG MÃ RING'!$A$2:$C$322,3,0),0)</f>
        <v>0</v>
      </c>
      <c r="I270" s="188">
        <f t="shared" ref="I270:I302" si="11">H270*G270</f>
        <v>0</v>
      </c>
      <c r="J270" s="203"/>
    </row>
    <row r="271" spans="1:10" ht="15.75" x14ac:dyDescent="0.25">
      <c r="A271" s="187" t="e">
        <f t="shared" si="10"/>
        <v>#REF!</v>
      </c>
      <c r="B271" s="200"/>
      <c r="C271" s="187"/>
      <c r="D271" s="187"/>
      <c r="E271" s="187"/>
      <c r="F271" s="199" t="e">
        <f>VLOOKUP(E271,'[1]BẢNG MÃ RING'!$A$2:$C$322,2,0)</f>
        <v>#N/A</v>
      </c>
      <c r="G271" s="206"/>
      <c r="H271" s="188">
        <f>IFERROR(VLOOKUP(E271,'[1]BẢNG MÃ RING'!$A$2:$C$322,3,0),0)</f>
        <v>0</v>
      </c>
      <c r="I271" s="188">
        <f t="shared" si="11"/>
        <v>0</v>
      </c>
      <c r="J271" s="203"/>
    </row>
    <row r="272" spans="1:10" ht="15.75" x14ac:dyDescent="0.25">
      <c r="A272" s="187" t="e">
        <f t="shared" si="10"/>
        <v>#REF!</v>
      </c>
      <c r="B272" s="200"/>
      <c r="C272" s="187"/>
      <c r="D272" s="187"/>
      <c r="E272" s="187"/>
      <c r="F272" s="199" t="e">
        <f>VLOOKUP(E272,'[1]BẢNG MÃ RING'!$A$2:$C$322,2,0)</f>
        <v>#N/A</v>
      </c>
      <c r="G272" s="206"/>
      <c r="H272" s="188">
        <f>IFERROR(VLOOKUP(E272,'[1]BẢNG MÃ RING'!$A$2:$C$322,3,0),0)</f>
        <v>0</v>
      </c>
      <c r="I272" s="188">
        <f t="shared" si="11"/>
        <v>0</v>
      </c>
      <c r="J272" s="203"/>
    </row>
    <row r="273" spans="1:10" ht="15.75" x14ac:dyDescent="0.25">
      <c r="A273" s="187" t="e">
        <f t="shared" si="10"/>
        <v>#REF!</v>
      </c>
      <c r="B273" s="200"/>
      <c r="C273" s="187"/>
      <c r="D273" s="187"/>
      <c r="E273" s="187"/>
      <c r="F273" s="199" t="e">
        <f>VLOOKUP(E273,'[1]BẢNG MÃ RING'!$A$2:$C$322,2,0)</f>
        <v>#N/A</v>
      </c>
      <c r="G273" s="206"/>
      <c r="H273" s="188">
        <f>IFERROR(VLOOKUP(E273,'[1]BẢNG MÃ RING'!$A$2:$C$322,3,0),0)</f>
        <v>0</v>
      </c>
      <c r="I273" s="188">
        <f t="shared" si="11"/>
        <v>0</v>
      </c>
      <c r="J273" s="203"/>
    </row>
    <row r="274" spans="1:10" ht="15.75" x14ac:dyDescent="0.25">
      <c r="A274" s="187" t="e">
        <f t="shared" si="10"/>
        <v>#REF!</v>
      </c>
      <c r="B274" s="200"/>
      <c r="C274" s="187"/>
      <c r="D274" s="187"/>
      <c r="E274" s="187"/>
      <c r="F274" s="199" t="e">
        <f>VLOOKUP(E274,'[1]BẢNG MÃ RING'!$A$2:$C$322,2,0)</f>
        <v>#N/A</v>
      </c>
      <c r="G274" s="206"/>
      <c r="H274" s="188">
        <f>IFERROR(VLOOKUP(E274,'[1]BẢNG MÃ RING'!$A$2:$C$322,3,0),0)</f>
        <v>0</v>
      </c>
      <c r="I274" s="188">
        <f t="shared" si="11"/>
        <v>0</v>
      </c>
      <c r="J274" s="203"/>
    </row>
    <row r="275" spans="1:10" ht="15.75" x14ac:dyDescent="0.25">
      <c r="A275" s="187" t="e">
        <f t="shared" si="10"/>
        <v>#REF!</v>
      </c>
      <c r="B275" s="200"/>
      <c r="C275" s="187"/>
      <c r="D275" s="187"/>
      <c r="E275" s="187"/>
      <c r="F275" s="199" t="e">
        <f>VLOOKUP(E275,'[1]BẢNG MÃ RING'!$A$2:$C$322,2,0)</f>
        <v>#N/A</v>
      </c>
      <c r="G275" s="206"/>
      <c r="H275" s="188">
        <f>IFERROR(VLOOKUP(E275,'[1]BẢNG MÃ RING'!$A$2:$C$322,3,0),0)</f>
        <v>0</v>
      </c>
      <c r="I275" s="188">
        <f t="shared" si="11"/>
        <v>0</v>
      </c>
      <c r="J275" s="203"/>
    </row>
    <row r="276" spans="1:10" ht="15.75" x14ac:dyDescent="0.25">
      <c r="A276" s="187" t="e">
        <f t="shared" si="10"/>
        <v>#REF!</v>
      </c>
      <c r="B276" s="200"/>
      <c r="C276" s="187"/>
      <c r="D276" s="187"/>
      <c r="E276" s="187"/>
      <c r="F276" s="199" t="e">
        <f>VLOOKUP(E276,'[1]BẢNG MÃ RING'!$A$2:$C$322,2,0)</f>
        <v>#N/A</v>
      </c>
      <c r="G276" s="206"/>
      <c r="H276" s="188">
        <f>IFERROR(VLOOKUP(E276,'[1]BẢNG MÃ RING'!$A$2:$C$322,3,0),0)</f>
        <v>0</v>
      </c>
      <c r="I276" s="188">
        <f t="shared" si="11"/>
        <v>0</v>
      </c>
      <c r="J276" s="203"/>
    </row>
    <row r="277" spans="1:10" ht="15.75" x14ac:dyDescent="0.25">
      <c r="A277" s="187" t="e">
        <f t="shared" si="10"/>
        <v>#REF!</v>
      </c>
      <c r="B277" s="200"/>
      <c r="C277" s="187"/>
      <c r="D277" s="187"/>
      <c r="E277" s="187"/>
      <c r="F277" s="199" t="e">
        <f>VLOOKUP(E277,'[1]BẢNG MÃ RING'!$A$2:$C$322,2,0)</f>
        <v>#N/A</v>
      </c>
      <c r="G277" s="206"/>
      <c r="H277" s="188">
        <f>IFERROR(VLOOKUP(E277,'[1]BẢNG MÃ RING'!$A$2:$C$322,3,0),0)</f>
        <v>0</v>
      </c>
      <c r="I277" s="188">
        <f t="shared" si="11"/>
        <v>0</v>
      </c>
      <c r="J277" s="203"/>
    </row>
    <row r="278" spans="1:10" ht="15.75" x14ac:dyDescent="0.25">
      <c r="A278" s="187" t="e">
        <f t="shared" si="10"/>
        <v>#REF!</v>
      </c>
      <c r="B278" s="200"/>
      <c r="C278" s="187"/>
      <c r="D278" s="187"/>
      <c r="E278" s="187"/>
      <c r="F278" s="199" t="e">
        <f>VLOOKUP(E278,'[1]BẢNG MÃ RING'!$A$2:$C$322,2,0)</f>
        <v>#N/A</v>
      </c>
      <c r="G278" s="206"/>
      <c r="H278" s="188">
        <f>IFERROR(VLOOKUP(E278,'[1]BẢNG MÃ RING'!$A$2:$C$322,3,0),0)</f>
        <v>0</v>
      </c>
      <c r="I278" s="188">
        <f t="shared" si="11"/>
        <v>0</v>
      </c>
      <c r="J278" s="203"/>
    </row>
    <row r="279" spans="1:10" ht="15.75" x14ac:dyDescent="0.25">
      <c r="A279" s="187" t="e">
        <f t="shared" si="10"/>
        <v>#REF!</v>
      </c>
      <c r="B279" s="200"/>
      <c r="C279" s="187"/>
      <c r="D279" s="187"/>
      <c r="E279" s="187"/>
      <c r="F279" s="199" t="e">
        <f>VLOOKUP(E279,'[1]BẢNG MÃ RING'!$A$2:$C$322,2,0)</f>
        <v>#N/A</v>
      </c>
      <c r="G279" s="206"/>
      <c r="H279" s="188">
        <f>IFERROR(VLOOKUP(E279,'[1]BẢNG MÃ RING'!$A$2:$C$322,3,0),0)</f>
        <v>0</v>
      </c>
      <c r="I279" s="188">
        <f t="shared" si="11"/>
        <v>0</v>
      </c>
      <c r="J279" s="203"/>
    </row>
    <row r="280" spans="1:10" ht="15.75" x14ac:dyDescent="0.25">
      <c r="A280" s="187" t="e">
        <f t="shared" si="10"/>
        <v>#REF!</v>
      </c>
      <c r="B280" s="200"/>
      <c r="C280" s="187"/>
      <c r="D280" s="187"/>
      <c r="E280" s="187"/>
      <c r="F280" s="199" t="e">
        <f>VLOOKUP(E280,'[1]BẢNG MÃ RING'!$A$2:$C$322,2,0)</f>
        <v>#N/A</v>
      </c>
      <c r="G280" s="206"/>
      <c r="H280" s="188">
        <f>IFERROR(VLOOKUP(E280,'[1]BẢNG MÃ RING'!$A$2:$C$322,3,0),0)</f>
        <v>0</v>
      </c>
      <c r="I280" s="188">
        <f t="shared" si="11"/>
        <v>0</v>
      </c>
      <c r="J280" s="203"/>
    </row>
    <row r="281" spans="1:10" ht="15.75" x14ac:dyDescent="0.25">
      <c r="A281" s="187" t="e">
        <f t="shared" si="10"/>
        <v>#REF!</v>
      </c>
      <c r="B281" s="200"/>
      <c r="C281" s="187"/>
      <c r="D281" s="187"/>
      <c r="E281" s="187"/>
      <c r="F281" s="199" t="e">
        <f>VLOOKUP(E281,'[1]BẢNG MÃ RING'!$A$2:$C$322,2,0)</f>
        <v>#N/A</v>
      </c>
      <c r="G281" s="206"/>
      <c r="H281" s="188">
        <f>IFERROR(VLOOKUP(E281,'[1]BẢNG MÃ RING'!$A$2:$C$322,3,0),0)</f>
        <v>0</v>
      </c>
      <c r="I281" s="188">
        <f t="shared" si="11"/>
        <v>0</v>
      </c>
      <c r="J281" s="203"/>
    </row>
    <row r="282" spans="1:10" ht="15.75" x14ac:dyDescent="0.25">
      <c r="A282" s="187" t="e">
        <f t="shared" si="10"/>
        <v>#REF!</v>
      </c>
      <c r="B282" s="200"/>
      <c r="C282" s="187"/>
      <c r="D282" s="187"/>
      <c r="E282" s="187"/>
      <c r="F282" s="199" t="e">
        <f>VLOOKUP(E282,'[1]BẢNG MÃ RING'!$A$2:$C$322,2,0)</f>
        <v>#N/A</v>
      </c>
      <c r="G282" s="206"/>
      <c r="H282" s="188">
        <f>IFERROR(VLOOKUP(E282,'[1]BẢNG MÃ RING'!$A$2:$C$322,3,0),0)</f>
        <v>0</v>
      </c>
      <c r="I282" s="188">
        <f t="shared" si="11"/>
        <v>0</v>
      </c>
      <c r="J282" s="203"/>
    </row>
    <row r="283" spans="1:10" ht="15.75" x14ac:dyDescent="0.25">
      <c r="A283" s="187" t="e">
        <f t="shared" si="10"/>
        <v>#REF!</v>
      </c>
      <c r="B283" s="200"/>
      <c r="C283" s="187"/>
      <c r="D283" s="187"/>
      <c r="E283" s="187"/>
      <c r="F283" s="199" t="e">
        <f>VLOOKUP(E283,'[1]BẢNG MÃ RING'!$A$2:$C$322,2,0)</f>
        <v>#N/A</v>
      </c>
      <c r="G283" s="206"/>
      <c r="H283" s="188">
        <f>IFERROR(VLOOKUP(E283,'[1]BẢNG MÃ RING'!$A$2:$C$322,3,0),0)</f>
        <v>0</v>
      </c>
      <c r="I283" s="188">
        <f t="shared" si="11"/>
        <v>0</v>
      </c>
      <c r="J283" s="203"/>
    </row>
    <row r="284" spans="1:10" ht="15.75" x14ac:dyDescent="0.25">
      <c r="A284" s="187" t="e">
        <f t="shared" si="10"/>
        <v>#REF!</v>
      </c>
      <c r="B284" s="200"/>
      <c r="C284" s="187"/>
      <c r="D284" s="187"/>
      <c r="E284" s="187"/>
      <c r="F284" s="199" t="e">
        <f>VLOOKUP(E284,'[1]BẢNG MÃ RING'!$A$2:$C$322,2,0)</f>
        <v>#N/A</v>
      </c>
      <c r="G284" s="206"/>
      <c r="H284" s="188">
        <f>IFERROR(VLOOKUP(E284,'[1]BẢNG MÃ RING'!$A$2:$C$322,3,0),0)</f>
        <v>0</v>
      </c>
      <c r="I284" s="188">
        <f t="shared" si="11"/>
        <v>0</v>
      </c>
      <c r="J284" s="203"/>
    </row>
    <row r="285" spans="1:10" ht="15.75" x14ac:dyDescent="0.25">
      <c r="A285" s="187" t="e">
        <f t="shared" si="10"/>
        <v>#REF!</v>
      </c>
      <c r="B285" s="200"/>
      <c r="C285" s="187"/>
      <c r="D285" s="187"/>
      <c r="E285" s="187"/>
      <c r="F285" s="199" t="e">
        <f>VLOOKUP(E285,'[1]BẢNG MÃ RING'!$A$2:$C$322,2,0)</f>
        <v>#N/A</v>
      </c>
      <c r="G285" s="206"/>
      <c r="H285" s="188">
        <f>IFERROR(VLOOKUP(E285,'[1]BẢNG MÃ RING'!$A$2:$C$322,3,0),0)</f>
        <v>0</v>
      </c>
      <c r="I285" s="188">
        <f t="shared" si="11"/>
        <v>0</v>
      </c>
      <c r="J285" s="203"/>
    </row>
    <row r="286" spans="1:10" ht="15.75" x14ac:dyDescent="0.25">
      <c r="A286" s="187" t="e">
        <f t="shared" si="10"/>
        <v>#REF!</v>
      </c>
      <c r="B286" s="200"/>
      <c r="C286" s="187"/>
      <c r="D286" s="187"/>
      <c r="E286" s="187"/>
      <c r="F286" s="199" t="e">
        <f>VLOOKUP(E286,'[1]BẢNG MÃ RING'!$A$2:$C$322,2,0)</f>
        <v>#N/A</v>
      </c>
      <c r="G286" s="206"/>
      <c r="H286" s="188">
        <f>IFERROR(VLOOKUP(E286,'[1]BẢNG MÃ RING'!$A$2:$C$322,3,0),0)</f>
        <v>0</v>
      </c>
      <c r="I286" s="188">
        <f t="shared" si="11"/>
        <v>0</v>
      </c>
      <c r="J286" s="203"/>
    </row>
    <row r="287" spans="1:10" ht="15.75" x14ac:dyDescent="0.25">
      <c r="A287" s="187" t="e">
        <f t="shared" si="10"/>
        <v>#REF!</v>
      </c>
      <c r="B287" s="200"/>
      <c r="C287" s="187"/>
      <c r="D287" s="187"/>
      <c r="E287" s="187"/>
      <c r="F287" s="199" t="e">
        <f>VLOOKUP(E287,'[1]BẢNG MÃ RING'!$A$2:$C$322,2,0)</f>
        <v>#N/A</v>
      </c>
      <c r="G287" s="206"/>
      <c r="H287" s="188">
        <f>IFERROR(VLOOKUP(E287,'[1]BẢNG MÃ RING'!$A$2:$C$322,3,0),0)</f>
        <v>0</v>
      </c>
      <c r="I287" s="188">
        <f t="shared" si="11"/>
        <v>0</v>
      </c>
      <c r="J287" s="203"/>
    </row>
    <row r="288" spans="1:10" ht="15.75" x14ac:dyDescent="0.25">
      <c r="A288" s="187" t="e">
        <f t="shared" si="10"/>
        <v>#REF!</v>
      </c>
      <c r="B288" s="200"/>
      <c r="C288" s="187"/>
      <c r="D288" s="187"/>
      <c r="E288" s="187"/>
      <c r="F288" s="199" t="e">
        <f>VLOOKUP(E288,'[1]BẢNG MÃ RING'!$A$2:$C$322,2,0)</f>
        <v>#N/A</v>
      </c>
      <c r="G288" s="206"/>
      <c r="H288" s="188">
        <f>IFERROR(VLOOKUP(E288,'[1]BẢNG MÃ RING'!$A$2:$C$322,3,0),0)</f>
        <v>0</v>
      </c>
      <c r="I288" s="188">
        <f t="shared" si="11"/>
        <v>0</v>
      </c>
      <c r="J288" s="203"/>
    </row>
    <row r="289" spans="1:10" ht="15.75" x14ac:dyDescent="0.25">
      <c r="A289" s="187" t="e">
        <f t="shared" si="10"/>
        <v>#REF!</v>
      </c>
      <c r="B289" s="200"/>
      <c r="C289" s="187"/>
      <c r="D289" s="187"/>
      <c r="E289" s="187"/>
      <c r="F289" s="199" t="e">
        <f>VLOOKUP(E289,'[1]BẢNG MÃ RING'!$A$2:$C$322,2,0)</f>
        <v>#N/A</v>
      </c>
      <c r="G289" s="206"/>
      <c r="H289" s="188">
        <f>IFERROR(VLOOKUP(E289,'[1]BẢNG MÃ RING'!$A$2:$C$322,3,0),0)</f>
        <v>0</v>
      </c>
      <c r="I289" s="188">
        <f t="shared" si="11"/>
        <v>0</v>
      </c>
      <c r="J289" s="203"/>
    </row>
    <row r="290" spans="1:10" ht="15.75" x14ac:dyDescent="0.25">
      <c r="A290" s="187" t="e">
        <f t="shared" si="10"/>
        <v>#REF!</v>
      </c>
      <c r="B290" s="200"/>
      <c r="C290" s="187"/>
      <c r="D290" s="187"/>
      <c r="E290" s="187"/>
      <c r="F290" s="199" t="e">
        <f>VLOOKUP(E290,'[1]BẢNG MÃ RING'!$A$2:$C$322,2,0)</f>
        <v>#N/A</v>
      </c>
      <c r="G290" s="206"/>
      <c r="H290" s="188">
        <f>IFERROR(VLOOKUP(E290,'[1]BẢNG MÃ RING'!$A$2:$C$322,3,0),0)</f>
        <v>0</v>
      </c>
      <c r="I290" s="188">
        <f t="shared" si="11"/>
        <v>0</v>
      </c>
      <c r="J290" s="203"/>
    </row>
    <row r="291" spans="1:10" ht="15.75" x14ac:dyDescent="0.25">
      <c r="A291" s="187" t="e">
        <f t="shared" si="10"/>
        <v>#REF!</v>
      </c>
      <c r="B291" s="200"/>
      <c r="C291" s="187"/>
      <c r="D291" s="187"/>
      <c r="E291" s="187"/>
      <c r="F291" s="199" t="e">
        <f>VLOOKUP(E291,'[1]BẢNG MÃ RING'!$A$2:$C$322,2,0)</f>
        <v>#N/A</v>
      </c>
      <c r="G291" s="206"/>
      <c r="H291" s="188">
        <f>IFERROR(VLOOKUP(E291,'[1]BẢNG MÃ RING'!$A$2:$C$322,3,0),0)</f>
        <v>0</v>
      </c>
      <c r="I291" s="188">
        <f t="shared" si="11"/>
        <v>0</v>
      </c>
      <c r="J291" s="203"/>
    </row>
    <row r="292" spans="1:10" ht="15.75" x14ac:dyDescent="0.25">
      <c r="A292" s="187" t="e">
        <f t="shared" si="10"/>
        <v>#REF!</v>
      </c>
      <c r="B292" s="200"/>
      <c r="C292" s="187"/>
      <c r="D292" s="187"/>
      <c r="E292" s="187"/>
      <c r="F292" s="199" t="e">
        <f>VLOOKUP(E292,'[1]BẢNG MÃ RING'!$A$2:$C$322,2,0)</f>
        <v>#N/A</v>
      </c>
      <c r="G292" s="206"/>
      <c r="H292" s="188">
        <f>IFERROR(VLOOKUP(E292,'[1]BẢNG MÃ RING'!$A$2:$C$322,3,0),0)</f>
        <v>0</v>
      </c>
      <c r="I292" s="188">
        <f t="shared" si="11"/>
        <v>0</v>
      </c>
      <c r="J292" s="203"/>
    </row>
    <row r="293" spans="1:10" ht="15.75" x14ac:dyDescent="0.25">
      <c r="A293" s="187" t="e">
        <f t="shared" si="10"/>
        <v>#REF!</v>
      </c>
      <c r="B293" s="200"/>
      <c r="C293" s="187"/>
      <c r="D293" s="187"/>
      <c r="E293" s="187"/>
      <c r="F293" s="199" t="e">
        <f>VLOOKUP(E293,'[1]BẢNG MÃ RING'!$A$2:$C$322,2,0)</f>
        <v>#N/A</v>
      </c>
      <c r="G293" s="206"/>
      <c r="H293" s="188">
        <f>IFERROR(VLOOKUP(E293,'[1]BẢNG MÃ RING'!$A$2:$C$322,3,0),0)</f>
        <v>0</v>
      </c>
      <c r="I293" s="188">
        <f t="shared" si="11"/>
        <v>0</v>
      </c>
      <c r="J293" s="203"/>
    </row>
    <row r="294" spans="1:10" ht="15.75" x14ac:dyDescent="0.25">
      <c r="A294" s="187" t="e">
        <f t="shared" si="10"/>
        <v>#REF!</v>
      </c>
      <c r="B294" s="200"/>
      <c r="C294" s="187"/>
      <c r="D294" s="187"/>
      <c r="E294" s="187"/>
      <c r="F294" s="199" t="e">
        <f>VLOOKUP(E294,'[1]BẢNG MÃ RING'!$A$2:$C$322,2,0)</f>
        <v>#N/A</v>
      </c>
      <c r="G294" s="206"/>
      <c r="H294" s="188">
        <f>IFERROR(VLOOKUP(E294,'[1]BẢNG MÃ RING'!$A$2:$C$322,3,0),0)</f>
        <v>0</v>
      </c>
      <c r="I294" s="188">
        <f t="shared" si="11"/>
        <v>0</v>
      </c>
      <c r="J294" s="203"/>
    </row>
    <row r="295" spans="1:10" ht="15.75" x14ac:dyDescent="0.25">
      <c r="A295" s="187" t="e">
        <f t="shared" si="10"/>
        <v>#REF!</v>
      </c>
      <c r="B295" s="200"/>
      <c r="C295" s="187"/>
      <c r="D295" s="187"/>
      <c r="E295" s="187"/>
      <c r="F295" s="199" t="e">
        <f>VLOOKUP(E295,'[1]BẢNG MÃ RING'!$A$2:$C$322,2,0)</f>
        <v>#N/A</v>
      </c>
      <c r="G295" s="206"/>
      <c r="H295" s="188">
        <f>IFERROR(VLOOKUP(E295,'[1]BẢNG MÃ RING'!$A$2:$C$322,3,0),0)</f>
        <v>0</v>
      </c>
      <c r="I295" s="188">
        <f t="shared" si="11"/>
        <v>0</v>
      </c>
      <c r="J295" s="203"/>
    </row>
    <row r="296" spans="1:10" ht="15.75" x14ac:dyDescent="0.25">
      <c r="A296" s="187" t="e">
        <f t="shared" si="10"/>
        <v>#REF!</v>
      </c>
      <c r="B296" s="200"/>
      <c r="C296" s="187"/>
      <c r="D296" s="187"/>
      <c r="E296" s="187"/>
      <c r="F296" s="199" t="e">
        <f>VLOOKUP(E296,'[1]BẢNG MÃ RING'!$A$2:$C$322,2,0)</f>
        <v>#N/A</v>
      </c>
      <c r="G296" s="206"/>
      <c r="H296" s="188">
        <f>IFERROR(VLOOKUP(E296,'[1]BẢNG MÃ RING'!$A$2:$C$322,3,0),0)</f>
        <v>0</v>
      </c>
      <c r="I296" s="188">
        <f t="shared" si="11"/>
        <v>0</v>
      </c>
      <c r="J296" s="203"/>
    </row>
    <row r="297" spans="1:10" ht="15.75" x14ac:dyDescent="0.25">
      <c r="A297" s="187" t="e">
        <f t="shared" si="10"/>
        <v>#REF!</v>
      </c>
      <c r="B297" s="200"/>
      <c r="C297" s="187"/>
      <c r="D297" s="187"/>
      <c r="E297" s="187"/>
      <c r="F297" s="199" t="e">
        <f>VLOOKUP(E297,'[1]BẢNG MÃ RING'!$A$2:$C$322,2,0)</f>
        <v>#N/A</v>
      </c>
      <c r="G297" s="206"/>
      <c r="H297" s="188">
        <f>IFERROR(VLOOKUP(E297,'[1]BẢNG MÃ RING'!$A$2:$C$322,3,0),0)</f>
        <v>0</v>
      </c>
      <c r="I297" s="188">
        <f t="shared" si="11"/>
        <v>0</v>
      </c>
      <c r="J297" s="203"/>
    </row>
    <row r="298" spans="1:10" ht="15.75" x14ac:dyDescent="0.25">
      <c r="A298" s="187" t="e">
        <f t="shared" si="10"/>
        <v>#REF!</v>
      </c>
      <c r="B298" s="200"/>
      <c r="C298" s="187"/>
      <c r="D298" s="187"/>
      <c r="E298" s="187"/>
      <c r="F298" s="199" t="e">
        <f>VLOOKUP(E298,'[1]BẢNG MÃ RING'!$A$2:$C$322,2,0)</f>
        <v>#N/A</v>
      </c>
      <c r="G298" s="206"/>
      <c r="H298" s="188">
        <f>IFERROR(VLOOKUP(E298,'[1]BẢNG MÃ RING'!$A$2:$C$322,3,0),0)</f>
        <v>0</v>
      </c>
      <c r="I298" s="188">
        <f t="shared" si="11"/>
        <v>0</v>
      </c>
      <c r="J298" s="203"/>
    </row>
    <row r="299" spans="1:10" ht="15.75" x14ac:dyDescent="0.25">
      <c r="A299" s="187" t="e">
        <f t="shared" si="10"/>
        <v>#REF!</v>
      </c>
      <c r="B299" s="200"/>
      <c r="C299" s="187"/>
      <c r="D299" s="187"/>
      <c r="E299" s="187"/>
      <c r="F299" s="199" t="e">
        <f>VLOOKUP(E299,'[1]BẢNG MÃ RING'!$A$2:$C$322,2,0)</f>
        <v>#N/A</v>
      </c>
      <c r="G299" s="206"/>
      <c r="H299" s="188">
        <f>IFERROR(VLOOKUP(E299,'[1]BẢNG MÃ RING'!$A$2:$C$322,3,0),0)</f>
        <v>0</v>
      </c>
      <c r="I299" s="188">
        <f t="shared" si="11"/>
        <v>0</v>
      </c>
      <c r="J299" s="203"/>
    </row>
    <row r="300" spans="1:10" ht="15.75" x14ac:dyDescent="0.25">
      <c r="A300" s="187" t="e">
        <f t="shared" si="10"/>
        <v>#REF!</v>
      </c>
      <c r="B300" s="200"/>
      <c r="C300" s="187"/>
      <c r="D300" s="187"/>
      <c r="E300" s="187"/>
      <c r="F300" s="199" t="e">
        <f>VLOOKUP(E300,'[1]BẢNG MÃ RING'!$A$2:$C$322,2,0)</f>
        <v>#N/A</v>
      </c>
      <c r="G300" s="206"/>
      <c r="H300" s="188">
        <f>IFERROR(VLOOKUP(E300,'[1]BẢNG MÃ RING'!$A$2:$C$322,3,0),0)</f>
        <v>0</v>
      </c>
      <c r="I300" s="188">
        <f t="shared" si="11"/>
        <v>0</v>
      </c>
      <c r="J300" s="203"/>
    </row>
    <row r="301" spans="1:10" ht="15.75" x14ac:dyDescent="0.25">
      <c r="A301" s="187" t="e">
        <f t="shared" si="10"/>
        <v>#REF!</v>
      </c>
      <c r="B301" s="200"/>
      <c r="C301" s="187"/>
      <c r="D301" s="187"/>
      <c r="E301" s="187"/>
      <c r="F301" s="199" t="e">
        <f>VLOOKUP(E301,'[1]BẢNG MÃ RING'!$A$2:$C$322,2,0)</f>
        <v>#N/A</v>
      </c>
      <c r="G301" s="206"/>
      <c r="H301" s="188">
        <f>IFERROR(VLOOKUP(E301,'[1]BẢNG MÃ RING'!$A$2:$C$322,3,0),0)</f>
        <v>0</v>
      </c>
      <c r="I301" s="188">
        <f t="shared" si="11"/>
        <v>0</v>
      </c>
      <c r="J301" s="203"/>
    </row>
    <row r="302" spans="1:10" ht="15.75" x14ac:dyDescent="0.25">
      <c r="A302" s="187" t="e">
        <f t="shared" si="10"/>
        <v>#REF!</v>
      </c>
      <c r="B302" s="200"/>
      <c r="C302" s="187"/>
      <c r="D302" s="187"/>
      <c r="E302" s="187"/>
      <c r="F302" s="199" t="e">
        <f>VLOOKUP(E302,'[1]BẢNG MÃ RING'!$A$2:$C$322,2,0)</f>
        <v>#N/A</v>
      </c>
      <c r="G302" s="206"/>
      <c r="H302" s="188">
        <f>IFERROR(VLOOKUP(E302,'[1]BẢNG MÃ RING'!$A$2:$C$322,3,0),0)</f>
        <v>0</v>
      </c>
      <c r="I302" s="188">
        <f t="shared" si="11"/>
        <v>0</v>
      </c>
      <c r="J302" s="203"/>
    </row>
    <row r="303" spans="1:10" x14ac:dyDescent="0.25">
      <c r="B303" s="200"/>
      <c r="G303" s="206"/>
      <c r="J303" s="203"/>
    </row>
    <row r="304" spans="1:10" x14ac:dyDescent="0.25">
      <c r="B304" s="200"/>
      <c r="G304" s="206"/>
      <c r="J304" s="203"/>
    </row>
    <row r="305" spans="2:10" x14ac:dyDescent="0.25">
      <c r="B305" s="200"/>
      <c r="G305" s="206"/>
      <c r="J305" s="203"/>
    </row>
    <row r="306" spans="2:10" x14ac:dyDescent="0.25">
      <c r="B306" s="200"/>
      <c r="G306" s="206"/>
      <c r="J306" s="203"/>
    </row>
    <row r="307" spans="2:10" x14ac:dyDescent="0.25">
      <c r="B307" s="200"/>
      <c r="G307" s="206"/>
      <c r="J307" s="203"/>
    </row>
    <row r="308" spans="2:10" x14ac:dyDescent="0.25">
      <c r="B308" s="200"/>
      <c r="G308" s="206"/>
      <c r="J308" s="203"/>
    </row>
    <row r="309" spans="2:10" x14ac:dyDescent="0.25">
      <c r="B309" s="200"/>
      <c r="G309" s="206"/>
      <c r="J309" s="203"/>
    </row>
    <row r="310" spans="2:10" x14ac:dyDescent="0.25">
      <c r="B310" s="200"/>
      <c r="G310" s="206"/>
      <c r="J310" s="203"/>
    </row>
    <row r="311" spans="2:10" x14ac:dyDescent="0.25">
      <c r="B311" s="200"/>
      <c r="G311" s="206"/>
      <c r="J311" s="203"/>
    </row>
    <row r="312" spans="2:10" x14ac:dyDescent="0.25">
      <c r="B312" s="200"/>
      <c r="G312" s="206"/>
      <c r="J312" s="203"/>
    </row>
    <row r="313" spans="2:10" x14ac:dyDescent="0.25">
      <c r="B313" s="200"/>
      <c r="G313" s="206"/>
      <c r="J313" s="203"/>
    </row>
    <row r="314" spans="2:10" x14ac:dyDescent="0.25">
      <c r="B314" s="200"/>
      <c r="G314" s="206"/>
      <c r="J314" s="203"/>
    </row>
    <row r="315" spans="2:10" x14ac:dyDescent="0.25">
      <c r="B315" s="200"/>
      <c r="G315" s="206"/>
      <c r="J315" s="203"/>
    </row>
    <row r="316" spans="2:10" x14ac:dyDescent="0.25">
      <c r="B316" s="200"/>
      <c r="G316" s="206"/>
      <c r="J316" s="203"/>
    </row>
    <row r="317" spans="2:10" x14ac:dyDescent="0.25">
      <c r="B317" s="200"/>
      <c r="G317" s="206"/>
      <c r="J317" s="203"/>
    </row>
    <row r="318" spans="2:10" x14ac:dyDescent="0.25">
      <c r="B318" s="200"/>
      <c r="G318" s="206"/>
      <c r="J318" s="203"/>
    </row>
    <row r="319" spans="2:10" x14ac:dyDescent="0.25">
      <c r="B319" s="200"/>
      <c r="G319" s="206"/>
      <c r="J319" s="203"/>
    </row>
    <row r="320" spans="2:10" x14ac:dyDescent="0.25">
      <c r="B320" s="200"/>
      <c r="G320" s="206"/>
      <c r="J320" s="203"/>
    </row>
    <row r="321" spans="2:10" x14ac:dyDescent="0.25">
      <c r="B321" s="200"/>
      <c r="G321" s="206"/>
      <c r="J321" s="203"/>
    </row>
    <row r="322" spans="2:10" x14ac:dyDescent="0.25">
      <c r="B322" s="200"/>
      <c r="G322" s="206"/>
      <c r="J322" s="203"/>
    </row>
    <row r="323" spans="2:10" x14ac:dyDescent="0.25">
      <c r="B323" s="200"/>
      <c r="G323" s="206"/>
      <c r="J323" s="203"/>
    </row>
    <row r="324" spans="2:10" x14ac:dyDescent="0.25">
      <c r="B324" s="200"/>
      <c r="G324" s="206"/>
      <c r="J324" s="203"/>
    </row>
    <row r="325" spans="2:10" x14ac:dyDescent="0.25">
      <c r="B325" s="200"/>
      <c r="G325" s="206"/>
      <c r="J325" s="203"/>
    </row>
    <row r="326" spans="2:10" x14ac:dyDescent="0.25">
      <c r="B326" s="200"/>
      <c r="G326" s="206"/>
      <c r="J326" s="203"/>
    </row>
    <row r="327" spans="2:10" x14ac:dyDescent="0.25">
      <c r="B327" s="200"/>
      <c r="G327" s="206"/>
      <c r="J327" s="203"/>
    </row>
    <row r="328" spans="2:10" x14ac:dyDescent="0.25">
      <c r="B328" s="200"/>
      <c r="G328" s="206"/>
      <c r="J328" s="203"/>
    </row>
    <row r="329" spans="2:10" x14ac:dyDescent="0.25">
      <c r="B329" s="200"/>
      <c r="G329" s="206"/>
      <c r="J329" s="203"/>
    </row>
    <row r="330" spans="2:10" x14ac:dyDescent="0.25">
      <c r="B330" s="200"/>
      <c r="G330" s="206"/>
      <c r="J330" s="203"/>
    </row>
    <row r="331" spans="2:10" x14ac:dyDescent="0.25">
      <c r="B331" s="200"/>
      <c r="G331" s="206"/>
      <c r="J331" s="203"/>
    </row>
    <row r="332" spans="2:10" x14ac:dyDescent="0.25">
      <c r="B332" s="200"/>
      <c r="G332" s="206"/>
      <c r="J332" s="203"/>
    </row>
    <row r="333" spans="2:10" x14ac:dyDescent="0.25">
      <c r="B333" s="200"/>
      <c r="G333" s="206"/>
      <c r="J333" s="203"/>
    </row>
    <row r="334" spans="2:10" x14ac:dyDescent="0.25">
      <c r="B334" s="200"/>
      <c r="G334" s="206"/>
      <c r="J334" s="203"/>
    </row>
    <row r="335" spans="2:10" x14ac:dyDescent="0.25">
      <c r="B335" s="200"/>
      <c r="G335" s="206"/>
      <c r="J335" s="203"/>
    </row>
    <row r="336" spans="2:10" x14ac:dyDescent="0.25">
      <c r="B336" s="200"/>
      <c r="G336" s="206"/>
      <c r="J336" s="203"/>
    </row>
    <row r="337" spans="2:10" x14ac:dyDescent="0.25">
      <c r="B337" s="200"/>
      <c r="G337" s="206"/>
      <c r="J337" s="203"/>
    </row>
    <row r="338" spans="2:10" x14ac:dyDescent="0.25">
      <c r="B338" s="200"/>
      <c r="G338" s="206"/>
      <c r="J338" s="203"/>
    </row>
    <row r="339" spans="2:10" x14ac:dyDescent="0.25">
      <c r="B339" s="200"/>
      <c r="G339" s="206"/>
      <c r="J339" s="203"/>
    </row>
    <row r="340" spans="2:10" x14ac:dyDescent="0.25">
      <c r="B340" s="200"/>
      <c r="G340" s="206"/>
      <c r="J340" s="203"/>
    </row>
    <row r="341" spans="2:10" x14ac:dyDescent="0.25">
      <c r="B341" s="200"/>
      <c r="G341" s="206"/>
      <c r="J341" s="203"/>
    </row>
    <row r="342" spans="2:10" x14ac:dyDescent="0.25">
      <c r="B342" s="200"/>
      <c r="G342" s="206"/>
      <c r="J342" s="203"/>
    </row>
    <row r="343" spans="2:10" x14ac:dyDescent="0.25">
      <c r="B343" s="200"/>
      <c r="G343" s="206"/>
      <c r="J343" s="203"/>
    </row>
    <row r="344" spans="2:10" x14ac:dyDescent="0.25">
      <c r="B344" s="200"/>
      <c r="G344" s="206"/>
      <c r="J344" s="203"/>
    </row>
    <row r="345" spans="2:10" x14ac:dyDescent="0.25">
      <c r="B345" s="200"/>
      <c r="G345" s="206"/>
      <c r="J345" s="203"/>
    </row>
    <row r="346" spans="2:10" x14ac:dyDescent="0.25">
      <c r="B346" s="200"/>
      <c r="G346" s="206"/>
      <c r="J346" s="203"/>
    </row>
    <row r="347" spans="2:10" x14ac:dyDescent="0.25">
      <c r="B347" s="200"/>
      <c r="G347" s="206"/>
      <c r="J347" s="203"/>
    </row>
    <row r="348" spans="2:10" x14ac:dyDescent="0.25">
      <c r="B348" s="200"/>
      <c r="G348" s="206"/>
      <c r="J348" s="203"/>
    </row>
    <row r="349" spans="2:10" x14ac:dyDescent="0.25">
      <c r="B349" s="200"/>
      <c r="G349" s="206"/>
      <c r="J349" s="203"/>
    </row>
    <row r="350" spans="2:10" x14ac:dyDescent="0.25">
      <c r="B350" s="200"/>
      <c r="G350" s="206"/>
      <c r="J350" s="203"/>
    </row>
    <row r="351" spans="2:10" x14ac:dyDescent="0.25">
      <c r="B351" s="200"/>
      <c r="G351" s="206"/>
      <c r="J351" s="203"/>
    </row>
    <row r="352" spans="2:10" x14ac:dyDescent="0.25">
      <c r="B352" s="200"/>
      <c r="G352" s="206"/>
      <c r="J352" s="203"/>
    </row>
    <row r="353" spans="2:10" x14ac:dyDescent="0.25">
      <c r="B353" s="200"/>
      <c r="G353" s="206"/>
      <c r="J353" s="203"/>
    </row>
    <row r="354" spans="2:10" x14ac:dyDescent="0.25">
      <c r="B354" s="200"/>
      <c r="G354" s="206"/>
      <c r="J354" s="203"/>
    </row>
    <row r="355" spans="2:10" x14ac:dyDescent="0.25">
      <c r="B355" s="200"/>
      <c r="G355" s="206"/>
      <c r="J355" s="203"/>
    </row>
    <row r="356" spans="2:10" x14ac:dyDescent="0.25">
      <c r="B356" s="200"/>
      <c r="G356" s="206"/>
      <c r="J356" s="203"/>
    </row>
    <row r="357" spans="2:10" x14ac:dyDescent="0.25">
      <c r="B357" s="200"/>
      <c r="G357" s="206"/>
      <c r="J357" s="203"/>
    </row>
    <row r="358" spans="2:10" x14ac:dyDescent="0.25">
      <c r="B358" s="200"/>
      <c r="G358" s="206"/>
      <c r="J358" s="203"/>
    </row>
    <row r="359" spans="2:10" x14ac:dyDescent="0.25">
      <c r="B359" s="200"/>
      <c r="G359" s="206"/>
      <c r="J359" s="203"/>
    </row>
    <row r="360" spans="2:10" x14ac:dyDescent="0.25">
      <c r="B360" s="200"/>
      <c r="G360" s="206"/>
      <c r="J360" s="203"/>
    </row>
    <row r="361" spans="2:10" x14ac:dyDescent="0.25">
      <c r="B361" s="200"/>
      <c r="G361" s="206"/>
      <c r="J361" s="203"/>
    </row>
    <row r="362" spans="2:10" x14ac:dyDescent="0.25">
      <c r="B362" s="200"/>
      <c r="G362" s="206"/>
      <c r="J362" s="203"/>
    </row>
    <row r="363" spans="2:10" x14ac:dyDescent="0.25">
      <c r="B363" s="200"/>
      <c r="G363" s="206"/>
      <c r="J363" s="203"/>
    </row>
    <row r="364" spans="2:10" x14ac:dyDescent="0.25">
      <c r="B364" s="200"/>
      <c r="G364" s="206"/>
      <c r="J364" s="203"/>
    </row>
    <row r="365" spans="2:10" x14ac:dyDescent="0.25">
      <c r="B365" s="200"/>
      <c r="G365" s="206"/>
      <c r="J365" s="203"/>
    </row>
    <row r="366" spans="2:10" x14ac:dyDescent="0.25">
      <c r="B366" s="200"/>
      <c r="G366" s="206"/>
      <c r="J366" s="203"/>
    </row>
    <row r="367" spans="2:10" x14ac:dyDescent="0.25">
      <c r="B367" s="200"/>
      <c r="G367" s="206"/>
      <c r="J367" s="203"/>
    </row>
    <row r="368" spans="2:10" x14ac:dyDescent="0.25">
      <c r="B368" s="200"/>
      <c r="G368" s="206"/>
      <c r="J368" s="203"/>
    </row>
    <row r="369" spans="2:10" x14ac:dyDescent="0.25">
      <c r="B369" s="200"/>
      <c r="G369" s="206"/>
      <c r="J369" s="203"/>
    </row>
    <row r="370" spans="2:10" x14ac:dyDescent="0.25">
      <c r="B370" s="200"/>
      <c r="G370" s="206"/>
      <c r="J370" s="203"/>
    </row>
    <row r="371" spans="2:10" x14ac:dyDescent="0.25">
      <c r="B371" s="200"/>
      <c r="G371" s="206"/>
      <c r="J371" s="203"/>
    </row>
    <row r="372" spans="2:10" x14ac:dyDescent="0.25">
      <c r="B372" s="200"/>
      <c r="G372" s="206"/>
      <c r="J372" s="203"/>
    </row>
    <row r="373" spans="2:10" x14ac:dyDescent="0.25">
      <c r="B373" s="200"/>
      <c r="G373" s="206"/>
      <c r="J373" s="203"/>
    </row>
    <row r="374" spans="2:10" x14ac:dyDescent="0.25">
      <c r="B374" s="200"/>
      <c r="G374" s="206"/>
      <c r="J374" s="203"/>
    </row>
    <row r="375" spans="2:10" x14ac:dyDescent="0.25">
      <c r="B375" s="200"/>
      <c r="G375" s="206"/>
      <c r="J375" s="203"/>
    </row>
    <row r="376" spans="2:10" x14ac:dyDescent="0.25">
      <c r="B376" s="200"/>
      <c r="G376" s="206"/>
      <c r="J376" s="203"/>
    </row>
    <row r="377" spans="2:10" x14ac:dyDescent="0.25">
      <c r="B377" s="200"/>
      <c r="G377" s="206"/>
      <c r="J377" s="203"/>
    </row>
    <row r="378" spans="2:10" x14ac:dyDescent="0.25">
      <c r="B378" s="200"/>
      <c r="G378" s="206"/>
      <c r="J378" s="203"/>
    </row>
    <row r="379" spans="2:10" x14ac:dyDescent="0.25">
      <c r="B379" s="200"/>
      <c r="G379" s="206"/>
      <c r="J379" s="203"/>
    </row>
    <row r="380" spans="2:10" x14ac:dyDescent="0.25">
      <c r="B380" s="200"/>
      <c r="G380" s="206"/>
      <c r="J380" s="203"/>
    </row>
    <row r="381" spans="2:10" x14ac:dyDescent="0.25">
      <c r="B381" s="200"/>
      <c r="G381" s="206"/>
      <c r="J381" s="203"/>
    </row>
    <row r="382" spans="2:10" x14ac:dyDescent="0.25">
      <c r="B382" s="200"/>
      <c r="G382" s="206"/>
      <c r="J382" s="203"/>
    </row>
    <row r="383" spans="2:10" x14ac:dyDescent="0.25">
      <c r="B383" s="200"/>
      <c r="G383" s="206"/>
      <c r="J383" s="203"/>
    </row>
    <row r="384" spans="2:10" x14ac:dyDescent="0.25">
      <c r="B384" s="200"/>
      <c r="G384" s="206"/>
      <c r="J384" s="203"/>
    </row>
    <row r="385" spans="2:10" x14ac:dyDescent="0.25">
      <c r="B385" s="200"/>
      <c r="G385" s="206"/>
      <c r="J385" s="203"/>
    </row>
    <row r="386" spans="2:10" x14ac:dyDescent="0.25">
      <c r="B386" s="200"/>
      <c r="G386" s="206"/>
      <c r="J386" s="203"/>
    </row>
    <row r="387" spans="2:10" x14ac:dyDescent="0.25">
      <c r="B387" s="200"/>
      <c r="G387" s="206"/>
      <c r="J387" s="203"/>
    </row>
    <row r="388" spans="2:10" x14ac:dyDescent="0.25">
      <c r="B388" s="200"/>
      <c r="G388" s="206"/>
      <c r="J388" s="203"/>
    </row>
    <row r="389" spans="2:10" x14ac:dyDescent="0.25">
      <c r="B389" s="200"/>
      <c r="G389" s="206"/>
      <c r="J389" s="203"/>
    </row>
    <row r="390" spans="2:10" x14ac:dyDescent="0.25">
      <c r="B390" s="200"/>
      <c r="G390" s="206"/>
      <c r="J390" s="203"/>
    </row>
    <row r="391" spans="2:10" x14ac:dyDescent="0.25">
      <c r="B391" s="200"/>
      <c r="G391" s="206"/>
      <c r="J391" s="203"/>
    </row>
    <row r="392" spans="2:10" x14ac:dyDescent="0.25">
      <c r="B392" s="200"/>
      <c r="G392" s="206"/>
      <c r="J392" s="203"/>
    </row>
    <row r="393" spans="2:10" x14ac:dyDescent="0.25">
      <c r="B393" s="200"/>
      <c r="G393" s="206"/>
      <c r="J393" s="203"/>
    </row>
    <row r="394" spans="2:10" x14ac:dyDescent="0.25">
      <c r="B394" s="200"/>
      <c r="G394" s="206"/>
      <c r="J394" s="203"/>
    </row>
    <row r="395" spans="2:10" x14ac:dyDescent="0.25">
      <c r="B395" s="200"/>
      <c r="G395" s="206"/>
      <c r="J395" s="203"/>
    </row>
    <row r="396" spans="2:10" x14ac:dyDescent="0.25">
      <c r="B396" s="200"/>
      <c r="G396" s="206"/>
      <c r="J396" s="203"/>
    </row>
    <row r="397" spans="2:10" x14ac:dyDescent="0.25">
      <c r="B397" s="200"/>
      <c r="G397" s="206"/>
      <c r="J397" s="203"/>
    </row>
    <row r="398" spans="2:10" x14ac:dyDescent="0.25">
      <c r="B398" s="200"/>
      <c r="G398" s="206"/>
      <c r="J398" s="203"/>
    </row>
    <row r="399" spans="2:10" x14ac:dyDescent="0.25">
      <c r="B399" s="200"/>
      <c r="G399" s="206"/>
      <c r="J399" s="203"/>
    </row>
    <row r="400" spans="2:10" x14ac:dyDescent="0.25">
      <c r="B400" s="200"/>
      <c r="G400" s="206"/>
      <c r="J400" s="203"/>
    </row>
    <row r="401" spans="2:10" x14ac:dyDescent="0.25">
      <c r="B401" s="200"/>
      <c r="G401" s="206"/>
      <c r="J401" s="203"/>
    </row>
    <row r="402" spans="2:10" x14ac:dyDescent="0.25">
      <c r="B402" s="200"/>
      <c r="G402" s="206"/>
      <c r="J402" s="203"/>
    </row>
    <row r="403" spans="2:10" x14ac:dyDescent="0.25">
      <c r="B403" s="200"/>
      <c r="G403" s="206"/>
      <c r="J403" s="203"/>
    </row>
    <row r="404" spans="2:10" x14ac:dyDescent="0.25">
      <c r="B404" s="200"/>
      <c r="G404" s="206"/>
      <c r="J404" s="203"/>
    </row>
    <row r="405" spans="2:10" x14ac:dyDescent="0.25">
      <c r="B405" s="200"/>
      <c r="G405" s="206"/>
      <c r="J405" s="203"/>
    </row>
    <row r="406" spans="2:10" x14ac:dyDescent="0.25">
      <c r="B406" s="200"/>
      <c r="G406" s="206"/>
      <c r="J406" s="203"/>
    </row>
    <row r="407" spans="2:10" x14ac:dyDescent="0.25">
      <c r="B407" s="200"/>
      <c r="G407" s="206"/>
      <c r="J407" s="203"/>
    </row>
    <row r="408" spans="2:10" x14ac:dyDescent="0.25">
      <c r="B408" s="200"/>
      <c r="G408" s="206"/>
      <c r="J408" s="203"/>
    </row>
    <row r="409" spans="2:10" x14ac:dyDescent="0.25">
      <c r="B409" s="200"/>
      <c r="G409" s="206"/>
      <c r="J409" s="203"/>
    </row>
    <row r="410" spans="2:10" x14ac:dyDescent="0.25">
      <c r="B410" s="200"/>
      <c r="G410" s="206"/>
      <c r="J410" s="203"/>
    </row>
    <row r="411" spans="2:10" x14ac:dyDescent="0.25">
      <c r="B411" s="200"/>
      <c r="G411" s="206"/>
      <c r="J411" s="203"/>
    </row>
    <row r="412" spans="2:10" x14ac:dyDescent="0.25">
      <c r="B412" s="200"/>
      <c r="G412" s="206"/>
      <c r="J412" s="203"/>
    </row>
    <row r="413" spans="2:10" x14ac:dyDescent="0.25">
      <c r="B413" s="200"/>
      <c r="G413" s="206"/>
      <c r="J413" s="203"/>
    </row>
    <row r="414" spans="2:10" x14ac:dyDescent="0.25">
      <c r="B414" s="200"/>
      <c r="G414" s="206"/>
      <c r="J414" s="203"/>
    </row>
    <row r="415" spans="2:10" x14ac:dyDescent="0.25">
      <c r="B415" s="200"/>
      <c r="G415" s="206"/>
      <c r="J415" s="203"/>
    </row>
    <row r="416" spans="2:10" x14ac:dyDescent="0.25">
      <c r="B416" s="200"/>
      <c r="G416" s="206"/>
      <c r="J416" s="203"/>
    </row>
    <row r="417" spans="2:10" x14ac:dyDescent="0.25">
      <c r="B417" s="200"/>
      <c r="G417" s="206"/>
      <c r="J417" s="203"/>
    </row>
    <row r="418" spans="2:10" x14ac:dyDescent="0.25">
      <c r="B418" s="200"/>
      <c r="G418" s="206"/>
      <c r="J418" s="203"/>
    </row>
    <row r="419" spans="2:10" x14ac:dyDescent="0.25">
      <c r="B419" s="200"/>
      <c r="G419" s="206"/>
      <c r="J419" s="203"/>
    </row>
    <row r="420" spans="2:10" x14ac:dyDescent="0.25">
      <c r="B420" s="200"/>
      <c r="G420" s="206"/>
      <c r="J420" s="203"/>
    </row>
    <row r="421" spans="2:10" x14ac:dyDescent="0.25">
      <c r="B421" s="200"/>
      <c r="G421" s="206"/>
      <c r="J421" s="203"/>
    </row>
    <row r="422" spans="2:10" x14ac:dyDescent="0.25">
      <c r="B422" s="200"/>
      <c r="G422" s="206"/>
      <c r="J422" s="203"/>
    </row>
    <row r="423" spans="2:10" x14ac:dyDescent="0.25">
      <c r="B423" s="200"/>
      <c r="G423" s="206"/>
      <c r="J423" s="203"/>
    </row>
    <row r="424" spans="2:10" x14ac:dyDescent="0.25">
      <c r="B424" s="200"/>
      <c r="G424" s="206"/>
      <c r="J424" s="203"/>
    </row>
    <row r="425" spans="2:10" x14ac:dyDescent="0.25">
      <c r="B425" s="200"/>
      <c r="G425" s="206"/>
      <c r="J425" s="203"/>
    </row>
    <row r="426" spans="2:10" x14ac:dyDescent="0.25">
      <c r="B426" s="200"/>
      <c r="G426" s="206"/>
      <c r="J426" s="203"/>
    </row>
    <row r="427" spans="2:10" x14ac:dyDescent="0.25">
      <c r="B427" s="200"/>
      <c r="G427" s="206"/>
      <c r="J427" s="203"/>
    </row>
    <row r="428" spans="2:10" x14ac:dyDescent="0.25">
      <c r="B428" s="200"/>
      <c r="G428" s="206"/>
      <c r="J428" s="203"/>
    </row>
    <row r="429" spans="2:10" x14ac:dyDescent="0.25">
      <c r="B429" s="200"/>
      <c r="G429" s="206"/>
      <c r="J429" s="203"/>
    </row>
    <row r="430" spans="2:10" x14ac:dyDescent="0.25">
      <c r="B430" s="200"/>
      <c r="G430" s="206"/>
      <c r="J430" s="203"/>
    </row>
    <row r="431" spans="2:10" x14ac:dyDescent="0.25">
      <c r="B431" s="200"/>
      <c r="G431" s="206"/>
      <c r="J431" s="203"/>
    </row>
    <row r="432" spans="2:10" x14ac:dyDescent="0.25">
      <c r="B432" s="200"/>
      <c r="G432" s="206"/>
      <c r="J432" s="203"/>
    </row>
    <row r="433" spans="2:10" x14ac:dyDescent="0.25">
      <c r="B433" s="200"/>
      <c r="G433" s="206"/>
      <c r="J433" s="203"/>
    </row>
    <row r="434" spans="2:10" x14ac:dyDescent="0.25">
      <c r="B434" s="200"/>
      <c r="G434" s="206"/>
      <c r="J434" s="203"/>
    </row>
    <row r="435" spans="2:10" x14ac:dyDescent="0.25">
      <c r="B435" s="200"/>
      <c r="G435" s="206"/>
      <c r="J435" s="203"/>
    </row>
    <row r="436" spans="2:10" x14ac:dyDescent="0.25">
      <c r="B436" s="200"/>
      <c r="G436" s="206"/>
      <c r="J436" s="203"/>
    </row>
    <row r="437" spans="2:10" x14ac:dyDescent="0.25">
      <c r="B437" s="200"/>
      <c r="G437" s="206"/>
      <c r="J437" s="203"/>
    </row>
    <row r="438" spans="2:10" x14ac:dyDescent="0.25">
      <c r="B438" s="200"/>
      <c r="G438" s="206"/>
      <c r="J438" s="203"/>
    </row>
    <row r="439" spans="2:10" x14ac:dyDescent="0.25">
      <c r="B439" s="200"/>
      <c r="G439" s="206"/>
      <c r="J439" s="203"/>
    </row>
    <row r="440" spans="2:10" x14ac:dyDescent="0.25">
      <c r="B440" s="200"/>
      <c r="G440" s="206"/>
      <c r="J440" s="203"/>
    </row>
    <row r="441" spans="2:10" x14ac:dyDescent="0.25">
      <c r="B441" s="200"/>
      <c r="G441" s="206"/>
      <c r="J441" s="203"/>
    </row>
    <row r="442" spans="2:10" x14ac:dyDescent="0.25">
      <c r="B442" s="200"/>
      <c r="G442" s="206"/>
      <c r="J442" s="203"/>
    </row>
    <row r="443" spans="2:10" x14ac:dyDescent="0.25">
      <c r="B443" s="200"/>
      <c r="G443" s="206"/>
      <c r="J443" s="203"/>
    </row>
    <row r="444" spans="2:10" x14ac:dyDescent="0.25">
      <c r="B444" s="200"/>
      <c r="G444" s="206"/>
      <c r="J444" s="203"/>
    </row>
    <row r="445" spans="2:10" x14ac:dyDescent="0.25">
      <c r="B445" s="200"/>
      <c r="G445" s="206"/>
      <c r="J445" s="203"/>
    </row>
    <row r="446" spans="2:10" x14ac:dyDescent="0.25">
      <c r="B446" s="200"/>
      <c r="G446" s="206"/>
      <c r="J446" s="203"/>
    </row>
    <row r="447" spans="2:10" x14ac:dyDescent="0.25">
      <c r="B447" s="200"/>
      <c r="G447" s="206"/>
      <c r="J447" s="203"/>
    </row>
    <row r="448" spans="2:10" x14ac:dyDescent="0.25">
      <c r="B448" s="200"/>
      <c r="G448" s="206"/>
      <c r="J448" s="203"/>
    </row>
    <row r="449" spans="2:10" x14ac:dyDescent="0.25">
      <c r="B449" s="200"/>
      <c r="G449" s="206"/>
      <c r="J449" s="203"/>
    </row>
    <row r="450" spans="2:10" x14ac:dyDescent="0.25">
      <c r="B450" s="200"/>
      <c r="G450" s="206"/>
      <c r="J450" s="203"/>
    </row>
    <row r="451" spans="2:10" x14ac:dyDescent="0.25">
      <c r="B451" s="200"/>
      <c r="G451" s="206"/>
      <c r="J451" s="203"/>
    </row>
    <row r="452" spans="2:10" x14ac:dyDescent="0.25">
      <c r="B452" s="200"/>
      <c r="G452" s="206"/>
      <c r="J452" s="203"/>
    </row>
    <row r="453" spans="2:10" x14ac:dyDescent="0.25">
      <c r="B453" s="200"/>
      <c r="G453" s="206"/>
      <c r="J453" s="203"/>
    </row>
    <row r="454" spans="2:10" x14ac:dyDescent="0.25">
      <c r="B454" s="200"/>
      <c r="G454" s="206"/>
      <c r="J454" s="203"/>
    </row>
    <row r="455" spans="2:10" x14ac:dyDescent="0.25">
      <c r="B455" s="200"/>
      <c r="G455" s="206"/>
      <c r="J455" s="203"/>
    </row>
    <row r="456" spans="2:10" x14ac:dyDescent="0.25">
      <c r="B456" s="200"/>
      <c r="G456" s="206"/>
      <c r="J456" s="203"/>
    </row>
    <row r="457" spans="2:10" x14ac:dyDescent="0.25">
      <c r="B457" s="200"/>
      <c r="G457" s="206"/>
      <c r="J457" s="203"/>
    </row>
    <row r="458" spans="2:10" x14ac:dyDescent="0.25">
      <c r="B458" s="200"/>
      <c r="G458" s="206"/>
      <c r="J458" s="203"/>
    </row>
    <row r="459" spans="2:10" ht="15.75" thickBot="1" x14ac:dyDescent="0.3">
      <c r="B459" s="204"/>
      <c r="G459" s="209"/>
      <c r="J459" s="207"/>
    </row>
  </sheetData>
  <autoFilter ref="B3:K302"/>
  <conditionalFormatting sqref="A1:A1048576">
    <cfRule type="duplicateValues" dxfId="1" priority="3" stopIfTrue="1"/>
  </conditionalFormatting>
  <conditionalFormatting sqref="C4:C106">
    <cfRule type="expression" dxfId="0" priority="2">
      <formula>COUNTIF(#REF!,C4)</formula>
    </cfRule>
  </conditionalFormatting>
  <printOptions horizontalCentered="1"/>
  <pageMargins left="0.1" right="0.1" top="0.2" bottom="0.44" header="0.3" footer="0.2"/>
  <pageSetup scale="90" orientation="portrait" r:id="rId1"/>
  <headerFooter scaleWithDoc="0">
    <oddFooter>&amp;C&amp;P of 1&amp;R&amp;"Times New Roman,Regular"&amp;8DVF-101-H-008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Ring</vt:lpstr>
      <vt:lpstr>don hang</vt:lpstr>
      <vt:lpstr>Reel</vt:lpstr>
      <vt:lpstr>Info</vt:lpstr>
      <vt:lpstr>upload</vt:lpstr>
      <vt:lpstr>upload1</vt:lpstr>
      <vt:lpstr>data</vt:lpstr>
      <vt:lpstr>data!Print_Area</vt:lpstr>
      <vt:lpstr>upload!Print_Area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MinhTri</dc:creator>
  <cp:lastModifiedBy>DELL5470</cp:lastModifiedBy>
  <cp:lastPrinted>2019-06-06T01:58:34Z</cp:lastPrinted>
  <dcterms:created xsi:type="dcterms:W3CDTF">2010-06-06T02:38:01Z</dcterms:created>
  <dcterms:modified xsi:type="dcterms:W3CDTF">2021-10-30T01:30:11Z</dcterms:modified>
</cp:coreProperties>
</file>