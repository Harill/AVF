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5340"/>
  </bookViews>
  <sheets>
    <sheet name="Sheet1" sheetId="1" r:id="rId1"/>
    <sheet name="Sheet2" sheetId="2" r:id="rId2"/>
  </sheets>
  <calcPr calcId="152511" iterateDelta="0"/>
</workbook>
</file>

<file path=xl/calcChain.xml><?xml version="1.0" encoding="utf-8"?>
<calcChain xmlns="http://schemas.openxmlformats.org/spreadsheetml/2006/main">
  <c r="J5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6" i="1"/>
  <c r="G6" i="1" l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H5" i="1" l="1"/>
  <c r="F5" i="1"/>
  <c r="E5" i="1"/>
  <c r="G5" i="1" l="1"/>
  <c r="I5" i="1"/>
</calcChain>
</file>

<file path=xl/sharedStrings.xml><?xml version="1.0" encoding="utf-8"?>
<sst xmlns="http://schemas.openxmlformats.org/spreadsheetml/2006/main" count="410" uniqueCount="215">
  <si>
    <t>BẢNG TỔNG HỢP MOF08 DAIWA VN (RELL)</t>
  </si>
  <si>
    <t>Ngày: 25-04-2015</t>
  </si>
  <si>
    <t>PO No</t>
  </si>
  <si>
    <t>Part Code</t>
  </si>
  <si>
    <t>VF Code</t>
  </si>
  <si>
    <t>Đơn giá</t>
  </si>
  <si>
    <t>DVN-FP-3330-150402</t>
  </si>
  <si>
    <t>6G1525020</t>
  </si>
  <si>
    <t>C2</t>
  </si>
  <si>
    <t>6H0191011</t>
  </si>
  <si>
    <t>C3</t>
  </si>
  <si>
    <t>6G9810011</t>
  </si>
  <si>
    <t>C4</t>
  </si>
  <si>
    <t>6H3544011</t>
  </si>
  <si>
    <t>C5</t>
  </si>
  <si>
    <t>6H0499010</t>
  </si>
  <si>
    <t>C6</t>
  </si>
  <si>
    <t>6G1768020</t>
  </si>
  <si>
    <t>C7</t>
  </si>
  <si>
    <t>6H3554010</t>
  </si>
  <si>
    <t>C8</t>
  </si>
  <si>
    <t>6G5101010</t>
  </si>
  <si>
    <t>C9</t>
  </si>
  <si>
    <t>6B6854010</t>
  </si>
  <si>
    <t>H1</t>
  </si>
  <si>
    <t>6H5762011</t>
  </si>
  <si>
    <t>H2</t>
  </si>
  <si>
    <t>6B6825010</t>
  </si>
  <si>
    <t>H3</t>
  </si>
  <si>
    <t>6G3686010</t>
  </si>
  <si>
    <t>H4</t>
  </si>
  <si>
    <t>6G8678010</t>
  </si>
  <si>
    <t>H5</t>
  </si>
  <si>
    <t>6H3582010</t>
  </si>
  <si>
    <t>H6</t>
  </si>
  <si>
    <t>6F3936010</t>
  </si>
  <si>
    <t>H7</t>
  </si>
  <si>
    <t>6G1973011</t>
  </si>
  <si>
    <t>H8</t>
  </si>
  <si>
    <t>6G7965010</t>
  </si>
  <si>
    <t>H9</t>
  </si>
  <si>
    <t>6Q0438010</t>
  </si>
  <si>
    <t>H10</t>
  </si>
  <si>
    <t>6Q0480010</t>
  </si>
  <si>
    <t>H11</t>
  </si>
  <si>
    <t>6Q0648010</t>
  </si>
  <si>
    <t>H12</t>
  </si>
  <si>
    <t>6Q0698010</t>
  </si>
  <si>
    <t>H13</t>
  </si>
  <si>
    <t>6L0093010</t>
  </si>
  <si>
    <t>I1</t>
  </si>
  <si>
    <t>6H0512010</t>
  </si>
  <si>
    <t>I2</t>
  </si>
  <si>
    <t>6F4516011</t>
  </si>
  <si>
    <t>I3</t>
  </si>
  <si>
    <t>6H0889022</t>
  </si>
  <si>
    <t>I4</t>
  </si>
  <si>
    <t>6H3885010</t>
  </si>
  <si>
    <t>I5</t>
  </si>
  <si>
    <t>6H2786090</t>
  </si>
  <si>
    <t>I6</t>
  </si>
  <si>
    <t>6G83910210</t>
  </si>
  <si>
    <t>L1</t>
  </si>
  <si>
    <t>6F6245012</t>
  </si>
  <si>
    <t>L2</t>
  </si>
  <si>
    <t>6E3533010</t>
  </si>
  <si>
    <t>LS1</t>
  </si>
  <si>
    <t>6Q1303010</t>
  </si>
  <si>
    <t>LS2</t>
  </si>
  <si>
    <t>6G3920031</t>
  </si>
  <si>
    <t>LR2A</t>
  </si>
  <si>
    <t>6G8358011</t>
  </si>
  <si>
    <t>LR3</t>
  </si>
  <si>
    <t>6H4974010</t>
  </si>
  <si>
    <t>M2</t>
  </si>
  <si>
    <t>6H4975010</t>
  </si>
  <si>
    <t>M3</t>
  </si>
  <si>
    <t>6G7245050</t>
  </si>
  <si>
    <t>M4</t>
  </si>
  <si>
    <t>6G6988050</t>
  </si>
  <si>
    <t>M5</t>
  </si>
  <si>
    <t>6G8833040</t>
  </si>
  <si>
    <t>M6</t>
  </si>
  <si>
    <t>6H3559011</t>
  </si>
  <si>
    <t>M8</t>
  </si>
  <si>
    <t>6H3955011</t>
  </si>
  <si>
    <t>M9</t>
  </si>
  <si>
    <t>6H5087010</t>
  </si>
  <si>
    <t>M10</t>
  </si>
  <si>
    <t>6H0219010</t>
  </si>
  <si>
    <t>N1</t>
  </si>
  <si>
    <t>6F1332011</t>
  </si>
  <si>
    <t>N2</t>
  </si>
  <si>
    <t>6G0999011</t>
  </si>
  <si>
    <t>N3</t>
  </si>
  <si>
    <t>6E1217040</t>
  </si>
  <si>
    <t>N4</t>
  </si>
  <si>
    <t>6G9713021</t>
  </si>
  <si>
    <t>N5</t>
  </si>
  <si>
    <t>6G1233011</t>
  </si>
  <si>
    <t>N6</t>
  </si>
  <si>
    <t>6F3361020</t>
  </si>
  <si>
    <t>N7</t>
  </si>
  <si>
    <t>6G4218010</t>
  </si>
  <si>
    <t>N8</t>
  </si>
  <si>
    <t>6H4959010</t>
  </si>
  <si>
    <t>N9</t>
  </si>
  <si>
    <t>6H0500010</t>
  </si>
  <si>
    <t>N10</t>
  </si>
  <si>
    <t>6Q0487010</t>
  </si>
  <si>
    <t>N11</t>
  </si>
  <si>
    <t>6H0382010</t>
  </si>
  <si>
    <t>P1</t>
  </si>
  <si>
    <t>6F6329012</t>
  </si>
  <si>
    <t>P2</t>
  </si>
  <si>
    <t>6G9401010</t>
  </si>
  <si>
    <t>P3</t>
  </si>
  <si>
    <t>6H4938011</t>
  </si>
  <si>
    <t>P4</t>
  </si>
  <si>
    <t>6G3930011</t>
  </si>
  <si>
    <t>P5</t>
  </si>
  <si>
    <t>6H7083011</t>
  </si>
  <si>
    <t>P6</t>
  </si>
  <si>
    <t>6H4320010</t>
  </si>
  <si>
    <t>P7</t>
  </si>
  <si>
    <t>6H3595011</t>
  </si>
  <si>
    <t>P8</t>
  </si>
  <si>
    <t>6Q1632010</t>
  </si>
  <si>
    <t>P9</t>
  </si>
  <si>
    <t>6H4942010</t>
  </si>
  <si>
    <t>PL1</t>
  </si>
  <si>
    <t>6H5088011</t>
  </si>
  <si>
    <t>PL2A</t>
  </si>
  <si>
    <t>6H4637010</t>
  </si>
  <si>
    <t>PL3</t>
  </si>
  <si>
    <t>6H3549011</t>
  </si>
  <si>
    <t>PL4</t>
  </si>
  <si>
    <t>6H3549021</t>
  </si>
  <si>
    <t>PL5</t>
  </si>
  <si>
    <t>6Q1191010</t>
  </si>
  <si>
    <t>PL7</t>
  </si>
  <si>
    <t>6Q1191020</t>
  </si>
  <si>
    <t>PL7-1</t>
  </si>
  <si>
    <t>6Q1191030</t>
  </si>
  <si>
    <t>PL7-2</t>
  </si>
  <si>
    <t>6Q1263010</t>
  </si>
  <si>
    <t>PL8</t>
  </si>
  <si>
    <t>6Q1263020</t>
  </si>
  <si>
    <t>PL8-1</t>
  </si>
  <si>
    <t>6Q1263030</t>
  </si>
  <si>
    <t>PL8-2</t>
  </si>
  <si>
    <t>TF4852010</t>
  </si>
  <si>
    <t>R1</t>
  </si>
  <si>
    <t>TF4852020</t>
  </si>
  <si>
    <t>R2</t>
  </si>
  <si>
    <t>TF4852030</t>
  </si>
  <si>
    <t>R3</t>
  </si>
  <si>
    <t>6F4852010</t>
  </si>
  <si>
    <t>R4</t>
  </si>
  <si>
    <t>6F5034010</t>
  </si>
  <si>
    <t>R5</t>
  </si>
  <si>
    <t>6H4652020</t>
  </si>
  <si>
    <t>S1</t>
  </si>
  <si>
    <t>6H0271011</t>
  </si>
  <si>
    <t>S2</t>
  </si>
  <si>
    <t>6H5106032</t>
  </si>
  <si>
    <t>S3</t>
  </si>
  <si>
    <t>6H1746010</t>
  </si>
  <si>
    <t>S4</t>
  </si>
  <si>
    <t>6H4319011</t>
  </si>
  <si>
    <t>S5</t>
  </si>
  <si>
    <t>6G3929021</t>
  </si>
  <si>
    <t>S6</t>
  </si>
  <si>
    <t>6G3913011</t>
  </si>
  <si>
    <t>S8</t>
  </si>
  <si>
    <t>6H4652030</t>
  </si>
  <si>
    <t>S9</t>
  </si>
  <si>
    <t>6H5224010</t>
  </si>
  <si>
    <t>SC1</t>
  </si>
  <si>
    <t>6Q0208050</t>
  </si>
  <si>
    <t>SC2</t>
  </si>
  <si>
    <t>6Q0208040</t>
  </si>
  <si>
    <t>SC3</t>
  </si>
  <si>
    <t>6Q0208010</t>
  </si>
  <si>
    <t>SC4</t>
  </si>
  <si>
    <t>6Q0208020</t>
  </si>
  <si>
    <t>SC5</t>
  </si>
  <si>
    <t>6Q0208030</t>
  </si>
  <si>
    <t>SC6</t>
  </si>
  <si>
    <t>6H7263010</t>
  </si>
  <si>
    <t>HA2</t>
  </si>
  <si>
    <t>6H7264010</t>
  </si>
  <si>
    <t>HA4</t>
  </si>
  <si>
    <t>6H7265010</t>
  </si>
  <si>
    <t>HA6</t>
  </si>
  <si>
    <t>6H1978020</t>
  </si>
  <si>
    <t>HA9</t>
  </si>
  <si>
    <t>6H1982020</t>
  </si>
  <si>
    <t>HA11</t>
  </si>
  <si>
    <t>6H1079021</t>
  </si>
  <si>
    <t>HA12</t>
  </si>
  <si>
    <t>6H3577011</t>
  </si>
  <si>
    <t>HA14</t>
  </si>
  <si>
    <t>TOTAL</t>
  </si>
  <si>
    <t>HA1</t>
  </si>
  <si>
    <t>HA8</t>
  </si>
  <si>
    <t>M7</t>
  </si>
  <si>
    <t>N12</t>
  </si>
  <si>
    <t>N13</t>
  </si>
  <si>
    <t>N14</t>
  </si>
  <si>
    <t>N15</t>
  </si>
  <si>
    <t>N16</t>
  </si>
  <si>
    <t>N17</t>
  </si>
  <si>
    <t>PL2</t>
  </si>
  <si>
    <t>TỒN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</si>
</sst>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1010409]General"/>
    <numFmt numFmtId="166" formatCode="[$-1010409]#,##0;\-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1"/>
      <scheme val="minor"/>
    </font>
    <font>
      <b/>
      <sz val="11"/>
      <color theme="1"/>
      <name val="Calibri"/>
      <family val="1"/>
      <scheme val="minor"/>
    </font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indexed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6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17" fontId="1" fillId="0" borderId="1" xfId="0" applyNumberFormat="1" applyFont="1" applyBorder="1"/>
    <xf numFmtId="164" fontId="0" fillId="0" borderId="1" xfId="1" applyNumberFormat="1" applyFont="1" applyBorder="1"/>
    <xf numFmtId="165" fontId="5" fillId="2" borderId="2" xfId="0" applyNumberFormat="1" applyFont="1" applyFill="1" applyBorder="1" applyAlignment="1">
      <alignment horizontal="center" vertical="center" wrapText="1" readingOrder="1"/>
    </xf>
    <xf numFmtId="166" fontId="5" fillId="2" borderId="3" xfId="0" applyNumberFormat="1" applyFont="1" applyFill="1" applyBorder="1" applyAlignment="1">
      <alignment horizontal="right" vertical="center" wrapText="1" readingOrder="1"/>
    </xf>
    <xf numFmtId="0" fontId="6" fillId="0" borderId="0" xfId="0" applyFont="1"/>
    <xf numFmtId="165" fontId="7" fillId="3" borderId="2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topLeftCell="A31" zoomScaleNormal="100" workbookViewId="0">
      <selection activeCell="M41" sqref="M41"/>
    </sheetView>
  </sheetViews>
  <sheetFormatPr defaultRowHeight="15" x14ac:dyDescent="0.25"/>
  <cols>
    <col min="1" max="1" width="20.5703125" bestFit="1" customWidth="1"/>
    <col min="2" max="2" width="11.42578125" bestFit="1" customWidth="1"/>
    <col min="3" max="3" width="8.7109375" bestFit="1" customWidth="1"/>
    <col min="4" max="4" width="9" customWidth="1"/>
    <col min="5" max="5" width="10.42578125" hidden="1" customWidth="1"/>
    <col min="6" max="6" width="9.28515625" hidden="1" customWidth="1"/>
    <col min="7" max="7" width="9.28515625" customWidth="1"/>
    <col min="8" max="8" width="9.42578125" customWidth="1"/>
    <col min="9" max="9" width="11.5703125" bestFit="1" customWidth="1"/>
    <col min="10" max="10" width="10.5703125" bestFit="1" customWidth="1"/>
    <col min="257" max="257" width="20.5703125" bestFit="1" customWidth="1"/>
    <col min="258" max="258" width="11.42578125" bestFit="1" customWidth="1"/>
    <col min="259" max="259" width="8.7109375" bestFit="1" customWidth="1"/>
    <col min="260" max="260" width="9" customWidth="1"/>
    <col min="261" max="261" width="10.42578125" customWidth="1"/>
    <col min="262" max="262" width="9.28515625" customWidth="1"/>
    <col min="263" max="263" width="9.42578125" customWidth="1"/>
    <col min="264" max="264" width="0" hidden="1" customWidth="1"/>
    <col min="513" max="513" width="20.5703125" bestFit="1" customWidth="1"/>
    <col min="514" max="514" width="11.42578125" bestFit="1" customWidth="1"/>
    <col min="515" max="515" width="8.7109375" bestFit="1" customWidth="1"/>
    <col min="516" max="516" width="9" customWidth="1"/>
    <col min="517" max="517" width="10.42578125" customWidth="1"/>
    <col min="518" max="518" width="9.28515625" customWidth="1"/>
    <col min="519" max="519" width="9.42578125" customWidth="1"/>
    <col min="520" max="520" width="0" hidden="1" customWidth="1"/>
    <col min="769" max="769" width="20.5703125" bestFit="1" customWidth="1"/>
    <col min="770" max="770" width="11.42578125" bestFit="1" customWidth="1"/>
    <col min="771" max="771" width="8.7109375" bestFit="1" customWidth="1"/>
    <col min="772" max="772" width="9" customWidth="1"/>
    <col min="773" max="773" width="10.42578125" customWidth="1"/>
    <col min="774" max="774" width="9.28515625" customWidth="1"/>
    <col min="775" max="775" width="9.42578125" customWidth="1"/>
    <col min="776" max="776" width="0" hidden="1" customWidth="1"/>
    <col min="1025" max="1025" width="20.5703125" bestFit="1" customWidth="1"/>
    <col min="1026" max="1026" width="11.42578125" bestFit="1" customWidth="1"/>
    <col min="1027" max="1027" width="8.7109375" bestFit="1" customWidth="1"/>
    <col min="1028" max="1028" width="9" customWidth="1"/>
    <col min="1029" max="1029" width="10.42578125" customWidth="1"/>
    <col min="1030" max="1030" width="9.28515625" customWidth="1"/>
    <col min="1031" max="1031" width="9.42578125" customWidth="1"/>
    <col min="1032" max="1032" width="0" hidden="1" customWidth="1"/>
    <col min="1281" max="1281" width="20.5703125" bestFit="1" customWidth="1"/>
    <col min="1282" max="1282" width="11.42578125" bestFit="1" customWidth="1"/>
    <col min="1283" max="1283" width="8.7109375" bestFit="1" customWidth="1"/>
    <col min="1284" max="1284" width="9" customWidth="1"/>
    <col min="1285" max="1285" width="10.42578125" customWidth="1"/>
    <col min="1286" max="1286" width="9.28515625" customWidth="1"/>
    <col min="1287" max="1287" width="9.42578125" customWidth="1"/>
    <col min="1288" max="1288" width="0" hidden="1" customWidth="1"/>
    <col min="1537" max="1537" width="20.5703125" bestFit="1" customWidth="1"/>
    <col min="1538" max="1538" width="11.42578125" bestFit="1" customWidth="1"/>
    <col min="1539" max="1539" width="8.7109375" bestFit="1" customWidth="1"/>
    <col min="1540" max="1540" width="9" customWidth="1"/>
    <col min="1541" max="1541" width="10.42578125" customWidth="1"/>
    <col min="1542" max="1542" width="9.28515625" customWidth="1"/>
    <col min="1543" max="1543" width="9.42578125" customWidth="1"/>
    <col min="1544" max="1544" width="0" hidden="1" customWidth="1"/>
    <col min="1793" max="1793" width="20.5703125" bestFit="1" customWidth="1"/>
    <col min="1794" max="1794" width="11.42578125" bestFit="1" customWidth="1"/>
    <col min="1795" max="1795" width="8.7109375" bestFit="1" customWidth="1"/>
    <col min="1796" max="1796" width="9" customWidth="1"/>
    <col min="1797" max="1797" width="10.42578125" customWidth="1"/>
    <col min="1798" max="1798" width="9.28515625" customWidth="1"/>
    <col min="1799" max="1799" width="9.42578125" customWidth="1"/>
    <col min="1800" max="1800" width="0" hidden="1" customWidth="1"/>
    <col min="2049" max="2049" width="20.5703125" bestFit="1" customWidth="1"/>
    <col min="2050" max="2050" width="11.42578125" bestFit="1" customWidth="1"/>
    <col min="2051" max="2051" width="8.7109375" bestFit="1" customWidth="1"/>
    <col min="2052" max="2052" width="9" customWidth="1"/>
    <col min="2053" max="2053" width="10.42578125" customWidth="1"/>
    <col min="2054" max="2054" width="9.28515625" customWidth="1"/>
    <col min="2055" max="2055" width="9.42578125" customWidth="1"/>
    <col min="2056" max="2056" width="0" hidden="1" customWidth="1"/>
    <col min="2305" max="2305" width="20.5703125" bestFit="1" customWidth="1"/>
    <col min="2306" max="2306" width="11.42578125" bestFit="1" customWidth="1"/>
    <col min="2307" max="2307" width="8.7109375" bestFit="1" customWidth="1"/>
    <col min="2308" max="2308" width="9" customWidth="1"/>
    <col min="2309" max="2309" width="10.42578125" customWidth="1"/>
    <col min="2310" max="2310" width="9.28515625" customWidth="1"/>
    <col min="2311" max="2311" width="9.42578125" customWidth="1"/>
    <col min="2312" max="2312" width="0" hidden="1" customWidth="1"/>
    <col min="2561" max="2561" width="20.5703125" bestFit="1" customWidth="1"/>
    <col min="2562" max="2562" width="11.42578125" bestFit="1" customWidth="1"/>
    <col min="2563" max="2563" width="8.7109375" bestFit="1" customWidth="1"/>
    <col min="2564" max="2564" width="9" customWidth="1"/>
    <col min="2565" max="2565" width="10.42578125" customWidth="1"/>
    <col min="2566" max="2566" width="9.28515625" customWidth="1"/>
    <col min="2567" max="2567" width="9.42578125" customWidth="1"/>
    <col min="2568" max="2568" width="0" hidden="1" customWidth="1"/>
    <col min="2817" max="2817" width="20.5703125" bestFit="1" customWidth="1"/>
    <col min="2818" max="2818" width="11.42578125" bestFit="1" customWidth="1"/>
    <col min="2819" max="2819" width="8.7109375" bestFit="1" customWidth="1"/>
    <col min="2820" max="2820" width="9" customWidth="1"/>
    <col min="2821" max="2821" width="10.42578125" customWidth="1"/>
    <col min="2822" max="2822" width="9.28515625" customWidth="1"/>
    <col min="2823" max="2823" width="9.42578125" customWidth="1"/>
    <col min="2824" max="2824" width="0" hidden="1" customWidth="1"/>
    <col min="3073" max="3073" width="20.5703125" bestFit="1" customWidth="1"/>
    <col min="3074" max="3074" width="11.42578125" bestFit="1" customWidth="1"/>
    <col min="3075" max="3075" width="8.7109375" bestFit="1" customWidth="1"/>
    <col min="3076" max="3076" width="9" customWidth="1"/>
    <col min="3077" max="3077" width="10.42578125" customWidth="1"/>
    <col min="3078" max="3078" width="9.28515625" customWidth="1"/>
    <col min="3079" max="3079" width="9.42578125" customWidth="1"/>
    <col min="3080" max="3080" width="0" hidden="1" customWidth="1"/>
    <col min="3329" max="3329" width="20.5703125" bestFit="1" customWidth="1"/>
    <col min="3330" max="3330" width="11.42578125" bestFit="1" customWidth="1"/>
    <col min="3331" max="3331" width="8.7109375" bestFit="1" customWidth="1"/>
    <col min="3332" max="3332" width="9" customWidth="1"/>
    <col min="3333" max="3333" width="10.42578125" customWidth="1"/>
    <col min="3334" max="3334" width="9.28515625" customWidth="1"/>
    <col min="3335" max="3335" width="9.42578125" customWidth="1"/>
    <col min="3336" max="3336" width="0" hidden="1" customWidth="1"/>
    <col min="3585" max="3585" width="20.5703125" bestFit="1" customWidth="1"/>
    <col min="3586" max="3586" width="11.42578125" bestFit="1" customWidth="1"/>
    <col min="3587" max="3587" width="8.7109375" bestFit="1" customWidth="1"/>
    <col min="3588" max="3588" width="9" customWidth="1"/>
    <col min="3589" max="3589" width="10.42578125" customWidth="1"/>
    <col min="3590" max="3590" width="9.28515625" customWidth="1"/>
    <col min="3591" max="3591" width="9.42578125" customWidth="1"/>
    <col min="3592" max="3592" width="0" hidden="1" customWidth="1"/>
    <col min="3841" max="3841" width="20.5703125" bestFit="1" customWidth="1"/>
    <col min="3842" max="3842" width="11.42578125" bestFit="1" customWidth="1"/>
    <col min="3843" max="3843" width="8.7109375" bestFit="1" customWidth="1"/>
    <col min="3844" max="3844" width="9" customWidth="1"/>
    <col min="3845" max="3845" width="10.42578125" customWidth="1"/>
    <col min="3846" max="3846" width="9.28515625" customWidth="1"/>
    <col min="3847" max="3847" width="9.42578125" customWidth="1"/>
    <col min="3848" max="3848" width="0" hidden="1" customWidth="1"/>
    <col min="4097" max="4097" width="20.5703125" bestFit="1" customWidth="1"/>
    <col min="4098" max="4098" width="11.42578125" bestFit="1" customWidth="1"/>
    <col min="4099" max="4099" width="8.7109375" bestFit="1" customWidth="1"/>
    <col min="4100" max="4100" width="9" customWidth="1"/>
    <col min="4101" max="4101" width="10.42578125" customWidth="1"/>
    <col min="4102" max="4102" width="9.28515625" customWidth="1"/>
    <col min="4103" max="4103" width="9.42578125" customWidth="1"/>
    <col min="4104" max="4104" width="0" hidden="1" customWidth="1"/>
    <col min="4353" max="4353" width="20.5703125" bestFit="1" customWidth="1"/>
    <col min="4354" max="4354" width="11.42578125" bestFit="1" customWidth="1"/>
    <col min="4355" max="4355" width="8.7109375" bestFit="1" customWidth="1"/>
    <col min="4356" max="4356" width="9" customWidth="1"/>
    <col min="4357" max="4357" width="10.42578125" customWidth="1"/>
    <col min="4358" max="4358" width="9.28515625" customWidth="1"/>
    <col min="4359" max="4359" width="9.42578125" customWidth="1"/>
    <col min="4360" max="4360" width="0" hidden="1" customWidth="1"/>
    <col min="4609" max="4609" width="20.5703125" bestFit="1" customWidth="1"/>
    <col min="4610" max="4610" width="11.42578125" bestFit="1" customWidth="1"/>
    <col min="4611" max="4611" width="8.7109375" bestFit="1" customWidth="1"/>
    <col min="4612" max="4612" width="9" customWidth="1"/>
    <col min="4613" max="4613" width="10.42578125" customWidth="1"/>
    <col min="4614" max="4614" width="9.28515625" customWidth="1"/>
    <col min="4615" max="4615" width="9.42578125" customWidth="1"/>
    <col min="4616" max="4616" width="0" hidden="1" customWidth="1"/>
    <col min="4865" max="4865" width="20.5703125" bestFit="1" customWidth="1"/>
    <col min="4866" max="4866" width="11.42578125" bestFit="1" customWidth="1"/>
    <col min="4867" max="4867" width="8.7109375" bestFit="1" customWidth="1"/>
    <col min="4868" max="4868" width="9" customWidth="1"/>
    <col min="4869" max="4869" width="10.42578125" customWidth="1"/>
    <col min="4870" max="4870" width="9.28515625" customWidth="1"/>
    <col min="4871" max="4871" width="9.42578125" customWidth="1"/>
    <col min="4872" max="4872" width="0" hidden="1" customWidth="1"/>
    <col min="5121" max="5121" width="20.5703125" bestFit="1" customWidth="1"/>
    <col min="5122" max="5122" width="11.42578125" bestFit="1" customWidth="1"/>
    <col min="5123" max="5123" width="8.7109375" bestFit="1" customWidth="1"/>
    <col min="5124" max="5124" width="9" customWidth="1"/>
    <col min="5125" max="5125" width="10.42578125" customWidth="1"/>
    <col min="5126" max="5126" width="9.28515625" customWidth="1"/>
    <col min="5127" max="5127" width="9.42578125" customWidth="1"/>
    <col min="5128" max="5128" width="0" hidden="1" customWidth="1"/>
    <col min="5377" max="5377" width="20.5703125" bestFit="1" customWidth="1"/>
    <col min="5378" max="5378" width="11.42578125" bestFit="1" customWidth="1"/>
    <col min="5379" max="5379" width="8.7109375" bestFit="1" customWidth="1"/>
    <col min="5380" max="5380" width="9" customWidth="1"/>
    <col min="5381" max="5381" width="10.42578125" customWidth="1"/>
    <col min="5382" max="5382" width="9.28515625" customWidth="1"/>
    <col min="5383" max="5383" width="9.42578125" customWidth="1"/>
    <col min="5384" max="5384" width="0" hidden="1" customWidth="1"/>
    <col min="5633" max="5633" width="20.5703125" bestFit="1" customWidth="1"/>
    <col min="5634" max="5634" width="11.42578125" bestFit="1" customWidth="1"/>
    <col min="5635" max="5635" width="8.7109375" bestFit="1" customWidth="1"/>
    <col min="5636" max="5636" width="9" customWidth="1"/>
    <col min="5637" max="5637" width="10.42578125" customWidth="1"/>
    <col min="5638" max="5638" width="9.28515625" customWidth="1"/>
    <col min="5639" max="5639" width="9.42578125" customWidth="1"/>
    <col min="5640" max="5640" width="0" hidden="1" customWidth="1"/>
    <col min="5889" max="5889" width="20.5703125" bestFit="1" customWidth="1"/>
    <col min="5890" max="5890" width="11.42578125" bestFit="1" customWidth="1"/>
    <col min="5891" max="5891" width="8.7109375" bestFit="1" customWidth="1"/>
    <col min="5892" max="5892" width="9" customWidth="1"/>
    <col min="5893" max="5893" width="10.42578125" customWidth="1"/>
    <col min="5894" max="5894" width="9.28515625" customWidth="1"/>
    <col min="5895" max="5895" width="9.42578125" customWidth="1"/>
    <col min="5896" max="5896" width="0" hidden="1" customWidth="1"/>
    <col min="6145" max="6145" width="20.5703125" bestFit="1" customWidth="1"/>
    <col min="6146" max="6146" width="11.42578125" bestFit="1" customWidth="1"/>
    <col min="6147" max="6147" width="8.7109375" bestFit="1" customWidth="1"/>
    <col min="6148" max="6148" width="9" customWidth="1"/>
    <col min="6149" max="6149" width="10.42578125" customWidth="1"/>
    <col min="6150" max="6150" width="9.28515625" customWidth="1"/>
    <col min="6151" max="6151" width="9.42578125" customWidth="1"/>
    <col min="6152" max="6152" width="0" hidden="1" customWidth="1"/>
    <col min="6401" max="6401" width="20.5703125" bestFit="1" customWidth="1"/>
    <col min="6402" max="6402" width="11.42578125" bestFit="1" customWidth="1"/>
    <col min="6403" max="6403" width="8.7109375" bestFit="1" customWidth="1"/>
    <col min="6404" max="6404" width="9" customWidth="1"/>
    <col min="6405" max="6405" width="10.42578125" customWidth="1"/>
    <col min="6406" max="6406" width="9.28515625" customWidth="1"/>
    <col min="6407" max="6407" width="9.42578125" customWidth="1"/>
    <col min="6408" max="6408" width="0" hidden="1" customWidth="1"/>
    <col min="6657" max="6657" width="20.5703125" bestFit="1" customWidth="1"/>
    <col min="6658" max="6658" width="11.42578125" bestFit="1" customWidth="1"/>
    <col min="6659" max="6659" width="8.7109375" bestFit="1" customWidth="1"/>
    <col min="6660" max="6660" width="9" customWidth="1"/>
    <col min="6661" max="6661" width="10.42578125" customWidth="1"/>
    <col min="6662" max="6662" width="9.28515625" customWidth="1"/>
    <col min="6663" max="6663" width="9.42578125" customWidth="1"/>
    <col min="6664" max="6664" width="0" hidden="1" customWidth="1"/>
    <col min="6913" max="6913" width="20.5703125" bestFit="1" customWidth="1"/>
    <col min="6914" max="6914" width="11.42578125" bestFit="1" customWidth="1"/>
    <col min="6915" max="6915" width="8.7109375" bestFit="1" customWidth="1"/>
    <col min="6916" max="6916" width="9" customWidth="1"/>
    <col min="6917" max="6917" width="10.42578125" customWidth="1"/>
    <col min="6918" max="6918" width="9.28515625" customWidth="1"/>
    <col min="6919" max="6919" width="9.42578125" customWidth="1"/>
    <col min="6920" max="6920" width="0" hidden="1" customWidth="1"/>
    <col min="7169" max="7169" width="20.5703125" bestFit="1" customWidth="1"/>
    <col min="7170" max="7170" width="11.42578125" bestFit="1" customWidth="1"/>
    <col min="7171" max="7171" width="8.7109375" bestFit="1" customWidth="1"/>
    <col min="7172" max="7172" width="9" customWidth="1"/>
    <col min="7173" max="7173" width="10.42578125" customWidth="1"/>
    <col min="7174" max="7174" width="9.28515625" customWidth="1"/>
    <col min="7175" max="7175" width="9.42578125" customWidth="1"/>
    <col min="7176" max="7176" width="0" hidden="1" customWidth="1"/>
    <col min="7425" max="7425" width="20.5703125" bestFit="1" customWidth="1"/>
    <col min="7426" max="7426" width="11.42578125" bestFit="1" customWidth="1"/>
    <col min="7427" max="7427" width="8.7109375" bestFit="1" customWidth="1"/>
    <col min="7428" max="7428" width="9" customWidth="1"/>
    <col min="7429" max="7429" width="10.42578125" customWidth="1"/>
    <col min="7430" max="7430" width="9.28515625" customWidth="1"/>
    <col min="7431" max="7431" width="9.42578125" customWidth="1"/>
    <col min="7432" max="7432" width="0" hidden="1" customWidth="1"/>
    <col min="7681" max="7681" width="20.5703125" bestFit="1" customWidth="1"/>
    <col min="7682" max="7682" width="11.42578125" bestFit="1" customWidth="1"/>
    <col min="7683" max="7683" width="8.7109375" bestFit="1" customWidth="1"/>
    <col min="7684" max="7684" width="9" customWidth="1"/>
    <col min="7685" max="7685" width="10.42578125" customWidth="1"/>
    <col min="7686" max="7686" width="9.28515625" customWidth="1"/>
    <col min="7687" max="7687" width="9.42578125" customWidth="1"/>
    <col min="7688" max="7688" width="0" hidden="1" customWidth="1"/>
    <col min="7937" max="7937" width="20.5703125" bestFit="1" customWidth="1"/>
    <col min="7938" max="7938" width="11.42578125" bestFit="1" customWidth="1"/>
    <col min="7939" max="7939" width="8.7109375" bestFit="1" customWidth="1"/>
    <col min="7940" max="7940" width="9" customWidth="1"/>
    <col min="7941" max="7941" width="10.42578125" customWidth="1"/>
    <col min="7942" max="7942" width="9.28515625" customWidth="1"/>
    <col min="7943" max="7943" width="9.42578125" customWidth="1"/>
    <col min="7944" max="7944" width="0" hidden="1" customWidth="1"/>
    <col min="8193" max="8193" width="20.5703125" bestFit="1" customWidth="1"/>
    <col min="8194" max="8194" width="11.42578125" bestFit="1" customWidth="1"/>
    <col min="8195" max="8195" width="8.7109375" bestFit="1" customWidth="1"/>
    <col min="8196" max="8196" width="9" customWidth="1"/>
    <col min="8197" max="8197" width="10.42578125" customWidth="1"/>
    <col min="8198" max="8198" width="9.28515625" customWidth="1"/>
    <col min="8199" max="8199" width="9.42578125" customWidth="1"/>
    <col min="8200" max="8200" width="0" hidden="1" customWidth="1"/>
    <col min="8449" max="8449" width="20.5703125" bestFit="1" customWidth="1"/>
    <col min="8450" max="8450" width="11.42578125" bestFit="1" customWidth="1"/>
    <col min="8451" max="8451" width="8.7109375" bestFit="1" customWidth="1"/>
    <col min="8452" max="8452" width="9" customWidth="1"/>
    <col min="8453" max="8453" width="10.42578125" customWidth="1"/>
    <col min="8454" max="8454" width="9.28515625" customWidth="1"/>
    <col min="8455" max="8455" width="9.42578125" customWidth="1"/>
    <col min="8456" max="8456" width="0" hidden="1" customWidth="1"/>
    <col min="8705" max="8705" width="20.5703125" bestFit="1" customWidth="1"/>
    <col min="8706" max="8706" width="11.42578125" bestFit="1" customWidth="1"/>
    <col min="8707" max="8707" width="8.7109375" bestFit="1" customWidth="1"/>
    <col min="8708" max="8708" width="9" customWidth="1"/>
    <col min="8709" max="8709" width="10.42578125" customWidth="1"/>
    <col min="8710" max="8710" width="9.28515625" customWidth="1"/>
    <col min="8711" max="8711" width="9.42578125" customWidth="1"/>
    <col min="8712" max="8712" width="0" hidden="1" customWidth="1"/>
    <col min="8961" max="8961" width="20.5703125" bestFit="1" customWidth="1"/>
    <col min="8962" max="8962" width="11.42578125" bestFit="1" customWidth="1"/>
    <col min="8963" max="8963" width="8.7109375" bestFit="1" customWidth="1"/>
    <col min="8964" max="8964" width="9" customWidth="1"/>
    <col min="8965" max="8965" width="10.42578125" customWidth="1"/>
    <col min="8966" max="8966" width="9.28515625" customWidth="1"/>
    <col min="8967" max="8967" width="9.42578125" customWidth="1"/>
    <col min="8968" max="8968" width="0" hidden="1" customWidth="1"/>
    <col min="9217" max="9217" width="20.5703125" bestFit="1" customWidth="1"/>
    <col min="9218" max="9218" width="11.42578125" bestFit="1" customWidth="1"/>
    <col min="9219" max="9219" width="8.7109375" bestFit="1" customWidth="1"/>
    <col min="9220" max="9220" width="9" customWidth="1"/>
    <col min="9221" max="9221" width="10.42578125" customWidth="1"/>
    <col min="9222" max="9222" width="9.28515625" customWidth="1"/>
    <col min="9223" max="9223" width="9.42578125" customWidth="1"/>
    <col min="9224" max="9224" width="0" hidden="1" customWidth="1"/>
    <col min="9473" max="9473" width="20.5703125" bestFit="1" customWidth="1"/>
    <col min="9474" max="9474" width="11.42578125" bestFit="1" customWidth="1"/>
    <col min="9475" max="9475" width="8.7109375" bestFit="1" customWidth="1"/>
    <col min="9476" max="9476" width="9" customWidth="1"/>
    <col min="9477" max="9477" width="10.42578125" customWidth="1"/>
    <col min="9478" max="9478" width="9.28515625" customWidth="1"/>
    <col min="9479" max="9479" width="9.42578125" customWidth="1"/>
    <col min="9480" max="9480" width="0" hidden="1" customWidth="1"/>
    <col min="9729" max="9729" width="20.5703125" bestFit="1" customWidth="1"/>
    <col min="9730" max="9730" width="11.42578125" bestFit="1" customWidth="1"/>
    <col min="9731" max="9731" width="8.7109375" bestFit="1" customWidth="1"/>
    <col min="9732" max="9732" width="9" customWidth="1"/>
    <col min="9733" max="9733" width="10.42578125" customWidth="1"/>
    <col min="9734" max="9734" width="9.28515625" customWidth="1"/>
    <col min="9735" max="9735" width="9.42578125" customWidth="1"/>
    <col min="9736" max="9736" width="0" hidden="1" customWidth="1"/>
    <col min="9985" max="9985" width="20.5703125" bestFit="1" customWidth="1"/>
    <col min="9986" max="9986" width="11.42578125" bestFit="1" customWidth="1"/>
    <col min="9987" max="9987" width="8.7109375" bestFit="1" customWidth="1"/>
    <col min="9988" max="9988" width="9" customWidth="1"/>
    <col min="9989" max="9989" width="10.42578125" customWidth="1"/>
    <col min="9990" max="9990" width="9.28515625" customWidth="1"/>
    <col min="9991" max="9991" width="9.42578125" customWidth="1"/>
    <col min="9992" max="9992" width="0" hidden="1" customWidth="1"/>
    <col min="10241" max="10241" width="20.5703125" bestFit="1" customWidth="1"/>
    <col min="10242" max="10242" width="11.42578125" bestFit="1" customWidth="1"/>
    <col min="10243" max="10243" width="8.7109375" bestFit="1" customWidth="1"/>
    <col min="10244" max="10244" width="9" customWidth="1"/>
    <col min="10245" max="10245" width="10.42578125" customWidth="1"/>
    <col min="10246" max="10246" width="9.28515625" customWidth="1"/>
    <col min="10247" max="10247" width="9.42578125" customWidth="1"/>
    <col min="10248" max="10248" width="0" hidden="1" customWidth="1"/>
    <col min="10497" max="10497" width="20.5703125" bestFit="1" customWidth="1"/>
    <col min="10498" max="10498" width="11.42578125" bestFit="1" customWidth="1"/>
    <col min="10499" max="10499" width="8.7109375" bestFit="1" customWidth="1"/>
    <col min="10500" max="10500" width="9" customWidth="1"/>
    <col min="10501" max="10501" width="10.42578125" customWidth="1"/>
    <col min="10502" max="10502" width="9.28515625" customWidth="1"/>
    <col min="10503" max="10503" width="9.42578125" customWidth="1"/>
    <col min="10504" max="10504" width="0" hidden="1" customWidth="1"/>
    <col min="10753" max="10753" width="20.5703125" bestFit="1" customWidth="1"/>
    <col min="10754" max="10754" width="11.42578125" bestFit="1" customWidth="1"/>
    <col min="10755" max="10755" width="8.7109375" bestFit="1" customWidth="1"/>
    <col min="10756" max="10756" width="9" customWidth="1"/>
    <col min="10757" max="10757" width="10.42578125" customWidth="1"/>
    <col min="10758" max="10758" width="9.28515625" customWidth="1"/>
    <col min="10759" max="10759" width="9.42578125" customWidth="1"/>
    <col min="10760" max="10760" width="0" hidden="1" customWidth="1"/>
    <col min="11009" max="11009" width="20.5703125" bestFit="1" customWidth="1"/>
    <col min="11010" max="11010" width="11.42578125" bestFit="1" customWidth="1"/>
    <col min="11011" max="11011" width="8.7109375" bestFit="1" customWidth="1"/>
    <col min="11012" max="11012" width="9" customWidth="1"/>
    <col min="11013" max="11013" width="10.42578125" customWidth="1"/>
    <col min="11014" max="11014" width="9.28515625" customWidth="1"/>
    <col min="11015" max="11015" width="9.42578125" customWidth="1"/>
    <col min="11016" max="11016" width="0" hidden="1" customWidth="1"/>
    <col min="11265" max="11265" width="20.5703125" bestFit="1" customWidth="1"/>
    <col min="11266" max="11266" width="11.42578125" bestFit="1" customWidth="1"/>
    <col min="11267" max="11267" width="8.7109375" bestFit="1" customWidth="1"/>
    <col min="11268" max="11268" width="9" customWidth="1"/>
    <col min="11269" max="11269" width="10.42578125" customWidth="1"/>
    <col min="11270" max="11270" width="9.28515625" customWidth="1"/>
    <col min="11271" max="11271" width="9.42578125" customWidth="1"/>
    <col min="11272" max="11272" width="0" hidden="1" customWidth="1"/>
    <col min="11521" max="11521" width="20.5703125" bestFit="1" customWidth="1"/>
    <col min="11522" max="11522" width="11.42578125" bestFit="1" customWidth="1"/>
    <col min="11523" max="11523" width="8.7109375" bestFit="1" customWidth="1"/>
    <col min="11524" max="11524" width="9" customWidth="1"/>
    <col min="11525" max="11525" width="10.42578125" customWidth="1"/>
    <col min="11526" max="11526" width="9.28515625" customWidth="1"/>
    <col min="11527" max="11527" width="9.42578125" customWidth="1"/>
    <col min="11528" max="11528" width="0" hidden="1" customWidth="1"/>
    <col min="11777" max="11777" width="20.5703125" bestFit="1" customWidth="1"/>
    <col min="11778" max="11778" width="11.42578125" bestFit="1" customWidth="1"/>
    <col min="11779" max="11779" width="8.7109375" bestFit="1" customWidth="1"/>
    <col min="11780" max="11780" width="9" customWidth="1"/>
    <col min="11781" max="11781" width="10.42578125" customWidth="1"/>
    <col min="11782" max="11782" width="9.28515625" customWidth="1"/>
    <col min="11783" max="11783" width="9.42578125" customWidth="1"/>
    <col min="11784" max="11784" width="0" hidden="1" customWidth="1"/>
    <col min="12033" max="12033" width="20.5703125" bestFit="1" customWidth="1"/>
    <col min="12034" max="12034" width="11.42578125" bestFit="1" customWidth="1"/>
    <col min="12035" max="12035" width="8.7109375" bestFit="1" customWidth="1"/>
    <col min="12036" max="12036" width="9" customWidth="1"/>
    <col min="12037" max="12037" width="10.42578125" customWidth="1"/>
    <col min="12038" max="12038" width="9.28515625" customWidth="1"/>
    <col min="12039" max="12039" width="9.42578125" customWidth="1"/>
    <col min="12040" max="12040" width="0" hidden="1" customWidth="1"/>
    <col min="12289" max="12289" width="20.5703125" bestFit="1" customWidth="1"/>
    <col min="12290" max="12290" width="11.42578125" bestFit="1" customWidth="1"/>
    <col min="12291" max="12291" width="8.7109375" bestFit="1" customWidth="1"/>
    <col min="12292" max="12292" width="9" customWidth="1"/>
    <col min="12293" max="12293" width="10.42578125" customWidth="1"/>
    <col min="12294" max="12294" width="9.28515625" customWidth="1"/>
    <col min="12295" max="12295" width="9.42578125" customWidth="1"/>
    <col min="12296" max="12296" width="0" hidden="1" customWidth="1"/>
    <col min="12545" max="12545" width="20.5703125" bestFit="1" customWidth="1"/>
    <col min="12546" max="12546" width="11.42578125" bestFit="1" customWidth="1"/>
    <col min="12547" max="12547" width="8.7109375" bestFit="1" customWidth="1"/>
    <col min="12548" max="12548" width="9" customWidth="1"/>
    <col min="12549" max="12549" width="10.42578125" customWidth="1"/>
    <col min="12550" max="12550" width="9.28515625" customWidth="1"/>
    <col min="12551" max="12551" width="9.42578125" customWidth="1"/>
    <col min="12552" max="12552" width="0" hidden="1" customWidth="1"/>
    <col min="12801" max="12801" width="20.5703125" bestFit="1" customWidth="1"/>
    <col min="12802" max="12802" width="11.42578125" bestFit="1" customWidth="1"/>
    <col min="12803" max="12803" width="8.7109375" bestFit="1" customWidth="1"/>
    <col min="12804" max="12804" width="9" customWidth="1"/>
    <col min="12805" max="12805" width="10.42578125" customWidth="1"/>
    <col min="12806" max="12806" width="9.28515625" customWidth="1"/>
    <col min="12807" max="12807" width="9.42578125" customWidth="1"/>
    <col min="12808" max="12808" width="0" hidden="1" customWidth="1"/>
    <col min="13057" max="13057" width="20.5703125" bestFit="1" customWidth="1"/>
    <col min="13058" max="13058" width="11.42578125" bestFit="1" customWidth="1"/>
    <col min="13059" max="13059" width="8.7109375" bestFit="1" customWidth="1"/>
    <col min="13060" max="13060" width="9" customWidth="1"/>
    <col min="13061" max="13061" width="10.42578125" customWidth="1"/>
    <col min="13062" max="13062" width="9.28515625" customWidth="1"/>
    <col min="13063" max="13063" width="9.42578125" customWidth="1"/>
    <col min="13064" max="13064" width="0" hidden="1" customWidth="1"/>
    <col min="13313" max="13313" width="20.5703125" bestFit="1" customWidth="1"/>
    <col min="13314" max="13314" width="11.42578125" bestFit="1" customWidth="1"/>
    <col min="13315" max="13315" width="8.7109375" bestFit="1" customWidth="1"/>
    <col min="13316" max="13316" width="9" customWidth="1"/>
    <col min="13317" max="13317" width="10.42578125" customWidth="1"/>
    <col min="13318" max="13318" width="9.28515625" customWidth="1"/>
    <col min="13319" max="13319" width="9.42578125" customWidth="1"/>
    <col min="13320" max="13320" width="0" hidden="1" customWidth="1"/>
    <col min="13569" max="13569" width="20.5703125" bestFit="1" customWidth="1"/>
    <col min="13570" max="13570" width="11.42578125" bestFit="1" customWidth="1"/>
    <col min="13571" max="13571" width="8.7109375" bestFit="1" customWidth="1"/>
    <col min="13572" max="13572" width="9" customWidth="1"/>
    <col min="13573" max="13573" width="10.42578125" customWidth="1"/>
    <col min="13574" max="13574" width="9.28515625" customWidth="1"/>
    <col min="13575" max="13575" width="9.42578125" customWidth="1"/>
    <col min="13576" max="13576" width="0" hidden="1" customWidth="1"/>
    <col min="13825" max="13825" width="20.5703125" bestFit="1" customWidth="1"/>
    <col min="13826" max="13826" width="11.42578125" bestFit="1" customWidth="1"/>
    <col min="13827" max="13827" width="8.7109375" bestFit="1" customWidth="1"/>
    <col min="13828" max="13828" width="9" customWidth="1"/>
    <col min="13829" max="13829" width="10.42578125" customWidth="1"/>
    <col min="13830" max="13830" width="9.28515625" customWidth="1"/>
    <col min="13831" max="13831" width="9.42578125" customWidth="1"/>
    <col min="13832" max="13832" width="0" hidden="1" customWidth="1"/>
    <col min="14081" max="14081" width="20.5703125" bestFit="1" customWidth="1"/>
    <col min="14082" max="14082" width="11.42578125" bestFit="1" customWidth="1"/>
    <col min="14083" max="14083" width="8.7109375" bestFit="1" customWidth="1"/>
    <col min="14084" max="14084" width="9" customWidth="1"/>
    <col min="14085" max="14085" width="10.42578125" customWidth="1"/>
    <col min="14086" max="14086" width="9.28515625" customWidth="1"/>
    <col min="14087" max="14087" width="9.42578125" customWidth="1"/>
    <col min="14088" max="14088" width="0" hidden="1" customWidth="1"/>
    <col min="14337" max="14337" width="20.5703125" bestFit="1" customWidth="1"/>
    <col min="14338" max="14338" width="11.42578125" bestFit="1" customWidth="1"/>
    <col min="14339" max="14339" width="8.7109375" bestFit="1" customWidth="1"/>
    <col min="14340" max="14340" width="9" customWidth="1"/>
    <col min="14341" max="14341" width="10.42578125" customWidth="1"/>
    <col min="14342" max="14342" width="9.28515625" customWidth="1"/>
    <col min="14343" max="14343" width="9.42578125" customWidth="1"/>
    <col min="14344" max="14344" width="0" hidden="1" customWidth="1"/>
    <col min="14593" max="14593" width="20.5703125" bestFit="1" customWidth="1"/>
    <col min="14594" max="14594" width="11.42578125" bestFit="1" customWidth="1"/>
    <col min="14595" max="14595" width="8.7109375" bestFit="1" customWidth="1"/>
    <col min="14596" max="14596" width="9" customWidth="1"/>
    <col min="14597" max="14597" width="10.42578125" customWidth="1"/>
    <col min="14598" max="14598" width="9.28515625" customWidth="1"/>
    <col min="14599" max="14599" width="9.42578125" customWidth="1"/>
    <col min="14600" max="14600" width="0" hidden="1" customWidth="1"/>
    <col min="14849" max="14849" width="20.5703125" bestFit="1" customWidth="1"/>
    <col min="14850" max="14850" width="11.42578125" bestFit="1" customWidth="1"/>
    <col min="14851" max="14851" width="8.7109375" bestFit="1" customWidth="1"/>
    <col min="14852" max="14852" width="9" customWidth="1"/>
    <col min="14853" max="14853" width="10.42578125" customWidth="1"/>
    <col min="14854" max="14854" width="9.28515625" customWidth="1"/>
    <col min="14855" max="14855" width="9.42578125" customWidth="1"/>
    <col min="14856" max="14856" width="0" hidden="1" customWidth="1"/>
    <col min="15105" max="15105" width="20.5703125" bestFit="1" customWidth="1"/>
    <col min="15106" max="15106" width="11.42578125" bestFit="1" customWidth="1"/>
    <col min="15107" max="15107" width="8.7109375" bestFit="1" customWidth="1"/>
    <col min="15108" max="15108" width="9" customWidth="1"/>
    <col min="15109" max="15109" width="10.42578125" customWidth="1"/>
    <col min="15110" max="15110" width="9.28515625" customWidth="1"/>
    <col min="15111" max="15111" width="9.42578125" customWidth="1"/>
    <col min="15112" max="15112" width="0" hidden="1" customWidth="1"/>
    <col min="15361" max="15361" width="20.5703125" bestFit="1" customWidth="1"/>
    <col min="15362" max="15362" width="11.42578125" bestFit="1" customWidth="1"/>
    <col min="15363" max="15363" width="8.7109375" bestFit="1" customWidth="1"/>
    <col min="15364" max="15364" width="9" customWidth="1"/>
    <col min="15365" max="15365" width="10.42578125" customWidth="1"/>
    <col min="15366" max="15366" width="9.28515625" customWidth="1"/>
    <col min="15367" max="15367" width="9.42578125" customWidth="1"/>
    <col min="15368" max="15368" width="0" hidden="1" customWidth="1"/>
    <col min="15617" max="15617" width="20.5703125" bestFit="1" customWidth="1"/>
    <col min="15618" max="15618" width="11.42578125" bestFit="1" customWidth="1"/>
    <col min="15619" max="15619" width="8.7109375" bestFit="1" customWidth="1"/>
    <col min="15620" max="15620" width="9" customWidth="1"/>
    <col min="15621" max="15621" width="10.42578125" customWidth="1"/>
    <col min="15622" max="15622" width="9.28515625" customWidth="1"/>
    <col min="15623" max="15623" width="9.42578125" customWidth="1"/>
    <col min="15624" max="15624" width="0" hidden="1" customWidth="1"/>
    <col min="15873" max="15873" width="20.5703125" bestFit="1" customWidth="1"/>
    <col min="15874" max="15874" width="11.42578125" bestFit="1" customWidth="1"/>
    <col min="15875" max="15875" width="8.7109375" bestFit="1" customWidth="1"/>
    <col min="15876" max="15876" width="9" customWidth="1"/>
    <col min="15877" max="15877" width="10.42578125" customWidth="1"/>
    <col min="15878" max="15878" width="9.28515625" customWidth="1"/>
    <col min="15879" max="15879" width="9.42578125" customWidth="1"/>
    <col min="15880" max="15880" width="0" hidden="1" customWidth="1"/>
    <col min="16129" max="16129" width="20.5703125" bestFit="1" customWidth="1"/>
    <col min="16130" max="16130" width="11.42578125" bestFit="1" customWidth="1"/>
    <col min="16131" max="16131" width="8.7109375" bestFit="1" customWidth="1"/>
    <col min="16132" max="16132" width="9" customWidth="1"/>
    <col min="16133" max="16133" width="10.42578125" customWidth="1"/>
    <col min="16134" max="16134" width="9.28515625" customWidth="1"/>
    <col min="16135" max="16135" width="9.42578125" customWidth="1"/>
    <col min="16136" max="16136" width="0" hidden="1" customWidth="1"/>
  </cols>
  <sheetData>
    <row r="1" spans="1:10" ht="15.75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10" x14ac:dyDescent="0.25">
      <c r="A2" s="1"/>
      <c r="B2" s="1"/>
      <c r="C2" s="1"/>
      <c r="D2" s="1"/>
      <c r="E2" s="1"/>
      <c r="F2" s="1"/>
      <c r="G2" s="1"/>
      <c r="H2" s="1"/>
    </row>
    <row r="3" spans="1:10" x14ac:dyDescent="0.25">
      <c r="E3" s="11" t="s">
        <v>1</v>
      </c>
      <c r="F3" s="11"/>
      <c r="G3" s="11"/>
      <c r="H3" s="11"/>
    </row>
    <row r="4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4">
        <v>42125</v>
      </c>
      <c r="F4" s="4">
        <v>42156</v>
      </c>
      <c r="G4" s="4">
        <v>42125</v>
      </c>
      <c r="H4" s="4">
        <v>42156</v>
      </c>
      <c r="I4" s="3" t="s">
        <v>203</v>
      </c>
      <c r="J4" s="3" t="s">
        <v>214</v>
      </c>
    </row>
    <row r="5" spans="1:10" x14ac:dyDescent="0.25">
      <c r="A5" s="2"/>
      <c r="B5" s="2"/>
      <c r="C5" s="2"/>
      <c r="D5" s="2"/>
      <c r="E5" s="2">
        <f>SUM(E6:E103)</f>
        <v>7335</v>
      </c>
      <c r="F5" s="2">
        <f>SUM(F6:F103)</f>
        <v>375134</v>
      </c>
      <c r="G5" s="5">
        <f>SUM(E5:F5)</f>
        <v>382469</v>
      </c>
      <c r="H5" s="5">
        <f>SUM(H6:H103)</f>
        <v>98133</v>
      </c>
      <c r="I5" s="5">
        <f>SUM(G5:H5)</f>
        <v>480602</v>
      </c>
      <c r="J5" s="5">
        <f>SUM(H5:I5)</f>
        <v>578735</v>
      </c>
    </row>
    <row r="6" spans="1:10" x14ac:dyDescent="0.25">
      <c r="A6" s="2" t="s">
        <v>6</v>
      </c>
      <c r="B6" s="2" t="s">
        <v>7</v>
      </c>
      <c r="C6" s="2" t="s">
        <v>8</v>
      </c>
      <c r="D6" s="2">
        <v>2.5000000000000001E-2</v>
      </c>
      <c r="E6" s="2">
        <v>0</v>
      </c>
      <c r="F6" s="2">
        <v>0</v>
      </c>
      <c r="G6" s="5">
        <f t="shared" ref="G6:G67" si="0">SUM(E6:F6)</f>
        <v>0</v>
      </c>
      <c r="H6" s="5">
        <v>0</v>
      </c>
      <c r="I6" s="5">
        <f t="shared" ref="I6:I67" si="1">SUM(G6:H6)</f>
        <v>0</v>
      </c>
      <c r="J6" s="5">
        <f>VLOOKUP(C6,Sheet2!$A$1:$B$108,2,0)</f>
        <v>17810</v>
      </c>
    </row>
    <row r="7" spans="1:10" x14ac:dyDescent="0.25">
      <c r="A7" s="2" t="s">
        <v>6</v>
      </c>
      <c r="B7" s="2" t="s">
        <v>9</v>
      </c>
      <c r="C7" s="2" t="s">
        <v>10</v>
      </c>
      <c r="D7" s="2">
        <v>4.2000000000000003E-2</v>
      </c>
      <c r="E7" s="2">
        <v>0</v>
      </c>
      <c r="F7" s="2">
        <v>1010</v>
      </c>
      <c r="G7" s="5">
        <f t="shared" si="0"/>
        <v>1010</v>
      </c>
      <c r="H7" s="5">
        <v>1050</v>
      </c>
      <c r="I7" s="5">
        <f t="shared" si="1"/>
        <v>2060</v>
      </c>
      <c r="J7" s="5">
        <f>VLOOKUP(C7,Sheet2!$A$1:$B$108,2,0)</f>
        <v>30417</v>
      </c>
    </row>
    <row r="8" spans="1:10" x14ac:dyDescent="0.25">
      <c r="A8" s="2" t="s">
        <v>6</v>
      </c>
      <c r="B8" s="2" t="s">
        <v>11</v>
      </c>
      <c r="C8" s="2" t="s">
        <v>12</v>
      </c>
      <c r="D8" s="2">
        <v>5.2999999999999999E-2</v>
      </c>
      <c r="E8" s="2">
        <v>0</v>
      </c>
      <c r="F8" s="2">
        <v>0</v>
      </c>
      <c r="G8" s="5">
        <f t="shared" si="0"/>
        <v>0</v>
      </c>
      <c r="H8" s="5">
        <v>0</v>
      </c>
      <c r="I8" s="5">
        <f t="shared" si="1"/>
        <v>0</v>
      </c>
      <c r="J8" s="5">
        <f>VLOOKUP(C8,Sheet2!$A$1:$B$108,2,0)</f>
        <v>16043</v>
      </c>
    </row>
    <row r="9" spans="1:10" x14ac:dyDescent="0.25">
      <c r="A9" s="2" t="s">
        <v>6</v>
      </c>
      <c r="B9" s="2" t="s">
        <v>13</v>
      </c>
      <c r="C9" s="2" t="s">
        <v>14</v>
      </c>
      <c r="D9" s="2">
        <v>3.15E-2</v>
      </c>
      <c r="E9" s="2">
        <v>0</v>
      </c>
      <c r="F9" s="2">
        <v>1660</v>
      </c>
      <c r="G9" s="5">
        <f t="shared" si="0"/>
        <v>1660</v>
      </c>
      <c r="H9" s="5">
        <v>2650</v>
      </c>
      <c r="I9" s="5">
        <f t="shared" si="1"/>
        <v>4310</v>
      </c>
      <c r="J9" s="5">
        <f>VLOOKUP(C9,Sheet2!$A$1:$B$108,2,0)</f>
        <v>23050</v>
      </c>
    </row>
    <row r="10" spans="1:10" x14ac:dyDescent="0.25">
      <c r="A10" s="2" t="s">
        <v>6</v>
      </c>
      <c r="B10" s="2" t="s">
        <v>15</v>
      </c>
      <c r="C10" s="2" t="s">
        <v>16</v>
      </c>
      <c r="D10" s="2">
        <v>6.3E-2</v>
      </c>
      <c r="E10" s="2">
        <v>0</v>
      </c>
      <c r="F10" s="2">
        <v>1660</v>
      </c>
      <c r="G10" s="5">
        <f t="shared" si="0"/>
        <v>1660</v>
      </c>
      <c r="H10" s="5">
        <v>1630</v>
      </c>
      <c r="I10" s="5">
        <f t="shared" si="1"/>
        <v>3290</v>
      </c>
      <c r="J10" s="5">
        <f>VLOOKUP(C10,Sheet2!$A$1:$B$108,2,0)</f>
        <v>32118</v>
      </c>
    </row>
    <row r="11" spans="1:10" x14ac:dyDescent="0.25">
      <c r="A11" s="2" t="s">
        <v>6</v>
      </c>
      <c r="B11" s="2" t="s">
        <v>17</v>
      </c>
      <c r="C11" s="2" t="s">
        <v>18</v>
      </c>
      <c r="D11" s="2">
        <v>0.18</v>
      </c>
      <c r="E11" s="2">
        <v>0</v>
      </c>
      <c r="F11" s="2">
        <v>0</v>
      </c>
      <c r="G11" s="5">
        <f t="shared" si="0"/>
        <v>0</v>
      </c>
      <c r="H11" s="5">
        <v>0</v>
      </c>
      <c r="I11" s="5">
        <f t="shared" si="1"/>
        <v>0</v>
      </c>
      <c r="J11" s="5">
        <f>VLOOKUP(C11,Sheet2!$A$1:$B$108,2,0)</f>
        <v>30243</v>
      </c>
    </row>
    <row r="12" spans="1:10" x14ac:dyDescent="0.25">
      <c r="A12" s="2" t="s">
        <v>6</v>
      </c>
      <c r="B12" s="2" t="s">
        <v>19</v>
      </c>
      <c r="C12" s="2" t="s">
        <v>20</v>
      </c>
      <c r="D12" s="2">
        <v>0.40200000000000002</v>
      </c>
      <c r="E12" s="2">
        <v>0</v>
      </c>
      <c r="F12" s="2">
        <v>0</v>
      </c>
      <c r="G12" s="5">
        <f t="shared" si="0"/>
        <v>0</v>
      </c>
      <c r="H12" s="5">
        <v>0</v>
      </c>
      <c r="I12" s="5">
        <f t="shared" si="1"/>
        <v>0</v>
      </c>
      <c r="J12" s="5">
        <f>VLOOKUP(C12,Sheet2!$A$1:$B$108,2,0)</f>
        <v>7632</v>
      </c>
    </row>
    <row r="13" spans="1:10" x14ac:dyDescent="0.25">
      <c r="A13" s="2" t="s">
        <v>6</v>
      </c>
      <c r="B13" s="2" t="s">
        <v>21</v>
      </c>
      <c r="C13" s="2" t="s">
        <v>22</v>
      </c>
      <c r="D13" s="2">
        <v>0.16</v>
      </c>
      <c r="E13" s="2">
        <v>0</v>
      </c>
      <c r="F13" s="2">
        <v>0</v>
      </c>
      <c r="G13" s="5">
        <f t="shared" si="0"/>
        <v>0</v>
      </c>
      <c r="H13" s="5">
        <v>710</v>
      </c>
      <c r="I13" s="5">
        <f t="shared" si="1"/>
        <v>710</v>
      </c>
      <c r="J13" s="5">
        <f>VLOOKUP(C13,Sheet2!$A$1:$B$108,2,0)</f>
        <v>14839</v>
      </c>
    </row>
    <row r="14" spans="1:10" x14ac:dyDescent="0.25">
      <c r="A14" s="2" t="s">
        <v>6</v>
      </c>
      <c r="B14" s="2" t="s">
        <v>23</v>
      </c>
      <c r="C14" s="2" t="s">
        <v>24</v>
      </c>
      <c r="D14" s="2">
        <v>6.6199999999999995E-2</v>
      </c>
      <c r="E14" s="2">
        <v>0</v>
      </c>
      <c r="F14" s="2">
        <v>0</v>
      </c>
      <c r="G14" s="5">
        <f t="shared" si="0"/>
        <v>0</v>
      </c>
      <c r="H14" s="5">
        <v>0</v>
      </c>
      <c r="I14" s="5">
        <f t="shared" si="1"/>
        <v>0</v>
      </c>
      <c r="J14" s="5">
        <f>VLOOKUP(C14,Sheet2!$A$1:$B$108,2,0)</f>
        <v>16423</v>
      </c>
    </row>
    <row r="15" spans="1:10" x14ac:dyDescent="0.25">
      <c r="A15" s="2" t="s">
        <v>6</v>
      </c>
      <c r="B15" s="2" t="s">
        <v>25</v>
      </c>
      <c r="C15" s="2" t="s">
        <v>26</v>
      </c>
      <c r="D15" s="2">
        <v>7.3499999999999996E-2</v>
      </c>
      <c r="E15" s="2">
        <v>0</v>
      </c>
      <c r="F15" s="2">
        <v>0</v>
      </c>
      <c r="G15" s="5">
        <f t="shared" si="0"/>
        <v>0</v>
      </c>
      <c r="H15" s="5">
        <v>0</v>
      </c>
      <c r="I15" s="5">
        <f t="shared" si="1"/>
        <v>0</v>
      </c>
      <c r="J15" s="5">
        <f>VLOOKUP(C15,Sheet2!$A$1:$B$108,2,0)</f>
        <v>46456</v>
      </c>
    </row>
    <row r="16" spans="1:10" x14ac:dyDescent="0.25">
      <c r="A16" s="2" t="s">
        <v>6</v>
      </c>
      <c r="B16" s="2" t="s">
        <v>27</v>
      </c>
      <c r="C16" s="2" t="s">
        <v>28</v>
      </c>
      <c r="D16" s="2">
        <v>7.3499999999999996E-2</v>
      </c>
      <c r="E16" s="2">
        <v>0</v>
      </c>
      <c r="F16" s="2">
        <v>0</v>
      </c>
      <c r="G16" s="5">
        <f t="shared" si="0"/>
        <v>0</v>
      </c>
      <c r="H16" s="5">
        <v>0</v>
      </c>
      <c r="I16" s="5">
        <f t="shared" si="1"/>
        <v>0</v>
      </c>
      <c r="J16" s="5">
        <f>VLOOKUP(C16,Sheet2!$A$1:$B$108,2,0)</f>
        <v>39990</v>
      </c>
    </row>
    <row r="17" spans="1:10" x14ac:dyDescent="0.25">
      <c r="A17" s="2" t="s">
        <v>6</v>
      </c>
      <c r="B17" s="2" t="s">
        <v>29</v>
      </c>
      <c r="C17" s="2" t="s">
        <v>30</v>
      </c>
      <c r="D17" s="2">
        <v>0.16</v>
      </c>
      <c r="E17" s="2">
        <v>0</v>
      </c>
      <c r="F17" s="2">
        <v>0</v>
      </c>
      <c r="G17" s="5">
        <f t="shared" si="0"/>
        <v>0</v>
      </c>
      <c r="H17" s="5">
        <v>0</v>
      </c>
      <c r="I17" s="5">
        <f t="shared" si="1"/>
        <v>0</v>
      </c>
      <c r="J17" s="5">
        <f>VLOOKUP(C17,Sheet2!$A$1:$B$108,2,0)</f>
        <v>36018</v>
      </c>
    </row>
    <row r="18" spans="1:10" x14ac:dyDescent="0.25">
      <c r="A18" s="2" t="s">
        <v>6</v>
      </c>
      <c r="B18" s="2" t="s">
        <v>31</v>
      </c>
      <c r="C18" s="2" t="s">
        <v>32</v>
      </c>
      <c r="D18" s="2">
        <v>0</v>
      </c>
      <c r="E18" s="2">
        <v>0</v>
      </c>
      <c r="F18" s="2">
        <v>0</v>
      </c>
      <c r="G18" s="5">
        <f t="shared" si="0"/>
        <v>0</v>
      </c>
      <c r="H18" s="5">
        <v>0</v>
      </c>
      <c r="I18" s="5">
        <f t="shared" si="1"/>
        <v>0</v>
      </c>
      <c r="J18" s="5">
        <f>VLOOKUP(C18,Sheet2!$A$1:$B$108,2,0)</f>
        <v>5933</v>
      </c>
    </row>
    <row r="19" spans="1:10" x14ac:dyDescent="0.25">
      <c r="A19" s="2" t="s">
        <v>6</v>
      </c>
      <c r="B19" s="2" t="s">
        <v>33</v>
      </c>
      <c r="C19" s="2" t="s">
        <v>34</v>
      </c>
      <c r="D19" s="2">
        <v>0.14499999999999999</v>
      </c>
      <c r="E19" s="2">
        <v>0</v>
      </c>
      <c r="F19" s="2">
        <v>180</v>
      </c>
      <c r="G19" s="5">
        <f t="shared" si="0"/>
        <v>180</v>
      </c>
      <c r="H19" s="5">
        <v>1280</v>
      </c>
      <c r="I19" s="5">
        <f t="shared" si="1"/>
        <v>1460</v>
      </c>
      <c r="J19" s="5">
        <f>VLOOKUP(C19,Sheet2!$A$1:$B$108,2,0)</f>
        <v>15505</v>
      </c>
    </row>
    <row r="20" spans="1:10" x14ac:dyDescent="0.25">
      <c r="A20" s="2" t="s">
        <v>6</v>
      </c>
      <c r="B20" s="2" t="s">
        <v>35</v>
      </c>
      <c r="C20" s="2" t="s">
        <v>36</v>
      </c>
      <c r="D20" s="2">
        <v>0.151</v>
      </c>
      <c r="E20" s="2">
        <v>0</v>
      </c>
      <c r="F20" s="2">
        <v>1440</v>
      </c>
      <c r="G20" s="5">
        <f t="shared" si="0"/>
        <v>1440</v>
      </c>
      <c r="H20" s="5">
        <v>500</v>
      </c>
      <c r="I20" s="5">
        <f t="shared" si="1"/>
        <v>1940</v>
      </c>
      <c r="J20" s="5">
        <f>VLOOKUP(C20,Sheet2!$A$1:$B$108,2,0)</f>
        <v>2009</v>
      </c>
    </row>
    <row r="21" spans="1:10" x14ac:dyDescent="0.25">
      <c r="A21" s="2" t="s">
        <v>6</v>
      </c>
      <c r="B21" s="2" t="s">
        <v>37</v>
      </c>
      <c r="C21" s="2" t="s">
        <v>38</v>
      </c>
      <c r="D21" s="2">
        <v>0.38800000000000001</v>
      </c>
      <c r="E21" s="2">
        <v>30</v>
      </c>
      <c r="F21" s="2">
        <v>5970</v>
      </c>
      <c r="G21" s="5">
        <f t="shared" si="0"/>
        <v>6000</v>
      </c>
      <c r="H21" s="5">
        <v>100</v>
      </c>
      <c r="I21" s="5">
        <f t="shared" si="1"/>
        <v>6100</v>
      </c>
      <c r="J21" s="5">
        <f>VLOOKUP(C21,Sheet2!$A$1:$B$108,2,0)</f>
        <v>7872</v>
      </c>
    </row>
    <row r="22" spans="1:10" x14ac:dyDescent="0.25">
      <c r="A22" s="2" t="s">
        <v>6</v>
      </c>
      <c r="B22" s="2" t="s">
        <v>39</v>
      </c>
      <c r="C22" s="2" t="s">
        <v>40</v>
      </c>
      <c r="D22" s="2">
        <v>0.41099999999999998</v>
      </c>
      <c r="E22" s="2">
        <v>0</v>
      </c>
      <c r="F22" s="2">
        <v>500</v>
      </c>
      <c r="G22" s="5">
        <f t="shared" si="0"/>
        <v>500</v>
      </c>
      <c r="H22" s="5">
        <v>200</v>
      </c>
      <c r="I22" s="5">
        <f t="shared" si="1"/>
        <v>700</v>
      </c>
      <c r="J22" s="5">
        <f>VLOOKUP(C22,Sheet2!$A$1:$B$108,2,0)</f>
        <v>3012</v>
      </c>
    </row>
    <row r="23" spans="1:10" x14ac:dyDescent="0.25">
      <c r="A23" s="2" t="s">
        <v>6</v>
      </c>
      <c r="B23" s="2" t="s">
        <v>41</v>
      </c>
      <c r="C23" s="2" t="s">
        <v>42</v>
      </c>
      <c r="D23" s="2">
        <v>0.189</v>
      </c>
      <c r="E23" s="2">
        <v>0</v>
      </c>
      <c r="F23" s="2">
        <v>0</v>
      </c>
      <c r="G23" s="5">
        <f t="shared" si="0"/>
        <v>0</v>
      </c>
      <c r="H23" s="5">
        <v>710</v>
      </c>
      <c r="I23" s="5">
        <f t="shared" si="1"/>
        <v>710</v>
      </c>
      <c r="J23" s="5">
        <f>VLOOKUP(C23,Sheet2!$A$1:$B$108,2,0)</f>
        <v>7961</v>
      </c>
    </row>
    <row r="24" spans="1:10" x14ac:dyDescent="0.25">
      <c r="A24" s="2" t="s">
        <v>6</v>
      </c>
      <c r="B24" s="2" t="s">
        <v>43</v>
      </c>
      <c r="C24" s="2" t="s">
        <v>44</v>
      </c>
      <c r="D24" s="2">
        <v>0.19</v>
      </c>
      <c r="E24" s="2">
        <v>0</v>
      </c>
      <c r="F24" s="2">
        <v>0</v>
      </c>
      <c r="G24" s="5">
        <f t="shared" si="0"/>
        <v>0</v>
      </c>
      <c r="H24" s="5">
        <v>0</v>
      </c>
      <c r="I24" s="5">
        <f t="shared" si="1"/>
        <v>0</v>
      </c>
      <c r="J24" s="5">
        <f>VLOOKUP(C24,Sheet2!$A$1:$B$108,2,0)</f>
        <v>2628</v>
      </c>
    </row>
    <row r="25" spans="1:10" x14ac:dyDescent="0.25">
      <c r="A25" s="2" t="s">
        <v>6</v>
      </c>
      <c r="B25" s="2" t="s">
        <v>45</v>
      </c>
      <c r="C25" s="2" t="s">
        <v>46</v>
      </c>
      <c r="D25" s="2">
        <v>0.33300000000000002</v>
      </c>
      <c r="E25" s="2">
        <v>0</v>
      </c>
      <c r="F25" s="2">
        <v>0</v>
      </c>
      <c r="G25" s="5">
        <f t="shared" si="0"/>
        <v>0</v>
      </c>
      <c r="H25" s="5">
        <v>0</v>
      </c>
      <c r="I25" s="5">
        <f t="shared" si="1"/>
        <v>0</v>
      </c>
      <c r="J25" s="5">
        <f>VLOOKUP(C25,Sheet2!$A$1:$B$108,2,0)</f>
        <v>1490</v>
      </c>
    </row>
    <row r="26" spans="1:10" x14ac:dyDescent="0.25">
      <c r="A26" s="2" t="s">
        <v>6</v>
      </c>
      <c r="B26" s="2" t="s">
        <v>47</v>
      </c>
      <c r="C26" s="2" t="s">
        <v>48</v>
      </c>
      <c r="D26" s="2">
        <v>0.1802</v>
      </c>
      <c r="E26" s="2">
        <v>0</v>
      </c>
      <c r="F26" s="2">
        <v>0</v>
      </c>
      <c r="G26" s="5">
        <f t="shared" si="0"/>
        <v>0</v>
      </c>
      <c r="H26" s="5">
        <v>0</v>
      </c>
      <c r="I26" s="5">
        <f t="shared" si="1"/>
        <v>0</v>
      </c>
      <c r="J26" s="5">
        <f>VLOOKUP(C26,Sheet2!$A$1:$B$108,2,0)</f>
        <v>49972</v>
      </c>
    </row>
    <row r="27" spans="1:10" x14ac:dyDescent="0.25">
      <c r="A27" s="2" t="s">
        <v>6</v>
      </c>
      <c r="B27" s="2" t="s">
        <v>49</v>
      </c>
      <c r="C27" s="2" t="s">
        <v>50</v>
      </c>
      <c r="D27" s="2">
        <v>3.6799999999999999E-2</v>
      </c>
      <c r="E27" s="2">
        <v>0</v>
      </c>
      <c r="F27" s="2">
        <v>0</v>
      </c>
      <c r="G27" s="5">
        <f t="shared" si="0"/>
        <v>0</v>
      </c>
      <c r="H27" s="5">
        <v>0</v>
      </c>
      <c r="I27" s="5">
        <f t="shared" si="1"/>
        <v>0</v>
      </c>
      <c r="J27" s="5">
        <f>VLOOKUP(C27,Sheet2!$A$1:$B$108,2,0)</f>
        <v>1273</v>
      </c>
    </row>
    <row r="28" spans="1:10" x14ac:dyDescent="0.25">
      <c r="A28" s="2" t="s">
        <v>6</v>
      </c>
      <c r="B28" s="2" t="s">
        <v>51</v>
      </c>
      <c r="C28" s="2" t="s">
        <v>52</v>
      </c>
      <c r="D28" s="2">
        <v>0.11700000000000001</v>
      </c>
      <c r="E28" s="2">
        <v>0</v>
      </c>
      <c r="F28" s="2">
        <v>0</v>
      </c>
      <c r="G28" s="5">
        <f t="shared" si="0"/>
        <v>0</v>
      </c>
      <c r="H28" s="5">
        <v>0</v>
      </c>
      <c r="I28" s="5">
        <f t="shared" si="1"/>
        <v>0</v>
      </c>
      <c r="J28" s="5">
        <f>VLOOKUP(C28,Sheet2!$A$1:$B$108,2,0)</f>
        <v>8411</v>
      </c>
    </row>
    <row r="29" spans="1:10" x14ac:dyDescent="0.25">
      <c r="A29" s="2" t="s">
        <v>6</v>
      </c>
      <c r="B29" s="2" t="s">
        <v>53</v>
      </c>
      <c r="C29" s="2" t="s">
        <v>54</v>
      </c>
      <c r="D29" s="2">
        <v>7.7799999999999994E-2</v>
      </c>
      <c r="E29" s="2">
        <v>0</v>
      </c>
      <c r="F29" s="2">
        <v>747</v>
      </c>
      <c r="G29" s="5">
        <f t="shared" si="0"/>
        <v>747</v>
      </c>
      <c r="H29" s="5">
        <v>0</v>
      </c>
      <c r="I29" s="5">
        <f t="shared" si="1"/>
        <v>747</v>
      </c>
      <c r="J29" s="5">
        <f>VLOOKUP(C29,Sheet2!$A$1:$B$108,2,0)</f>
        <v>90</v>
      </c>
    </row>
    <row r="30" spans="1:10" x14ac:dyDescent="0.25">
      <c r="A30" s="2" t="s">
        <v>6</v>
      </c>
      <c r="B30" s="2" t="s">
        <v>55</v>
      </c>
      <c r="C30" s="2" t="s">
        <v>56</v>
      </c>
      <c r="D30" s="2">
        <v>0.66200000000000003</v>
      </c>
      <c r="E30" s="2">
        <v>0</v>
      </c>
      <c r="F30" s="2">
        <v>255</v>
      </c>
      <c r="G30" s="5">
        <f t="shared" si="0"/>
        <v>255</v>
      </c>
      <c r="H30" s="5">
        <v>0</v>
      </c>
      <c r="I30" s="5">
        <f t="shared" si="1"/>
        <v>255</v>
      </c>
      <c r="J30" s="5">
        <f>VLOOKUP(C30,Sheet2!$A$1:$B$108,2,0)</f>
        <v>4774</v>
      </c>
    </row>
    <row r="31" spans="1:10" x14ac:dyDescent="0.25">
      <c r="A31" s="2" t="s">
        <v>6</v>
      </c>
      <c r="B31" s="2" t="s">
        <v>57</v>
      </c>
      <c r="C31" s="2" t="s">
        <v>58</v>
      </c>
      <c r="D31" s="2">
        <v>0.45</v>
      </c>
      <c r="E31" s="2">
        <v>0</v>
      </c>
      <c r="F31" s="2">
        <v>0</v>
      </c>
      <c r="G31" s="5">
        <f t="shared" si="0"/>
        <v>0</v>
      </c>
      <c r="H31" s="5">
        <v>0</v>
      </c>
      <c r="I31" s="5">
        <f t="shared" si="1"/>
        <v>0</v>
      </c>
      <c r="J31" s="5">
        <f>VLOOKUP(C31,Sheet2!$A$1:$B$108,2,0)</f>
        <v>6437</v>
      </c>
    </row>
    <row r="32" spans="1:10" x14ac:dyDescent="0.25">
      <c r="A32" s="2" t="s">
        <v>6</v>
      </c>
      <c r="B32" s="2" t="s">
        <v>59</v>
      </c>
      <c r="C32" s="2" t="s">
        <v>60</v>
      </c>
      <c r="D32" s="2">
        <v>0.66200000000000003</v>
      </c>
      <c r="E32" s="2">
        <v>30</v>
      </c>
      <c r="F32" s="2">
        <v>550</v>
      </c>
      <c r="G32" s="5">
        <f t="shared" si="0"/>
        <v>580</v>
      </c>
      <c r="H32" s="5">
        <v>0</v>
      </c>
      <c r="I32" s="5">
        <f t="shared" si="1"/>
        <v>580</v>
      </c>
      <c r="J32" s="5">
        <f>VLOOKUP(C32,Sheet2!$A$1:$B$108,2,0)</f>
        <v>10027</v>
      </c>
    </row>
    <row r="33" spans="1:10" x14ac:dyDescent="0.25">
      <c r="A33" s="2" t="s">
        <v>6</v>
      </c>
      <c r="B33" s="2" t="s">
        <v>61</v>
      </c>
      <c r="C33" s="2" t="s">
        <v>62</v>
      </c>
      <c r="D33" s="2">
        <v>0.11</v>
      </c>
      <c r="E33" s="2">
        <v>0</v>
      </c>
      <c r="F33" s="2">
        <v>0</v>
      </c>
      <c r="G33" s="5">
        <f t="shared" si="0"/>
        <v>0</v>
      </c>
      <c r="H33" s="5">
        <v>0</v>
      </c>
      <c r="I33" s="5">
        <f t="shared" si="1"/>
        <v>0</v>
      </c>
      <c r="J33" s="5">
        <f>VLOOKUP(C33,Sheet2!$A$1:$B$108,2,0)</f>
        <v>40269</v>
      </c>
    </row>
    <row r="34" spans="1:10" x14ac:dyDescent="0.25">
      <c r="A34" s="2" t="s">
        <v>6</v>
      </c>
      <c r="B34" s="2" t="s">
        <v>63</v>
      </c>
      <c r="C34" s="2" t="s">
        <v>64</v>
      </c>
      <c r="D34" s="2">
        <v>8.5999999999999993E-2</v>
      </c>
      <c r="E34" s="2">
        <v>0</v>
      </c>
      <c r="F34" s="2">
        <v>0</v>
      </c>
      <c r="G34" s="5">
        <f t="shared" si="0"/>
        <v>0</v>
      </c>
      <c r="H34" s="5">
        <v>0</v>
      </c>
      <c r="I34" s="5">
        <f t="shared" si="1"/>
        <v>0</v>
      </c>
      <c r="J34" s="5">
        <f>VLOOKUP(C34,Sheet2!$A$1:$B$108,2,0)</f>
        <v>1695</v>
      </c>
    </row>
    <row r="35" spans="1:10" x14ac:dyDescent="0.25">
      <c r="A35" s="2" t="s">
        <v>6</v>
      </c>
      <c r="B35" s="2" t="s">
        <v>65</v>
      </c>
      <c r="C35" s="2" t="s">
        <v>66</v>
      </c>
      <c r="D35" s="2">
        <v>0.11899999999999999</v>
      </c>
      <c r="E35" s="2">
        <v>0</v>
      </c>
      <c r="F35" s="2">
        <v>0</v>
      </c>
      <c r="G35" s="5">
        <f t="shared" si="0"/>
        <v>0</v>
      </c>
      <c r="H35" s="5">
        <v>0</v>
      </c>
      <c r="I35" s="5">
        <f t="shared" si="1"/>
        <v>0</v>
      </c>
      <c r="J35" s="5">
        <f>VLOOKUP(C35,Sheet2!$A$1:$B$108,2,0)</f>
        <v>104</v>
      </c>
    </row>
    <row r="36" spans="1:10" x14ac:dyDescent="0.25">
      <c r="A36" s="2" t="s">
        <v>6</v>
      </c>
      <c r="B36" s="2" t="s">
        <v>67</v>
      </c>
      <c r="C36" s="2" t="s">
        <v>68</v>
      </c>
      <c r="D36" s="2">
        <v>7.1999999999999995E-2</v>
      </c>
      <c r="E36" s="2">
        <v>0</v>
      </c>
      <c r="F36" s="2">
        <v>2120</v>
      </c>
      <c r="G36" s="5">
        <f t="shared" si="0"/>
        <v>2120</v>
      </c>
      <c r="H36" s="5">
        <v>410</v>
      </c>
      <c r="I36" s="5">
        <f t="shared" si="1"/>
        <v>2530</v>
      </c>
      <c r="J36" s="5">
        <f>VLOOKUP(C36,Sheet2!$A$1:$B$108,2,0)</f>
        <v>10277</v>
      </c>
    </row>
    <row r="37" spans="1:10" x14ac:dyDescent="0.25">
      <c r="A37" s="2" t="s">
        <v>6</v>
      </c>
      <c r="B37" s="2" t="s">
        <v>69</v>
      </c>
      <c r="C37" s="2" t="s">
        <v>70</v>
      </c>
      <c r="D37" s="2">
        <v>0.31</v>
      </c>
      <c r="E37" s="2">
        <v>0</v>
      </c>
      <c r="F37" s="2">
        <v>0</v>
      </c>
      <c r="G37" s="5">
        <f t="shared" si="0"/>
        <v>0</v>
      </c>
      <c r="H37" s="5">
        <v>852</v>
      </c>
      <c r="I37" s="5">
        <f t="shared" si="1"/>
        <v>852</v>
      </c>
      <c r="J37" s="5">
        <f>VLOOKUP(C37,Sheet2!$A$1:$B$108,2,0)</f>
        <v>2065</v>
      </c>
    </row>
    <row r="38" spans="1:10" x14ac:dyDescent="0.25">
      <c r="A38" s="2" t="s">
        <v>6</v>
      </c>
      <c r="B38" s="2" t="s">
        <v>71</v>
      </c>
      <c r="C38" s="2" t="s">
        <v>72</v>
      </c>
      <c r="D38" s="2">
        <v>0</v>
      </c>
      <c r="E38" s="2">
        <v>0</v>
      </c>
      <c r="F38" s="2">
        <v>0</v>
      </c>
      <c r="G38" s="5">
        <f t="shared" si="0"/>
        <v>0</v>
      </c>
      <c r="H38" s="5">
        <v>0</v>
      </c>
      <c r="I38" s="5">
        <f t="shared" si="1"/>
        <v>0</v>
      </c>
      <c r="J38" s="5">
        <f>VLOOKUP(C38,Sheet2!$A$1:$B$108,2,0)</f>
        <v>5581</v>
      </c>
    </row>
    <row r="39" spans="1:10" x14ac:dyDescent="0.25">
      <c r="A39" s="2" t="s">
        <v>6</v>
      </c>
      <c r="B39" s="2" t="s">
        <v>73</v>
      </c>
      <c r="C39" s="2" t="s">
        <v>74</v>
      </c>
      <c r="D39" s="2">
        <v>0.49840000000000001</v>
      </c>
      <c r="E39" s="2">
        <v>0</v>
      </c>
      <c r="F39" s="2">
        <v>0</v>
      </c>
      <c r="G39" s="5">
        <f t="shared" si="0"/>
        <v>0</v>
      </c>
      <c r="H39" s="5">
        <v>0</v>
      </c>
      <c r="I39" s="5">
        <f t="shared" si="1"/>
        <v>0</v>
      </c>
      <c r="J39" s="5">
        <f>VLOOKUP(C39,Sheet2!$A$1:$B$108,2,0)</f>
        <v>9585</v>
      </c>
    </row>
    <row r="40" spans="1:10" x14ac:dyDescent="0.25">
      <c r="A40" s="2" t="s">
        <v>6</v>
      </c>
      <c r="B40" s="2" t="s">
        <v>75</v>
      </c>
      <c r="C40" s="2" t="s">
        <v>76</v>
      </c>
      <c r="D40" s="2">
        <v>0.4884</v>
      </c>
      <c r="E40" s="2">
        <v>0</v>
      </c>
      <c r="F40" s="2">
        <v>0</v>
      </c>
      <c r="G40" s="5">
        <f t="shared" si="0"/>
        <v>0</v>
      </c>
      <c r="H40" s="5">
        <v>0</v>
      </c>
      <c r="I40" s="5">
        <f t="shared" si="1"/>
        <v>0</v>
      </c>
      <c r="J40" s="5">
        <f>VLOOKUP(C40,Sheet2!$A$1:$B$108,2,0)</f>
        <v>7709</v>
      </c>
    </row>
    <row r="41" spans="1:10" x14ac:dyDescent="0.25">
      <c r="A41" s="2" t="s">
        <v>6</v>
      </c>
      <c r="B41" s="2" t="s">
        <v>77</v>
      </c>
      <c r="C41" s="2" t="s">
        <v>78</v>
      </c>
      <c r="D41" s="2">
        <v>0.36</v>
      </c>
      <c r="E41" s="2">
        <v>0</v>
      </c>
      <c r="F41" s="2">
        <v>0</v>
      </c>
      <c r="G41" s="5">
        <f t="shared" si="0"/>
        <v>0</v>
      </c>
      <c r="H41" s="5">
        <v>0</v>
      </c>
      <c r="I41" s="5">
        <f t="shared" si="1"/>
        <v>0</v>
      </c>
      <c r="J41" s="5">
        <f>VLOOKUP(C41,Sheet2!$A$1:$B$108,2,0)</f>
        <v>561</v>
      </c>
    </row>
    <row r="42" spans="1:10" x14ac:dyDescent="0.25">
      <c r="A42" s="2" t="s">
        <v>6</v>
      </c>
      <c r="B42" s="2" t="s">
        <v>79</v>
      </c>
      <c r="C42" s="2" t="s">
        <v>80</v>
      </c>
      <c r="D42" s="2">
        <v>0.36</v>
      </c>
      <c r="E42" s="2">
        <v>0</v>
      </c>
      <c r="F42" s="2">
        <v>0</v>
      </c>
      <c r="G42" s="5">
        <f t="shared" si="0"/>
        <v>0</v>
      </c>
      <c r="H42" s="5">
        <v>0</v>
      </c>
      <c r="I42" s="5">
        <f t="shared" si="1"/>
        <v>0</v>
      </c>
      <c r="J42" s="5">
        <f>VLOOKUP(C42,Sheet2!$A$1:$B$108,2,0)</f>
        <v>31</v>
      </c>
    </row>
    <row r="43" spans="1:10" x14ac:dyDescent="0.25">
      <c r="A43" s="2" t="s">
        <v>6</v>
      </c>
      <c r="B43" s="2" t="s">
        <v>81</v>
      </c>
      <c r="C43" s="2" t="s">
        <v>82</v>
      </c>
      <c r="D43" s="2">
        <v>0.47</v>
      </c>
      <c r="E43" s="2">
        <v>0</v>
      </c>
      <c r="F43" s="2">
        <v>0</v>
      </c>
      <c r="G43" s="5">
        <f t="shared" si="0"/>
        <v>0</v>
      </c>
      <c r="H43" s="5">
        <v>0</v>
      </c>
      <c r="I43" s="5">
        <f t="shared" si="1"/>
        <v>0</v>
      </c>
      <c r="J43" s="5">
        <f>VLOOKUP(C43,Sheet2!$A$1:$B$108,2,0)</f>
        <v>561</v>
      </c>
    </row>
    <row r="44" spans="1:10" x14ac:dyDescent="0.25">
      <c r="A44" s="2" t="s">
        <v>6</v>
      </c>
      <c r="B44" s="2" t="s">
        <v>83</v>
      </c>
      <c r="C44" s="2" t="s">
        <v>84</v>
      </c>
      <c r="D44" s="2">
        <v>0.72</v>
      </c>
      <c r="E44" s="2">
        <v>0</v>
      </c>
      <c r="F44" s="2">
        <v>0</v>
      </c>
      <c r="G44" s="5">
        <f t="shared" si="0"/>
        <v>0</v>
      </c>
      <c r="H44" s="5">
        <v>0</v>
      </c>
      <c r="I44" s="5">
        <f t="shared" si="1"/>
        <v>0</v>
      </c>
      <c r="J44" s="5">
        <f>VLOOKUP(C44,Sheet2!$A$1:$B$108,2,0)</f>
        <v>4385</v>
      </c>
    </row>
    <row r="45" spans="1:10" x14ac:dyDescent="0.25">
      <c r="A45" s="2" t="s">
        <v>6</v>
      </c>
      <c r="B45" s="2" t="s">
        <v>85</v>
      </c>
      <c r="C45" s="2" t="s">
        <v>86</v>
      </c>
      <c r="D45" s="2">
        <v>0.72</v>
      </c>
      <c r="E45" s="2">
        <v>0</v>
      </c>
      <c r="F45" s="2">
        <v>0</v>
      </c>
      <c r="G45" s="5">
        <f t="shared" si="0"/>
        <v>0</v>
      </c>
      <c r="H45" s="5">
        <v>0</v>
      </c>
      <c r="I45" s="5">
        <f t="shared" si="1"/>
        <v>0</v>
      </c>
      <c r="J45" s="5">
        <f>VLOOKUP(C45,Sheet2!$A$1:$B$108,2,0)</f>
        <v>2283</v>
      </c>
    </row>
    <row r="46" spans="1:10" x14ac:dyDescent="0.25">
      <c r="A46" s="2" t="s">
        <v>6</v>
      </c>
      <c r="B46" s="2" t="s">
        <v>87</v>
      </c>
      <c r="C46" s="2" t="s">
        <v>88</v>
      </c>
      <c r="D46" s="2">
        <v>0.47</v>
      </c>
      <c r="E46" s="2">
        <v>0</v>
      </c>
      <c r="F46" s="2">
        <v>0</v>
      </c>
      <c r="G46" s="5">
        <f t="shared" si="0"/>
        <v>0</v>
      </c>
      <c r="H46" s="5">
        <v>0</v>
      </c>
      <c r="I46" s="5">
        <f t="shared" si="1"/>
        <v>0</v>
      </c>
      <c r="J46" s="5">
        <f>VLOOKUP(C46,Sheet2!$A$1:$B$108,2,0)</f>
        <v>13</v>
      </c>
    </row>
    <row r="47" spans="1:10" x14ac:dyDescent="0.25">
      <c r="A47" s="2" t="s">
        <v>6</v>
      </c>
      <c r="B47" s="2" t="s">
        <v>89</v>
      </c>
      <c r="C47" s="2" t="s">
        <v>90</v>
      </c>
      <c r="D47" s="2">
        <v>2.7E-2</v>
      </c>
      <c r="E47" s="2">
        <v>0</v>
      </c>
      <c r="F47" s="2">
        <v>1541</v>
      </c>
      <c r="G47" s="5">
        <f t="shared" si="0"/>
        <v>1541</v>
      </c>
      <c r="H47" s="5">
        <v>663</v>
      </c>
      <c r="I47" s="5">
        <f t="shared" si="1"/>
        <v>2204</v>
      </c>
      <c r="J47" s="5">
        <f>VLOOKUP(C47,Sheet2!$A$1:$B$108,2,0)</f>
        <v>41488</v>
      </c>
    </row>
    <row r="48" spans="1:10" x14ac:dyDescent="0.25">
      <c r="A48" s="2" t="s">
        <v>6</v>
      </c>
      <c r="B48" s="2" t="s">
        <v>91</v>
      </c>
      <c r="C48" s="2" t="s">
        <v>92</v>
      </c>
      <c r="D48" s="2">
        <v>2.8000000000000001E-2</v>
      </c>
      <c r="E48" s="2">
        <v>0</v>
      </c>
      <c r="F48" s="2">
        <v>0</v>
      </c>
      <c r="G48" s="5">
        <f t="shared" si="0"/>
        <v>0</v>
      </c>
      <c r="H48" s="5">
        <v>0</v>
      </c>
      <c r="I48" s="5">
        <f t="shared" si="1"/>
        <v>0</v>
      </c>
      <c r="J48" s="5">
        <f>VLOOKUP(C48,Sheet2!$A$1:$B$108,2,0)</f>
        <v>57750</v>
      </c>
    </row>
    <row r="49" spans="1:10" x14ac:dyDescent="0.25">
      <c r="A49" s="2" t="s">
        <v>6</v>
      </c>
      <c r="B49" s="2" t="s">
        <v>93</v>
      </c>
      <c r="C49" s="2" t="s">
        <v>94</v>
      </c>
      <c r="D49" s="2">
        <v>0.221</v>
      </c>
      <c r="E49" s="2">
        <v>0</v>
      </c>
      <c r="F49" s="2">
        <v>40</v>
      </c>
      <c r="G49" s="5">
        <f t="shared" si="0"/>
        <v>40</v>
      </c>
      <c r="H49" s="5">
        <v>0</v>
      </c>
      <c r="I49" s="5">
        <f t="shared" si="1"/>
        <v>40</v>
      </c>
      <c r="J49" s="5">
        <f>VLOOKUP(C49,Sheet2!$A$1:$B$108,2,0)</f>
        <v>10279</v>
      </c>
    </row>
    <row r="50" spans="1:10" x14ac:dyDescent="0.25">
      <c r="A50" s="2" t="s">
        <v>6</v>
      </c>
      <c r="B50" s="2" t="s">
        <v>95</v>
      </c>
      <c r="C50" s="2" t="s">
        <v>96</v>
      </c>
      <c r="D50" s="2">
        <v>0.13089999999999999</v>
      </c>
      <c r="E50" s="2">
        <v>31</v>
      </c>
      <c r="F50" s="2">
        <v>1898</v>
      </c>
      <c r="G50" s="5">
        <f t="shared" si="0"/>
        <v>1929</v>
      </c>
      <c r="H50" s="5">
        <v>527</v>
      </c>
      <c r="I50" s="5">
        <f t="shared" si="1"/>
        <v>2456</v>
      </c>
      <c r="J50" s="5">
        <f>VLOOKUP(C50,Sheet2!$A$1:$B$108,2,0)</f>
        <v>32852</v>
      </c>
    </row>
    <row r="51" spans="1:10" x14ac:dyDescent="0.25">
      <c r="A51" s="2" t="s">
        <v>6</v>
      </c>
      <c r="B51" s="2" t="s">
        <v>97</v>
      </c>
      <c r="C51" s="2" t="s">
        <v>98</v>
      </c>
      <c r="D51" s="2">
        <v>0.22900000000000001</v>
      </c>
      <c r="E51" s="2">
        <v>0</v>
      </c>
      <c r="F51" s="2">
        <v>0</v>
      </c>
      <c r="G51" s="5">
        <f t="shared" si="0"/>
        <v>0</v>
      </c>
      <c r="H51" s="5">
        <v>0</v>
      </c>
      <c r="I51" s="5">
        <f t="shared" si="1"/>
        <v>0</v>
      </c>
      <c r="J51" s="5">
        <f>VLOOKUP(C51,Sheet2!$A$1:$B$108,2,0)</f>
        <v>17843</v>
      </c>
    </row>
    <row r="52" spans="1:10" x14ac:dyDescent="0.25">
      <c r="A52" s="2" t="s">
        <v>6</v>
      </c>
      <c r="B52" s="2" t="s">
        <v>99</v>
      </c>
      <c r="C52" s="2" t="s">
        <v>100</v>
      </c>
      <c r="D52" s="2">
        <v>5.8000000000000003E-2</v>
      </c>
      <c r="E52" s="2">
        <v>0</v>
      </c>
      <c r="F52" s="2">
        <v>0</v>
      </c>
      <c r="G52" s="5">
        <f t="shared" si="0"/>
        <v>0</v>
      </c>
      <c r="H52" s="5">
        <v>0</v>
      </c>
      <c r="I52" s="5">
        <f t="shared" si="1"/>
        <v>0</v>
      </c>
      <c r="J52" s="5">
        <f>VLOOKUP(C52,Sheet2!$A$1:$B$108,2,0)</f>
        <v>20027</v>
      </c>
    </row>
    <row r="53" spans="1:10" x14ac:dyDescent="0.25">
      <c r="A53" s="2" t="s">
        <v>6</v>
      </c>
      <c r="B53" s="2" t="s">
        <v>101</v>
      </c>
      <c r="C53" s="2" t="s">
        <v>102</v>
      </c>
      <c r="D53" s="2">
        <v>5.8000000000000003E-2</v>
      </c>
      <c r="E53" s="2">
        <v>0</v>
      </c>
      <c r="F53" s="2">
        <v>0</v>
      </c>
      <c r="G53" s="5">
        <f t="shared" si="0"/>
        <v>0</v>
      </c>
      <c r="H53" s="5">
        <v>0</v>
      </c>
      <c r="I53" s="5">
        <f t="shared" si="1"/>
        <v>0</v>
      </c>
      <c r="J53" s="5">
        <f>VLOOKUP(C53,Sheet2!$A$1:$B$108,2,0)</f>
        <v>21200</v>
      </c>
    </row>
    <row r="54" spans="1:10" x14ac:dyDescent="0.25">
      <c r="A54" s="2" t="s">
        <v>6</v>
      </c>
      <c r="B54" s="2" t="s">
        <v>103</v>
      </c>
      <c r="C54" s="2" t="s">
        <v>104</v>
      </c>
      <c r="D54" s="2">
        <v>0.45</v>
      </c>
      <c r="E54" s="2">
        <v>0</v>
      </c>
      <c r="F54" s="2">
        <v>0</v>
      </c>
      <c r="G54" s="5">
        <f t="shared" si="0"/>
        <v>0</v>
      </c>
      <c r="H54" s="5">
        <v>0</v>
      </c>
      <c r="I54" s="5">
        <f t="shared" si="1"/>
        <v>0</v>
      </c>
      <c r="J54" s="5">
        <f>VLOOKUP(C54,Sheet2!$A$1:$B$108,2,0)</f>
        <v>0</v>
      </c>
    </row>
    <row r="55" spans="1:10" x14ac:dyDescent="0.25">
      <c r="A55" s="2" t="s">
        <v>6</v>
      </c>
      <c r="B55" s="2" t="s">
        <v>105</v>
      </c>
      <c r="C55" s="2" t="s">
        <v>106</v>
      </c>
      <c r="D55" s="2">
        <v>0.09</v>
      </c>
      <c r="E55" s="2">
        <v>0</v>
      </c>
      <c r="F55" s="2">
        <v>1480</v>
      </c>
      <c r="G55" s="5">
        <f t="shared" si="0"/>
        <v>1480</v>
      </c>
      <c r="H55" s="5">
        <v>500</v>
      </c>
      <c r="I55" s="5">
        <f t="shared" si="1"/>
        <v>1980</v>
      </c>
      <c r="J55" s="5">
        <f>VLOOKUP(C55,Sheet2!$A$1:$B$108,2,0)</f>
        <v>19905</v>
      </c>
    </row>
    <row r="56" spans="1:10" x14ac:dyDescent="0.25">
      <c r="A56" s="2" t="s">
        <v>6</v>
      </c>
      <c r="B56" s="2" t="s">
        <v>107</v>
      </c>
      <c r="C56" s="2" t="s">
        <v>108</v>
      </c>
      <c r="D56" s="2">
        <v>0.23</v>
      </c>
      <c r="E56" s="2">
        <v>0</v>
      </c>
      <c r="F56" s="2">
        <v>0</v>
      </c>
      <c r="G56" s="5">
        <f t="shared" si="0"/>
        <v>0</v>
      </c>
      <c r="H56" s="5">
        <v>0</v>
      </c>
      <c r="I56" s="5">
        <f t="shared" si="1"/>
        <v>0</v>
      </c>
      <c r="J56" s="5">
        <f>VLOOKUP(C56,Sheet2!$A$1:$B$108,2,0)</f>
        <v>12440</v>
      </c>
    </row>
    <row r="57" spans="1:10" x14ac:dyDescent="0.25">
      <c r="A57" s="2" t="s">
        <v>6</v>
      </c>
      <c r="B57" s="2" t="s">
        <v>109</v>
      </c>
      <c r="C57" s="2" t="s">
        <v>110</v>
      </c>
      <c r="D57" s="2">
        <v>0.22900000000000001</v>
      </c>
      <c r="E57" s="2">
        <v>0</v>
      </c>
      <c r="F57" s="2">
        <v>0</v>
      </c>
      <c r="G57" s="5">
        <f t="shared" si="0"/>
        <v>0</v>
      </c>
      <c r="H57" s="5">
        <v>0</v>
      </c>
      <c r="I57" s="5">
        <f t="shared" si="1"/>
        <v>0</v>
      </c>
      <c r="J57" s="5">
        <f>VLOOKUP(C57,Sheet2!$A$1:$B$108,2,0)</f>
        <v>7729</v>
      </c>
    </row>
    <row r="58" spans="1:10" x14ac:dyDescent="0.25">
      <c r="A58" s="2" t="s">
        <v>6</v>
      </c>
      <c r="B58" s="2" t="s">
        <v>111</v>
      </c>
      <c r="C58" s="2" t="s">
        <v>112</v>
      </c>
      <c r="D58" s="2">
        <v>1.7999999999999999E-2</v>
      </c>
      <c r="E58" s="2">
        <v>400</v>
      </c>
      <c r="F58" s="2">
        <v>7400</v>
      </c>
      <c r="G58" s="5">
        <f t="shared" si="0"/>
        <v>7800</v>
      </c>
      <c r="H58" s="5">
        <v>8840</v>
      </c>
      <c r="I58" s="5">
        <f t="shared" si="1"/>
        <v>16640</v>
      </c>
      <c r="J58" s="5">
        <f>VLOOKUP(C58,Sheet2!$A$1:$B$108,2,0)</f>
        <v>307749</v>
      </c>
    </row>
    <row r="59" spans="1:10" x14ac:dyDescent="0.25">
      <c r="A59" s="2" t="s">
        <v>6</v>
      </c>
      <c r="B59" s="2" t="s">
        <v>113</v>
      </c>
      <c r="C59" s="2" t="s">
        <v>114</v>
      </c>
      <c r="D59" s="2">
        <v>6.5000000000000002E-2</v>
      </c>
      <c r="E59" s="2">
        <v>60</v>
      </c>
      <c r="F59" s="2">
        <v>750</v>
      </c>
      <c r="G59" s="5">
        <f t="shared" si="0"/>
        <v>810</v>
      </c>
      <c r="H59" s="5">
        <v>390</v>
      </c>
      <c r="I59" s="5">
        <f t="shared" si="1"/>
        <v>1200</v>
      </c>
      <c r="J59" s="5">
        <f>VLOOKUP(C59,Sheet2!$A$1:$B$108,2,0)</f>
        <v>2376</v>
      </c>
    </row>
    <row r="60" spans="1:10" x14ac:dyDescent="0.25">
      <c r="A60" s="2" t="s">
        <v>6</v>
      </c>
      <c r="B60" s="2" t="s">
        <v>115</v>
      </c>
      <c r="C60" s="2" t="s">
        <v>116</v>
      </c>
      <c r="D60" s="2">
        <v>6.5000000000000002E-2</v>
      </c>
      <c r="E60" s="2">
        <v>30</v>
      </c>
      <c r="F60" s="2">
        <v>0</v>
      </c>
      <c r="G60" s="5">
        <f t="shared" si="0"/>
        <v>30</v>
      </c>
      <c r="H60" s="5">
        <v>0</v>
      </c>
      <c r="I60" s="5">
        <f t="shared" si="1"/>
        <v>30</v>
      </c>
      <c r="J60" s="5">
        <f>VLOOKUP(C60,Sheet2!$A$1:$B$108,2,0)</f>
        <v>42510</v>
      </c>
    </row>
    <row r="61" spans="1:10" x14ac:dyDescent="0.25">
      <c r="A61" s="2" t="s">
        <v>6</v>
      </c>
      <c r="B61" s="2" t="s">
        <v>117</v>
      </c>
      <c r="C61" s="2" t="s">
        <v>118</v>
      </c>
      <c r="D61" s="2">
        <v>7.0000000000000007E-2</v>
      </c>
      <c r="E61" s="2">
        <v>0</v>
      </c>
      <c r="F61" s="2">
        <v>0</v>
      </c>
      <c r="G61" s="5">
        <f t="shared" si="0"/>
        <v>0</v>
      </c>
      <c r="H61" s="5">
        <v>0</v>
      </c>
      <c r="I61" s="5">
        <f t="shared" si="1"/>
        <v>0</v>
      </c>
      <c r="J61" s="5">
        <f>VLOOKUP(C61,Sheet2!$A$1:$B$108,2,0)</f>
        <v>1696</v>
      </c>
    </row>
    <row r="62" spans="1:10" x14ac:dyDescent="0.25">
      <c r="A62" s="2" t="s">
        <v>6</v>
      </c>
      <c r="B62" s="2" t="s">
        <v>119</v>
      </c>
      <c r="C62" s="2" t="s">
        <v>120</v>
      </c>
      <c r="D62" s="2">
        <v>0.121</v>
      </c>
      <c r="E62" s="2">
        <v>0</v>
      </c>
      <c r="F62" s="2">
        <v>40</v>
      </c>
      <c r="G62" s="5">
        <f t="shared" si="0"/>
        <v>40</v>
      </c>
      <c r="H62" s="5">
        <v>0</v>
      </c>
      <c r="I62" s="5">
        <f t="shared" si="1"/>
        <v>40</v>
      </c>
      <c r="J62" s="5">
        <f>VLOOKUP(C62,Sheet2!$A$1:$B$108,2,0)</f>
        <v>17840</v>
      </c>
    </row>
    <row r="63" spans="1:10" x14ac:dyDescent="0.25">
      <c r="A63" s="2" t="s">
        <v>6</v>
      </c>
      <c r="B63" s="2" t="s">
        <v>121</v>
      </c>
      <c r="C63" s="2" t="s">
        <v>122</v>
      </c>
      <c r="D63" s="2">
        <v>0.05</v>
      </c>
      <c r="E63" s="2">
        <v>31</v>
      </c>
      <c r="F63" s="2">
        <v>19709</v>
      </c>
      <c r="G63" s="5">
        <f t="shared" si="0"/>
        <v>19740</v>
      </c>
      <c r="H63" s="5">
        <v>12020</v>
      </c>
      <c r="I63" s="5">
        <f t="shared" si="1"/>
        <v>31760</v>
      </c>
      <c r="J63" s="5">
        <f>VLOOKUP(C63,Sheet2!$A$1:$B$108,2,0)</f>
        <v>19710</v>
      </c>
    </row>
    <row r="64" spans="1:10" x14ac:dyDescent="0.25">
      <c r="A64" s="2" t="s">
        <v>6</v>
      </c>
      <c r="B64" s="2" t="s">
        <v>123</v>
      </c>
      <c r="C64" s="2" t="s">
        <v>124</v>
      </c>
      <c r="D64" s="2">
        <v>6.0999999999999999E-2</v>
      </c>
      <c r="E64" s="2">
        <v>0</v>
      </c>
      <c r="F64" s="2">
        <v>1440</v>
      </c>
      <c r="G64" s="5">
        <f t="shared" si="0"/>
        <v>1440</v>
      </c>
      <c r="H64" s="5">
        <v>1370</v>
      </c>
      <c r="I64" s="5">
        <f t="shared" si="1"/>
        <v>2810</v>
      </c>
      <c r="J64" s="5">
        <f>VLOOKUP(C64,Sheet2!$A$1:$B$108,2,0)</f>
        <v>37950</v>
      </c>
    </row>
    <row r="65" spans="1:10" x14ac:dyDescent="0.25">
      <c r="A65" s="2" t="s">
        <v>6</v>
      </c>
      <c r="B65" s="2" t="s">
        <v>125</v>
      </c>
      <c r="C65" s="2" t="s">
        <v>126</v>
      </c>
      <c r="D65" s="2">
        <v>0.06</v>
      </c>
      <c r="E65" s="2">
        <v>0</v>
      </c>
      <c r="F65" s="2">
        <v>180</v>
      </c>
      <c r="G65" s="5">
        <f t="shared" si="0"/>
        <v>180</v>
      </c>
      <c r="H65" s="5">
        <v>1280</v>
      </c>
      <c r="I65" s="5">
        <f t="shared" si="1"/>
        <v>1460</v>
      </c>
      <c r="J65" s="5">
        <f>VLOOKUP(C65,Sheet2!$A$1:$B$108,2,0)</f>
        <v>19193</v>
      </c>
    </row>
    <row r="66" spans="1:10" x14ac:dyDescent="0.25">
      <c r="A66" s="2" t="s">
        <v>6</v>
      </c>
      <c r="B66" s="2" t="s">
        <v>127</v>
      </c>
      <c r="C66" s="2" t="s">
        <v>128</v>
      </c>
      <c r="D66" s="2">
        <v>0.126</v>
      </c>
      <c r="E66" s="2">
        <v>1764</v>
      </c>
      <c r="F66" s="2">
        <v>61696</v>
      </c>
      <c r="G66" s="5">
        <f t="shared" si="0"/>
        <v>63460</v>
      </c>
      <c r="H66" s="5">
        <v>3050</v>
      </c>
      <c r="I66" s="5">
        <f t="shared" si="1"/>
        <v>66510</v>
      </c>
      <c r="J66" s="5">
        <f>VLOOKUP(C66,Sheet2!$A$1:$B$108,2,0)</f>
        <v>33810</v>
      </c>
    </row>
    <row r="67" spans="1:10" x14ac:dyDescent="0.25">
      <c r="A67" s="2" t="s">
        <v>6</v>
      </c>
      <c r="B67" s="2" t="s">
        <v>129</v>
      </c>
      <c r="C67" s="2" t="s">
        <v>130</v>
      </c>
      <c r="D67" s="2">
        <v>8.3000000000000004E-2</v>
      </c>
      <c r="E67" s="2">
        <v>0</v>
      </c>
      <c r="F67" s="2">
        <v>0</v>
      </c>
      <c r="G67" s="5">
        <f t="shared" si="0"/>
        <v>0</v>
      </c>
      <c r="H67" s="5">
        <v>150</v>
      </c>
      <c r="I67" s="5">
        <f t="shared" si="1"/>
        <v>150</v>
      </c>
      <c r="J67" s="5">
        <f>VLOOKUP(C67,Sheet2!$A$1:$B$108,2,0)</f>
        <v>10073</v>
      </c>
    </row>
    <row r="68" spans="1:10" x14ac:dyDescent="0.25">
      <c r="A68" s="2" t="s">
        <v>6</v>
      </c>
      <c r="B68" s="2" t="s">
        <v>131</v>
      </c>
      <c r="C68" s="2" t="s">
        <v>132</v>
      </c>
      <c r="D68" s="2">
        <v>8.7999999999999995E-2</v>
      </c>
      <c r="E68" s="2">
        <v>0</v>
      </c>
      <c r="F68" s="2">
        <v>0</v>
      </c>
      <c r="G68" s="5">
        <f t="shared" ref="G68:G103" si="2">SUM(E68:F68)</f>
        <v>0</v>
      </c>
      <c r="H68" s="5">
        <v>100</v>
      </c>
      <c r="I68" s="5">
        <f t="shared" ref="I68:I103" si="3">SUM(G68:H68)</f>
        <v>100</v>
      </c>
      <c r="J68" s="5">
        <f>VLOOKUP(C68,Sheet2!$A$1:$B$108,2,0)</f>
        <v>58946</v>
      </c>
    </row>
    <row r="69" spans="1:10" x14ac:dyDescent="0.25">
      <c r="A69" s="2" t="s">
        <v>6</v>
      </c>
      <c r="B69" s="2" t="s">
        <v>133</v>
      </c>
      <c r="C69" s="2" t="s">
        <v>134</v>
      </c>
      <c r="D69" s="2">
        <v>0.09</v>
      </c>
      <c r="E69" s="2">
        <v>0</v>
      </c>
      <c r="F69" s="2">
        <v>0</v>
      </c>
      <c r="G69" s="5">
        <f t="shared" si="2"/>
        <v>0</v>
      </c>
      <c r="H69" s="5">
        <v>0</v>
      </c>
      <c r="I69" s="5">
        <f t="shared" si="3"/>
        <v>0</v>
      </c>
      <c r="J69" s="5">
        <f>VLOOKUP(C69,Sheet2!$A$1:$B$108,2,0)</f>
        <v>49182</v>
      </c>
    </row>
    <row r="70" spans="1:10" x14ac:dyDescent="0.25">
      <c r="A70" s="2" t="s">
        <v>6</v>
      </c>
      <c r="B70" s="2" t="s">
        <v>135</v>
      </c>
      <c r="C70" s="2" t="s">
        <v>136</v>
      </c>
      <c r="D70" s="2">
        <v>0.114</v>
      </c>
      <c r="E70" s="2">
        <v>0</v>
      </c>
      <c r="F70" s="2">
        <v>0</v>
      </c>
      <c r="G70" s="5">
        <f t="shared" si="2"/>
        <v>0</v>
      </c>
      <c r="H70" s="5">
        <v>1690</v>
      </c>
      <c r="I70" s="5">
        <f t="shared" si="3"/>
        <v>1690</v>
      </c>
      <c r="J70" s="5">
        <f>VLOOKUP(C70,Sheet2!$A$1:$B$108,2,0)</f>
        <v>16850</v>
      </c>
    </row>
    <row r="71" spans="1:10" x14ac:dyDescent="0.25">
      <c r="A71" s="2" t="s">
        <v>6</v>
      </c>
      <c r="B71" s="2" t="s">
        <v>137</v>
      </c>
      <c r="C71" s="2" t="s">
        <v>138</v>
      </c>
      <c r="D71" s="2">
        <v>0.114</v>
      </c>
      <c r="E71" s="2">
        <v>0</v>
      </c>
      <c r="F71" s="2">
        <v>1620</v>
      </c>
      <c r="G71" s="5">
        <f t="shared" si="2"/>
        <v>1620</v>
      </c>
      <c r="H71" s="5">
        <v>960</v>
      </c>
      <c r="I71" s="5">
        <f t="shared" si="3"/>
        <v>2580</v>
      </c>
      <c r="J71" s="5">
        <f>VLOOKUP(C71,Sheet2!$A$1:$B$108,2,0)</f>
        <v>11455</v>
      </c>
    </row>
    <row r="72" spans="1:10" x14ac:dyDescent="0.25">
      <c r="A72" s="2" t="s">
        <v>6</v>
      </c>
      <c r="B72" s="2" t="s">
        <v>139</v>
      </c>
      <c r="C72" s="2" t="s">
        <v>140</v>
      </c>
      <c r="D72" s="2">
        <v>0.108</v>
      </c>
      <c r="E72" s="2">
        <v>0</v>
      </c>
      <c r="F72" s="2">
        <v>9650</v>
      </c>
      <c r="G72" s="5">
        <f t="shared" si="2"/>
        <v>9650</v>
      </c>
      <c r="H72" s="5">
        <v>9950</v>
      </c>
      <c r="I72" s="5">
        <f t="shared" si="3"/>
        <v>19600</v>
      </c>
      <c r="J72" s="5">
        <f>VLOOKUP(C72,Sheet2!$A$1:$B$108,2,0)</f>
        <v>27650</v>
      </c>
    </row>
    <row r="73" spans="1:10" x14ac:dyDescent="0.25">
      <c r="A73" s="2" t="s">
        <v>6</v>
      </c>
      <c r="B73" s="2" t="s">
        <v>141</v>
      </c>
      <c r="C73" s="2" t="s">
        <v>142</v>
      </c>
      <c r="D73" s="2">
        <v>0.107</v>
      </c>
      <c r="E73" s="2">
        <v>0</v>
      </c>
      <c r="F73" s="2">
        <v>2350</v>
      </c>
      <c r="G73" s="5">
        <f t="shared" si="2"/>
        <v>2350</v>
      </c>
      <c r="H73" s="5">
        <v>2450</v>
      </c>
      <c r="I73" s="5">
        <f t="shared" si="3"/>
        <v>4800</v>
      </c>
      <c r="J73" s="5">
        <f>VLOOKUP(C73,Sheet2!$A$1:$B$108,2,0)</f>
        <v>16617</v>
      </c>
    </row>
    <row r="74" spans="1:10" x14ac:dyDescent="0.25">
      <c r="A74" s="2" t="s">
        <v>6</v>
      </c>
      <c r="B74" s="2" t="s">
        <v>143</v>
      </c>
      <c r="C74" s="2" t="s">
        <v>144</v>
      </c>
      <c r="D74" s="2">
        <v>0.111</v>
      </c>
      <c r="E74" s="2">
        <v>0</v>
      </c>
      <c r="F74" s="2">
        <v>3020</v>
      </c>
      <c r="G74" s="5">
        <f t="shared" si="2"/>
        <v>3020</v>
      </c>
      <c r="H74" s="5">
        <v>3050</v>
      </c>
      <c r="I74" s="5">
        <f t="shared" si="3"/>
        <v>6070</v>
      </c>
      <c r="J74" s="5">
        <f>VLOOKUP(C74,Sheet2!$A$1:$B$108,2,0)</f>
        <v>9300</v>
      </c>
    </row>
    <row r="75" spans="1:10" x14ac:dyDescent="0.25">
      <c r="A75" s="2" t="s">
        <v>6</v>
      </c>
      <c r="B75" s="2" t="s">
        <v>145</v>
      </c>
      <c r="C75" s="2" t="s">
        <v>146</v>
      </c>
      <c r="D75" s="2">
        <v>0.115</v>
      </c>
      <c r="E75" s="2">
        <v>0</v>
      </c>
      <c r="F75" s="2">
        <v>9650</v>
      </c>
      <c r="G75" s="5">
        <f t="shared" si="2"/>
        <v>9650</v>
      </c>
      <c r="H75" s="5">
        <v>9950</v>
      </c>
      <c r="I75" s="5">
        <f t="shared" si="3"/>
        <v>19600</v>
      </c>
      <c r="J75" s="5">
        <f>VLOOKUP(C75,Sheet2!$A$1:$B$108,2,0)</f>
        <v>19646</v>
      </c>
    </row>
    <row r="76" spans="1:10" x14ac:dyDescent="0.25">
      <c r="A76" s="2" t="s">
        <v>6</v>
      </c>
      <c r="B76" s="2" t="s">
        <v>147</v>
      </c>
      <c r="C76" s="2" t="s">
        <v>148</v>
      </c>
      <c r="D76" s="2">
        <v>0.11700000000000001</v>
      </c>
      <c r="E76" s="2">
        <v>0</v>
      </c>
      <c r="F76" s="2">
        <v>2350</v>
      </c>
      <c r="G76" s="5">
        <f t="shared" si="2"/>
        <v>2350</v>
      </c>
      <c r="H76" s="5">
        <v>2450</v>
      </c>
      <c r="I76" s="5">
        <f t="shared" si="3"/>
        <v>4800</v>
      </c>
      <c r="J76" s="5">
        <f>VLOOKUP(C76,Sheet2!$A$1:$B$108,2,0)</f>
        <v>19012</v>
      </c>
    </row>
    <row r="77" spans="1:10" x14ac:dyDescent="0.25">
      <c r="A77" s="2" t="s">
        <v>6</v>
      </c>
      <c r="B77" s="2" t="s">
        <v>149</v>
      </c>
      <c r="C77" s="2" t="s">
        <v>150</v>
      </c>
      <c r="D77" s="2">
        <v>0.122</v>
      </c>
      <c r="E77" s="2">
        <v>0</v>
      </c>
      <c r="F77" s="2">
        <v>3020</v>
      </c>
      <c r="G77" s="5">
        <f t="shared" si="2"/>
        <v>3020</v>
      </c>
      <c r="H77" s="5">
        <v>3050</v>
      </c>
      <c r="I77" s="5">
        <f t="shared" si="3"/>
        <v>6070</v>
      </c>
      <c r="J77" s="5">
        <f>VLOOKUP(C77,Sheet2!$A$1:$B$108,2,0)</f>
        <v>10992</v>
      </c>
    </row>
    <row r="78" spans="1:10" x14ac:dyDescent="0.25">
      <c r="A78" s="2" t="s">
        <v>6</v>
      </c>
      <c r="B78" s="2" t="s">
        <v>151</v>
      </c>
      <c r="C78" s="2" t="s">
        <v>152</v>
      </c>
      <c r="D78" s="2">
        <v>4.5999999999999999E-2</v>
      </c>
      <c r="E78" s="2">
        <v>0</v>
      </c>
      <c r="F78" s="2">
        <v>0</v>
      </c>
      <c r="G78" s="5">
        <f t="shared" si="2"/>
        <v>0</v>
      </c>
      <c r="H78" s="5">
        <v>0</v>
      </c>
      <c r="I78" s="5">
        <f t="shared" si="3"/>
        <v>0</v>
      </c>
      <c r="J78" s="5">
        <f>VLOOKUP(C78,Sheet2!$A$1:$B$108,2,0)</f>
        <v>11921</v>
      </c>
    </row>
    <row r="79" spans="1:10" x14ac:dyDescent="0.25">
      <c r="A79" s="2" t="s">
        <v>6</v>
      </c>
      <c r="B79" s="2" t="s">
        <v>153</v>
      </c>
      <c r="C79" s="2" t="s">
        <v>154</v>
      </c>
      <c r="D79" s="2">
        <v>4.5999999999999999E-2</v>
      </c>
      <c r="E79" s="2">
        <v>0</v>
      </c>
      <c r="F79" s="2">
        <v>0</v>
      </c>
      <c r="G79" s="5">
        <f t="shared" si="2"/>
        <v>0</v>
      </c>
      <c r="H79" s="5">
        <v>0</v>
      </c>
      <c r="I79" s="5">
        <f t="shared" si="3"/>
        <v>0</v>
      </c>
      <c r="J79" s="5">
        <f>VLOOKUP(C79,Sheet2!$A$1:$B$108,2,0)</f>
        <v>5721</v>
      </c>
    </row>
    <row r="80" spans="1:10" x14ac:dyDescent="0.25">
      <c r="A80" s="2" t="s">
        <v>6</v>
      </c>
      <c r="B80" s="2" t="s">
        <v>155</v>
      </c>
      <c r="C80" s="2" t="s">
        <v>156</v>
      </c>
      <c r="D80" s="2">
        <v>4.5999999999999999E-2</v>
      </c>
      <c r="E80" s="2">
        <v>0</v>
      </c>
      <c r="F80" s="2">
        <v>0</v>
      </c>
      <c r="G80" s="5">
        <f t="shared" si="2"/>
        <v>0</v>
      </c>
      <c r="H80" s="5">
        <v>0</v>
      </c>
      <c r="I80" s="5">
        <f t="shared" si="3"/>
        <v>0</v>
      </c>
      <c r="J80" s="5">
        <f>VLOOKUP(C80,Sheet2!$A$1:$B$108,2,0)</f>
        <v>5993</v>
      </c>
    </row>
    <row r="81" spans="1:10" x14ac:dyDescent="0.25">
      <c r="A81" s="2" t="s">
        <v>6</v>
      </c>
      <c r="B81" s="2" t="s">
        <v>157</v>
      </c>
      <c r="C81" s="2" t="s">
        <v>158</v>
      </c>
      <c r="D81" s="2">
        <v>4.8000000000000001E-2</v>
      </c>
      <c r="E81" s="2">
        <v>0</v>
      </c>
      <c r="F81" s="2">
        <v>0</v>
      </c>
      <c r="G81" s="5">
        <f t="shared" si="2"/>
        <v>0</v>
      </c>
      <c r="H81" s="5">
        <v>0</v>
      </c>
      <c r="I81" s="5">
        <f t="shared" si="3"/>
        <v>0</v>
      </c>
      <c r="J81" s="5">
        <f>VLOOKUP(C81,Sheet2!$A$1:$B$108,2,0)</f>
        <v>36664</v>
      </c>
    </row>
    <row r="82" spans="1:10" x14ac:dyDescent="0.25">
      <c r="A82" s="2" t="s">
        <v>6</v>
      </c>
      <c r="B82" s="2" t="s">
        <v>159</v>
      </c>
      <c r="C82" s="2" t="s">
        <v>160</v>
      </c>
      <c r="D82" s="2">
        <v>5.5E-2</v>
      </c>
      <c r="E82" s="2">
        <v>0</v>
      </c>
      <c r="F82" s="2">
        <v>0</v>
      </c>
      <c r="G82" s="5">
        <f t="shared" si="2"/>
        <v>0</v>
      </c>
      <c r="H82" s="5">
        <v>0</v>
      </c>
      <c r="I82" s="5">
        <f t="shared" si="3"/>
        <v>0</v>
      </c>
      <c r="J82" s="5">
        <f>VLOOKUP(C82,Sheet2!$A$1:$B$108,2,0)</f>
        <v>71502</v>
      </c>
    </row>
    <row r="83" spans="1:10" x14ac:dyDescent="0.25">
      <c r="A83" s="2" t="s">
        <v>6</v>
      </c>
      <c r="B83" s="2" t="s">
        <v>161</v>
      </c>
      <c r="C83" s="2" t="s">
        <v>162</v>
      </c>
      <c r="D83" s="2">
        <v>0.23</v>
      </c>
      <c r="E83" s="2">
        <v>1068</v>
      </c>
      <c r="F83" s="2">
        <v>63435</v>
      </c>
      <c r="G83" s="5">
        <f t="shared" si="2"/>
        <v>64503</v>
      </c>
      <c r="H83" s="5">
        <v>3264</v>
      </c>
      <c r="I83" s="5">
        <f t="shared" si="3"/>
        <v>67767</v>
      </c>
      <c r="J83" s="5">
        <f>VLOOKUP(C83,Sheet2!$A$1:$B$108,2,0)</f>
        <v>15534</v>
      </c>
    </row>
    <row r="84" spans="1:10" x14ac:dyDescent="0.25">
      <c r="A84" s="2" t="s">
        <v>6</v>
      </c>
      <c r="B84" s="2" t="s">
        <v>163</v>
      </c>
      <c r="C84" s="2" t="s">
        <v>164</v>
      </c>
      <c r="D84" s="2">
        <v>0.21</v>
      </c>
      <c r="E84" s="2">
        <v>0</v>
      </c>
      <c r="F84" s="2">
        <v>2102</v>
      </c>
      <c r="G84" s="5">
        <f t="shared" si="2"/>
        <v>2102</v>
      </c>
      <c r="H84" s="5">
        <v>102</v>
      </c>
      <c r="I84" s="5">
        <f t="shared" si="3"/>
        <v>2204</v>
      </c>
      <c r="J84" s="5">
        <f>VLOOKUP(C84,Sheet2!$A$1:$B$108,2,0)</f>
        <v>31404</v>
      </c>
    </row>
    <row r="85" spans="1:10" x14ac:dyDescent="0.25">
      <c r="A85" s="2" t="s">
        <v>6</v>
      </c>
      <c r="B85" s="2" t="s">
        <v>165</v>
      </c>
      <c r="C85" s="2" t="s">
        <v>166</v>
      </c>
      <c r="D85" s="2">
        <v>0.2278</v>
      </c>
      <c r="E85" s="2">
        <v>804</v>
      </c>
      <c r="F85" s="2">
        <v>21136</v>
      </c>
      <c r="G85" s="5">
        <f t="shared" si="2"/>
        <v>21940</v>
      </c>
      <c r="H85" s="5">
        <v>2448</v>
      </c>
      <c r="I85" s="5">
        <f t="shared" si="3"/>
        <v>24388</v>
      </c>
      <c r="J85" s="5">
        <f>VLOOKUP(C85,Sheet2!$A$1:$B$108,2,0)</f>
        <v>18483</v>
      </c>
    </row>
    <row r="86" spans="1:10" x14ac:dyDescent="0.25">
      <c r="A86" s="2" t="s">
        <v>6</v>
      </c>
      <c r="B86" s="2" t="s">
        <v>167</v>
      </c>
      <c r="C86" s="2" t="s">
        <v>168</v>
      </c>
      <c r="D86" s="2">
        <v>0.25</v>
      </c>
      <c r="E86" s="2">
        <v>0</v>
      </c>
      <c r="F86" s="2">
        <v>41</v>
      </c>
      <c r="G86" s="5">
        <f t="shared" si="2"/>
        <v>41</v>
      </c>
      <c r="H86" s="5">
        <v>0</v>
      </c>
      <c r="I86" s="5">
        <f t="shared" si="3"/>
        <v>41</v>
      </c>
      <c r="J86" s="5">
        <f>VLOOKUP(C86,Sheet2!$A$1:$B$108,2,0)</f>
        <v>16377</v>
      </c>
    </row>
    <row r="87" spans="1:10" x14ac:dyDescent="0.25">
      <c r="A87" s="2" t="s">
        <v>6</v>
      </c>
      <c r="B87" s="2" t="s">
        <v>169</v>
      </c>
      <c r="C87" s="2" t="s">
        <v>170</v>
      </c>
      <c r="D87" s="2">
        <v>0.26</v>
      </c>
      <c r="E87" s="2">
        <v>0</v>
      </c>
      <c r="F87" s="2">
        <v>2337</v>
      </c>
      <c r="G87" s="5">
        <f t="shared" si="2"/>
        <v>2337</v>
      </c>
      <c r="H87" s="5">
        <v>532</v>
      </c>
      <c r="I87" s="5">
        <f t="shared" si="3"/>
        <v>2869</v>
      </c>
      <c r="J87" s="5">
        <f>VLOOKUP(C87,Sheet2!$A$1:$B$108,2,0)</f>
        <v>1349</v>
      </c>
    </row>
    <row r="88" spans="1:10" x14ac:dyDescent="0.25">
      <c r="A88" s="2" t="s">
        <v>6</v>
      </c>
      <c r="B88" s="2" t="s">
        <v>171</v>
      </c>
      <c r="C88" s="2" t="s">
        <v>172</v>
      </c>
      <c r="D88" s="2">
        <v>0.26</v>
      </c>
      <c r="E88" s="2">
        <v>0</v>
      </c>
      <c r="F88" s="2">
        <v>949</v>
      </c>
      <c r="G88" s="5">
        <f t="shared" si="2"/>
        <v>949</v>
      </c>
      <c r="H88" s="5">
        <v>541</v>
      </c>
      <c r="I88" s="5">
        <f t="shared" si="3"/>
        <v>1490</v>
      </c>
      <c r="J88" s="5">
        <f>VLOOKUP(C88,Sheet2!$A$1:$B$108,2,0)</f>
        <v>15558</v>
      </c>
    </row>
    <row r="89" spans="1:10" x14ac:dyDescent="0.25">
      <c r="A89" s="2" t="s">
        <v>6</v>
      </c>
      <c r="B89" s="2" t="s">
        <v>173</v>
      </c>
      <c r="C89" s="2" t="s">
        <v>174</v>
      </c>
      <c r="D89" s="2">
        <v>0.13700000000000001</v>
      </c>
      <c r="E89" s="2">
        <v>0</v>
      </c>
      <c r="F89" s="2">
        <v>0</v>
      </c>
      <c r="G89" s="5">
        <f t="shared" si="2"/>
        <v>0</v>
      </c>
      <c r="H89" s="5">
        <v>0</v>
      </c>
      <c r="I89" s="5">
        <f t="shared" si="3"/>
        <v>0</v>
      </c>
      <c r="J89" s="5">
        <f>VLOOKUP(C89,Sheet2!$A$1:$B$108,2,0)</f>
        <v>511</v>
      </c>
    </row>
    <row r="90" spans="1:10" x14ac:dyDescent="0.25">
      <c r="A90" s="2" t="s">
        <v>6</v>
      </c>
      <c r="B90" s="2" t="s">
        <v>175</v>
      </c>
      <c r="C90" s="2" t="s">
        <v>176</v>
      </c>
      <c r="D90" s="2">
        <v>0.23</v>
      </c>
      <c r="E90" s="2">
        <v>0</v>
      </c>
      <c r="F90" s="2">
        <v>5713</v>
      </c>
      <c r="G90" s="5">
        <f t="shared" si="2"/>
        <v>5713</v>
      </c>
      <c r="H90" s="5">
        <v>2040</v>
      </c>
      <c r="I90" s="5">
        <f t="shared" si="3"/>
        <v>7753</v>
      </c>
      <c r="J90" s="5">
        <f>VLOOKUP(C90,Sheet2!$A$1:$B$108,2,0)</f>
        <v>1357</v>
      </c>
    </row>
    <row r="91" spans="1:10" x14ac:dyDescent="0.25">
      <c r="A91" s="2" t="s">
        <v>6</v>
      </c>
      <c r="B91" s="2" t="s">
        <v>177</v>
      </c>
      <c r="C91" s="2" t="s">
        <v>178</v>
      </c>
      <c r="D91" s="2">
        <v>3.9E-2</v>
      </c>
      <c r="E91" s="2">
        <v>1899</v>
      </c>
      <c r="F91" s="2">
        <v>94103</v>
      </c>
      <c r="G91" s="5">
        <f t="shared" si="2"/>
        <v>96002</v>
      </c>
      <c r="H91" s="5">
        <v>7035</v>
      </c>
      <c r="I91" s="5">
        <f t="shared" si="3"/>
        <v>103037</v>
      </c>
      <c r="J91" s="5">
        <f>VLOOKUP(C91,Sheet2!$A$1:$B$108,2,0)</f>
        <v>139227</v>
      </c>
    </row>
    <row r="92" spans="1:10" x14ac:dyDescent="0.25">
      <c r="A92" s="2" t="s">
        <v>6</v>
      </c>
      <c r="B92" s="2" t="s">
        <v>179</v>
      </c>
      <c r="C92" s="2" t="s">
        <v>180</v>
      </c>
      <c r="D92" s="2">
        <v>4.4999999999999998E-2</v>
      </c>
      <c r="E92" s="2">
        <v>0</v>
      </c>
      <c r="F92" s="2">
        <v>0</v>
      </c>
      <c r="G92" s="5">
        <f t="shared" si="2"/>
        <v>0</v>
      </c>
      <c r="H92" s="5">
        <v>0</v>
      </c>
      <c r="I92" s="5">
        <f t="shared" si="3"/>
        <v>0</v>
      </c>
      <c r="J92" s="5">
        <f>VLOOKUP(C92,Sheet2!$A$1:$B$108,2,0)</f>
        <v>7900</v>
      </c>
    </row>
    <row r="93" spans="1:10" x14ac:dyDescent="0.25">
      <c r="A93" s="2" t="s">
        <v>6</v>
      </c>
      <c r="B93" s="2" t="s">
        <v>181</v>
      </c>
      <c r="C93" s="2" t="s">
        <v>182</v>
      </c>
      <c r="D93" s="2">
        <v>5.8999999999999997E-2</v>
      </c>
      <c r="E93" s="2">
        <v>51</v>
      </c>
      <c r="F93" s="2">
        <v>3327</v>
      </c>
      <c r="G93" s="5">
        <f t="shared" si="2"/>
        <v>3378</v>
      </c>
      <c r="H93" s="5">
        <v>1073</v>
      </c>
      <c r="I93" s="5">
        <f t="shared" si="3"/>
        <v>4451</v>
      </c>
      <c r="J93" s="5">
        <f>VLOOKUP(C93,Sheet2!$A$1:$B$108,2,0)</f>
        <v>6809</v>
      </c>
    </row>
    <row r="94" spans="1:10" x14ac:dyDescent="0.25">
      <c r="A94" s="2" t="s">
        <v>6</v>
      </c>
      <c r="B94" s="2" t="s">
        <v>183</v>
      </c>
      <c r="C94" s="2" t="s">
        <v>184</v>
      </c>
      <c r="D94" s="2">
        <v>7.8299999999999995E-2</v>
      </c>
      <c r="E94" s="2">
        <v>31</v>
      </c>
      <c r="F94" s="2">
        <v>2102</v>
      </c>
      <c r="G94" s="5">
        <f t="shared" si="2"/>
        <v>2133</v>
      </c>
      <c r="H94" s="5">
        <v>102</v>
      </c>
      <c r="I94" s="5">
        <f t="shared" si="3"/>
        <v>2235</v>
      </c>
      <c r="J94" s="5">
        <f>VLOOKUP(C94,Sheet2!$A$1:$B$108,2,0)</f>
        <v>36208</v>
      </c>
    </row>
    <row r="95" spans="1:10" x14ac:dyDescent="0.25">
      <c r="A95" s="2" t="s">
        <v>6</v>
      </c>
      <c r="B95" s="2" t="s">
        <v>185</v>
      </c>
      <c r="C95" s="2" t="s">
        <v>186</v>
      </c>
      <c r="D95" s="2">
        <v>7.9000000000000001E-2</v>
      </c>
      <c r="E95" s="2">
        <v>1020</v>
      </c>
      <c r="F95" s="2">
        <v>22352</v>
      </c>
      <c r="G95" s="5">
        <f t="shared" si="2"/>
        <v>23372</v>
      </c>
      <c r="H95" s="5">
        <v>3526</v>
      </c>
      <c r="I95" s="5">
        <f t="shared" si="3"/>
        <v>26898</v>
      </c>
      <c r="J95" s="5">
        <f>VLOOKUP(C95,Sheet2!$A$1:$B$108,2,0)</f>
        <v>136367</v>
      </c>
    </row>
    <row r="96" spans="1:10" x14ac:dyDescent="0.25">
      <c r="A96" s="2" t="s">
        <v>6</v>
      </c>
      <c r="B96" s="2" t="s">
        <v>187</v>
      </c>
      <c r="C96" s="2" t="s">
        <v>188</v>
      </c>
      <c r="D96" s="2">
        <v>8.1000000000000003E-2</v>
      </c>
      <c r="E96" s="2">
        <v>31</v>
      </c>
      <c r="F96" s="2">
        <v>9100</v>
      </c>
      <c r="G96" s="5">
        <f t="shared" si="2"/>
        <v>9131</v>
      </c>
      <c r="H96" s="5">
        <v>4938</v>
      </c>
      <c r="I96" s="5">
        <f t="shared" si="3"/>
        <v>14069</v>
      </c>
      <c r="J96" s="5">
        <f>VLOOKUP(C96,Sheet2!$A$1:$B$108,2,0)</f>
        <v>24792</v>
      </c>
    </row>
    <row r="97" spans="1:10" x14ac:dyDescent="0.25">
      <c r="A97" s="2" t="s">
        <v>6</v>
      </c>
      <c r="B97" s="2" t="s">
        <v>189</v>
      </c>
      <c r="C97" s="2" t="s">
        <v>190</v>
      </c>
      <c r="D97" s="2">
        <v>0.52100000000000002</v>
      </c>
      <c r="E97" s="2">
        <v>0</v>
      </c>
      <c r="F97" s="2">
        <v>0</v>
      </c>
      <c r="G97" s="5">
        <f t="shared" si="2"/>
        <v>0</v>
      </c>
      <c r="H97" s="5">
        <v>0</v>
      </c>
      <c r="I97" s="5">
        <f t="shared" si="3"/>
        <v>0</v>
      </c>
      <c r="J97" s="5">
        <f>VLOOKUP(C97,Sheet2!$A$1:$B$108,2,0)</f>
        <v>0</v>
      </c>
    </row>
    <row r="98" spans="1:10" x14ac:dyDescent="0.25">
      <c r="A98" s="2" t="s">
        <v>6</v>
      </c>
      <c r="B98" s="2" t="s">
        <v>191</v>
      </c>
      <c r="C98" s="2" t="s">
        <v>192</v>
      </c>
      <c r="D98" s="2">
        <v>0.54300000000000004</v>
      </c>
      <c r="E98" s="2">
        <v>0</v>
      </c>
      <c r="F98" s="2">
        <v>0</v>
      </c>
      <c r="G98" s="5">
        <f t="shared" si="2"/>
        <v>0</v>
      </c>
      <c r="H98" s="5">
        <v>0</v>
      </c>
      <c r="I98" s="5">
        <f t="shared" si="3"/>
        <v>0</v>
      </c>
      <c r="J98" s="5">
        <f>VLOOKUP(C98,Sheet2!$A$1:$B$108,2,0)</f>
        <v>188</v>
      </c>
    </row>
    <row r="99" spans="1:10" x14ac:dyDescent="0.25">
      <c r="A99" s="2" t="s">
        <v>6</v>
      </c>
      <c r="B99" s="2" t="s">
        <v>193</v>
      </c>
      <c r="C99" s="2" t="s">
        <v>194</v>
      </c>
      <c r="D99" s="2">
        <v>0.98099999999999998</v>
      </c>
      <c r="E99" s="2">
        <v>55</v>
      </c>
      <c r="F99" s="2">
        <v>4345</v>
      </c>
      <c r="G99" s="5">
        <f t="shared" si="2"/>
        <v>4400</v>
      </c>
      <c r="H99" s="5">
        <v>0</v>
      </c>
      <c r="I99" s="5">
        <f t="shared" si="3"/>
        <v>4400</v>
      </c>
      <c r="J99" s="5">
        <f>VLOOKUP(C99,Sheet2!$A$1:$B$108,2,0)</f>
        <v>5658</v>
      </c>
    </row>
    <row r="100" spans="1:10" x14ac:dyDescent="0.25">
      <c r="A100" s="2" t="s">
        <v>6</v>
      </c>
      <c r="B100" s="2" t="s">
        <v>195</v>
      </c>
      <c r="C100" s="2" t="s">
        <v>196</v>
      </c>
      <c r="D100" s="2">
        <v>0.65</v>
      </c>
      <c r="E100" s="2">
        <v>0</v>
      </c>
      <c r="F100" s="2">
        <v>0</v>
      </c>
      <c r="G100" s="5">
        <f t="shared" si="2"/>
        <v>0</v>
      </c>
      <c r="H100" s="5">
        <v>0</v>
      </c>
      <c r="I100" s="5">
        <f t="shared" si="3"/>
        <v>0</v>
      </c>
      <c r="J100" s="5">
        <f>VLOOKUP(C100,Sheet2!$A$1:$B$108,2,0)</f>
        <v>2811</v>
      </c>
    </row>
    <row r="101" spans="1:10" x14ac:dyDescent="0.25">
      <c r="A101" s="2" t="s">
        <v>6</v>
      </c>
      <c r="B101" s="2" t="s">
        <v>197</v>
      </c>
      <c r="C101" s="2" t="s">
        <v>198</v>
      </c>
      <c r="D101" s="2">
        <v>0.73</v>
      </c>
      <c r="E101" s="2">
        <v>0</v>
      </c>
      <c r="F101" s="2">
        <v>0</v>
      </c>
      <c r="G101" s="5">
        <f t="shared" si="2"/>
        <v>0</v>
      </c>
      <c r="H101" s="5">
        <v>0</v>
      </c>
      <c r="I101" s="5">
        <f t="shared" si="3"/>
        <v>0</v>
      </c>
      <c r="J101" s="5">
        <f>VLOOKUP(C101,Sheet2!$A$1:$B$108,2,0)</f>
        <v>4891</v>
      </c>
    </row>
    <row r="102" spans="1:10" x14ac:dyDescent="0.25">
      <c r="A102" s="2" t="s">
        <v>6</v>
      </c>
      <c r="B102" s="2" t="s">
        <v>199</v>
      </c>
      <c r="C102" s="2" t="s">
        <v>200</v>
      </c>
      <c r="D102" s="2">
        <v>3.14</v>
      </c>
      <c r="E102" s="2">
        <v>0</v>
      </c>
      <c r="F102" s="2">
        <v>166</v>
      </c>
      <c r="G102" s="5">
        <f t="shared" si="2"/>
        <v>166</v>
      </c>
      <c r="H102" s="5">
        <v>0</v>
      </c>
      <c r="I102" s="5">
        <f t="shared" si="3"/>
        <v>166</v>
      </c>
      <c r="J102" s="5">
        <f>VLOOKUP(C102,Sheet2!$A$1:$B$108,2,0)</f>
        <v>2985</v>
      </c>
    </row>
    <row r="103" spans="1:10" x14ac:dyDescent="0.25">
      <c r="A103" s="2" t="s">
        <v>6</v>
      </c>
      <c r="B103" s="2" t="s">
        <v>201</v>
      </c>
      <c r="C103" s="2" t="s">
        <v>202</v>
      </c>
      <c r="D103" s="2">
        <v>0.83499999999999996</v>
      </c>
      <c r="E103" s="2">
        <v>0</v>
      </c>
      <c r="F103" s="2">
        <v>0</v>
      </c>
      <c r="G103" s="5">
        <f t="shared" si="2"/>
        <v>0</v>
      </c>
      <c r="H103" s="5">
        <v>0</v>
      </c>
      <c r="I103" s="5">
        <f t="shared" si="3"/>
        <v>0</v>
      </c>
      <c r="J103" s="5">
        <f>VLOOKUP(C103,Sheet2!$A$1:$B$108,2,0)</f>
        <v>1158</v>
      </c>
    </row>
  </sheetData>
  <mergeCells count="2">
    <mergeCell ref="A1:H1"/>
    <mergeCell ref="E3:H3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topLeftCell="A37" workbookViewId="0">
      <selection activeCell="B49" sqref="B49"/>
    </sheetView>
  </sheetViews>
  <sheetFormatPr defaultRowHeight="15" x14ac:dyDescent="0.25"/>
  <sheetData>
    <row r="1" spans="1:2" s="8" customFormat="1" ht="12.75" x14ac:dyDescent="0.2">
      <c r="A1" s="6" t="s">
        <v>8</v>
      </c>
      <c r="B1" s="7">
        <v>17810</v>
      </c>
    </row>
    <row r="2" spans="1:2" s="8" customFormat="1" ht="12.75" x14ac:dyDescent="0.2">
      <c r="A2" s="6" t="s">
        <v>10</v>
      </c>
      <c r="B2" s="7">
        <v>30417</v>
      </c>
    </row>
    <row r="3" spans="1:2" s="8" customFormat="1" ht="12.75" x14ac:dyDescent="0.2">
      <c r="A3" s="6" t="s">
        <v>12</v>
      </c>
      <c r="B3" s="7">
        <v>16043</v>
      </c>
    </row>
    <row r="4" spans="1:2" s="8" customFormat="1" ht="12.75" x14ac:dyDescent="0.2">
      <c r="A4" s="6" t="s">
        <v>14</v>
      </c>
      <c r="B4" s="7">
        <v>23050</v>
      </c>
    </row>
    <row r="5" spans="1:2" s="8" customFormat="1" ht="12.75" x14ac:dyDescent="0.2">
      <c r="A5" s="6" t="s">
        <v>16</v>
      </c>
      <c r="B5" s="7">
        <v>32118</v>
      </c>
    </row>
    <row r="6" spans="1:2" s="8" customFormat="1" ht="12.75" x14ac:dyDescent="0.2">
      <c r="A6" s="6" t="s">
        <v>18</v>
      </c>
      <c r="B6" s="7">
        <v>30243</v>
      </c>
    </row>
    <row r="7" spans="1:2" s="8" customFormat="1" ht="12.75" x14ac:dyDescent="0.2">
      <c r="A7" s="6" t="s">
        <v>20</v>
      </c>
      <c r="B7" s="7">
        <v>7632</v>
      </c>
    </row>
    <row r="8" spans="1:2" s="8" customFormat="1" ht="12.75" x14ac:dyDescent="0.2">
      <c r="A8" s="6" t="s">
        <v>22</v>
      </c>
      <c r="B8" s="7">
        <v>14839</v>
      </c>
    </row>
    <row r="9" spans="1:2" s="8" customFormat="1" ht="12.75" x14ac:dyDescent="0.2">
      <c r="A9" s="6" t="s">
        <v>24</v>
      </c>
      <c r="B9" s="7">
        <v>16423</v>
      </c>
    </row>
    <row r="10" spans="1:2" s="8" customFormat="1" ht="12.75" x14ac:dyDescent="0.2">
      <c r="A10" s="6" t="s">
        <v>42</v>
      </c>
      <c r="B10" s="7">
        <v>7961</v>
      </c>
    </row>
    <row r="11" spans="1:2" s="8" customFormat="1" ht="12.75" x14ac:dyDescent="0.2">
      <c r="A11" s="6" t="s">
        <v>44</v>
      </c>
      <c r="B11" s="7">
        <v>2628</v>
      </c>
    </row>
    <row r="12" spans="1:2" s="8" customFormat="1" ht="12.75" x14ac:dyDescent="0.2">
      <c r="A12" s="6" t="s">
        <v>46</v>
      </c>
      <c r="B12" s="7">
        <v>1490</v>
      </c>
    </row>
    <row r="13" spans="1:2" s="8" customFormat="1" ht="12.75" x14ac:dyDescent="0.2">
      <c r="A13" s="6" t="s">
        <v>48</v>
      </c>
      <c r="B13" s="7">
        <v>49972</v>
      </c>
    </row>
    <row r="14" spans="1:2" s="8" customFormat="1" ht="12.75" x14ac:dyDescent="0.2">
      <c r="A14" s="6" t="s">
        <v>26</v>
      </c>
      <c r="B14" s="7">
        <v>46456</v>
      </c>
    </row>
    <row r="15" spans="1:2" s="8" customFormat="1" ht="12.75" x14ac:dyDescent="0.2">
      <c r="A15" s="6" t="s">
        <v>28</v>
      </c>
      <c r="B15" s="7">
        <v>39990</v>
      </c>
    </row>
    <row r="16" spans="1:2" s="8" customFormat="1" ht="12.75" x14ac:dyDescent="0.2">
      <c r="A16" s="6" t="s">
        <v>30</v>
      </c>
      <c r="B16" s="7">
        <v>36018</v>
      </c>
    </row>
    <row r="17" spans="1:2" s="8" customFormat="1" ht="12.75" x14ac:dyDescent="0.2">
      <c r="A17" s="6" t="s">
        <v>32</v>
      </c>
      <c r="B17" s="7">
        <v>5933</v>
      </c>
    </row>
    <row r="18" spans="1:2" s="8" customFormat="1" ht="12.75" x14ac:dyDescent="0.2">
      <c r="A18" s="6" t="s">
        <v>34</v>
      </c>
      <c r="B18" s="7">
        <v>15505</v>
      </c>
    </row>
    <row r="19" spans="1:2" s="8" customFormat="1" ht="12.75" x14ac:dyDescent="0.2">
      <c r="A19" s="9" t="s">
        <v>36</v>
      </c>
      <c r="B19" s="7">
        <v>2009</v>
      </c>
    </row>
    <row r="20" spans="1:2" s="8" customFormat="1" ht="12.75" x14ac:dyDescent="0.2">
      <c r="A20" s="9" t="s">
        <v>38</v>
      </c>
      <c r="B20" s="7">
        <v>7872</v>
      </c>
    </row>
    <row r="21" spans="1:2" s="8" customFormat="1" ht="12.75" x14ac:dyDescent="0.2">
      <c r="A21" s="6" t="s">
        <v>40</v>
      </c>
      <c r="B21" s="7">
        <v>3012</v>
      </c>
    </row>
    <row r="22" spans="1:2" s="8" customFormat="1" ht="12.75" x14ac:dyDescent="0.2">
      <c r="A22" s="6" t="s">
        <v>204</v>
      </c>
      <c r="B22" s="7">
        <v>0</v>
      </c>
    </row>
    <row r="23" spans="1:2" s="8" customFormat="1" ht="12.75" x14ac:dyDescent="0.2">
      <c r="A23" s="6" t="s">
        <v>198</v>
      </c>
      <c r="B23" s="7">
        <v>4891</v>
      </c>
    </row>
    <row r="24" spans="1:2" s="8" customFormat="1" ht="12.75" x14ac:dyDescent="0.2">
      <c r="A24" s="6" t="s">
        <v>200</v>
      </c>
      <c r="B24" s="7">
        <v>2985</v>
      </c>
    </row>
    <row r="25" spans="1:2" s="8" customFormat="1" ht="12.75" x14ac:dyDescent="0.2">
      <c r="A25" s="6" t="s">
        <v>202</v>
      </c>
      <c r="B25" s="7">
        <v>1158</v>
      </c>
    </row>
    <row r="26" spans="1:2" s="8" customFormat="1" ht="12.75" x14ac:dyDescent="0.2">
      <c r="A26" s="6" t="s">
        <v>190</v>
      </c>
      <c r="B26" s="7">
        <v>0</v>
      </c>
    </row>
    <row r="27" spans="1:2" s="8" customFormat="1" ht="12.75" x14ac:dyDescent="0.2">
      <c r="A27" s="6" t="s">
        <v>192</v>
      </c>
      <c r="B27" s="7">
        <v>188</v>
      </c>
    </row>
    <row r="28" spans="1:2" s="8" customFormat="1" ht="12.75" x14ac:dyDescent="0.2">
      <c r="A28" s="9" t="s">
        <v>194</v>
      </c>
      <c r="B28" s="7">
        <v>5658</v>
      </c>
    </row>
    <row r="29" spans="1:2" s="8" customFormat="1" ht="12.75" x14ac:dyDescent="0.2">
      <c r="A29" s="6" t="s">
        <v>205</v>
      </c>
      <c r="B29" s="7">
        <v>2038</v>
      </c>
    </row>
    <row r="30" spans="1:2" s="8" customFormat="1" ht="12.75" x14ac:dyDescent="0.2">
      <c r="A30" s="6" t="s">
        <v>196</v>
      </c>
      <c r="B30" s="7">
        <v>2811</v>
      </c>
    </row>
    <row r="31" spans="1:2" s="8" customFormat="1" ht="12.75" x14ac:dyDescent="0.2">
      <c r="A31" s="6" t="s">
        <v>50</v>
      </c>
      <c r="B31" s="7">
        <v>1273</v>
      </c>
    </row>
    <row r="32" spans="1:2" s="8" customFormat="1" ht="12.75" x14ac:dyDescent="0.2">
      <c r="A32" s="6" t="s">
        <v>52</v>
      </c>
      <c r="B32" s="7">
        <v>8411</v>
      </c>
    </row>
    <row r="33" spans="1:2" s="8" customFormat="1" ht="12.75" x14ac:dyDescent="0.2">
      <c r="A33" s="6" t="s">
        <v>54</v>
      </c>
      <c r="B33" s="7">
        <v>90</v>
      </c>
    </row>
    <row r="34" spans="1:2" s="8" customFormat="1" ht="12.75" x14ac:dyDescent="0.2">
      <c r="A34" s="6" t="s">
        <v>56</v>
      </c>
      <c r="B34" s="7">
        <v>4774</v>
      </c>
    </row>
    <row r="35" spans="1:2" s="8" customFormat="1" ht="12.75" x14ac:dyDescent="0.2">
      <c r="A35" s="6" t="s">
        <v>58</v>
      </c>
      <c r="B35" s="7">
        <v>6437</v>
      </c>
    </row>
    <row r="36" spans="1:2" s="8" customFormat="1" ht="12.75" x14ac:dyDescent="0.2">
      <c r="A36" s="6" t="s">
        <v>60</v>
      </c>
      <c r="B36" s="7">
        <v>10027</v>
      </c>
    </row>
    <row r="37" spans="1:2" s="8" customFormat="1" ht="12.75" x14ac:dyDescent="0.2">
      <c r="A37" s="6" t="s">
        <v>62</v>
      </c>
      <c r="B37" s="7">
        <v>40269</v>
      </c>
    </row>
    <row r="38" spans="1:2" s="8" customFormat="1" ht="12.75" x14ac:dyDescent="0.2">
      <c r="A38" s="6" t="s">
        <v>64</v>
      </c>
      <c r="B38" s="7">
        <v>1695</v>
      </c>
    </row>
    <row r="39" spans="1:2" s="8" customFormat="1" ht="12.75" x14ac:dyDescent="0.2">
      <c r="A39" s="6" t="s">
        <v>70</v>
      </c>
      <c r="B39" s="7">
        <v>2065</v>
      </c>
    </row>
    <row r="40" spans="1:2" s="8" customFormat="1" ht="12.75" x14ac:dyDescent="0.2">
      <c r="A40" s="6" t="s">
        <v>72</v>
      </c>
      <c r="B40" s="7">
        <v>5581</v>
      </c>
    </row>
    <row r="41" spans="1:2" s="8" customFormat="1" ht="12.75" x14ac:dyDescent="0.2">
      <c r="A41" s="6" t="s">
        <v>66</v>
      </c>
      <c r="B41" s="7">
        <v>104</v>
      </c>
    </row>
    <row r="42" spans="1:2" s="8" customFormat="1" ht="12.75" x14ac:dyDescent="0.2">
      <c r="A42" s="6" t="s">
        <v>68</v>
      </c>
      <c r="B42" s="7">
        <v>10277</v>
      </c>
    </row>
    <row r="43" spans="1:2" s="8" customFormat="1" ht="12.75" x14ac:dyDescent="0.2">
      <c r="A43" s="6" t="s">
        <v>88</v>
      </c>
      <c r="B43" s="7">
        <v>13</v>
      </c>
    </row>
    <row r="44" spans="1:2" s="8" customFormat="1" ht="12.75" x14ac:dyDescent="0.2">
      <c r="A44" s="6" t="s">
        <v>74</v>
      </c>
      <c r="B44" s="7">
        <v>9585</v>
      </c>
    </row>
    <row r="45" spans="1:2" s="8" customFormat="1" ht="12.75" x14ac:dyDescent="0.2">
      <c r="A45" s="6" t="s">
        <v>76</v>
      </c>
      <c r="B45" s="7">
        <v>7709</v>
      </c>
    </row>
    <row r="46" spans="1:2" s="8" customFormat="1" ht="12.75" x14ac:dyDescent="0.2">
      <c r="A46" s="6" t="s">
        <v>78</v>
      </c>
      <c r="B46" s="7">
        <v>561</v>
      </c>
    </row>
    <row r="47" spans="1:2" s="8" customFormat="1" ht="12.75" x14ac:dyDescent="0.2">
      <c r="A47" s="6" t="s">
        <v>80</v>
      </c>
      <c r="B47" s="7">
        <v>31</v>
      </c>
    </row>
    <row r="48" spans="1:2" s="8" customFormat="1" ht="12.75" x14ac:dyDescent="0.2">
      <c r="A48" s="6" t="s">
        <v>82</v>
      </c>
      <c r="B48" s="7">
        <v>561</v>
      </c>
    </row>
    <row r="49" spans="1:2" s="8" customFormat="1" ht="12.75" x14ac:dyDescent="0.2">
      <c r="A49" s="6" t="s">
        <v>206</v>
      </c>
      <c r="B49" s="7">
        <v>1</v>
      </c>
    </row>
    <row r="50" spans="1:2" s="8" customFormat="1" ht="12.75" x14ac:dyDescent="0.2">
      <c r="A50" s="6" t="s">
        <v>84</v>
      </c>
      <c r="B50" s="7">
        <v>4385</v>
      </c>
    </row>
    <row r="51" spans="1:2" s="8" customFormat="1" ht="12.75" x14ac:dyDescent="0.2">
      <c r="A51" s="6" t="s">
        <v>86</v>
      </c>
      <c r="B51" s="7">
        <v>2283</v>
      </c>
    </row>
    <row r="52" spans="1:2" s="8" customFormat="1" ht="12.75" x14ac:dyDescent="0.2">
      <c r="A52" s="6" t="s">
        <v>90</v>
      </c>
      <c r="B52" s="7">
        <v>41488</v>
      </c>
    </row>
    <row r="53" spans="1:2" s="8" customFormat="1" ht="12.75" x14ac:dyDescent="0.2">
      <c r="A53" s="6" t="s">
        <v>108</v>
      </c>
      <c r="B53" s="7">
        <v>12440</v>
      </c>
    </row>
    <row r="54" spans="1:2" s="8" customFormat="1" ht="12.75" x14ac:dyDescent="0.2">
      <c r="A54" s="6" t="s">
        <v>110</v>
      </c>
      <c r="B54" s="7">
        <v>7729</v>
      </c>
    </row>
    <row r="55" spans="1:2" s="8" customFormat="1" ht="12.75" x14ac:dyDescent="0.2">
      <c r="A55" s="6" t="s">
        <v>207</v>
      </c>
      <c r="B55" s="7">
        <v>1844</v>
      </c>
    </row>
    <row r="56" spans="1:2" s="8" customFormat="1" ht="12.75" x14ac:dyDescent="0.2">
      <c r="A56" s="6" t="s">
        <v>208</v>
      </c>
      <c r="B56" s="7">
        <v>453</v>
      </c>
    </row>
    <row r="57" spans="1:2" s="8" customFormat="1" ht="12.75" x14ac:dyDescent="0.2">
      <c r="A57" s="6" t="s">
        <v>209</v>
      </c>
      <c r="B57" s="7">
        <v>5854</v>
      </c>
    </row>
    <row r="58" spans="1:2" s="8" customFormat="1" ht="12.75" x14ac:dyDescent="0.2">
      <c r="A58" s="6" t="s">
        <v>210</v>
      </c>
      <c r="B58" s="7">
        <v>211</v>
      </c>
    </row>
    <row r="59" spans="1:2" s="8" customFormat="1" ht="12.75" x14ac:dyDescent="0.2">
      <c r="A59" s="6" t="s">
        <v>211</v>
      </c>
      <c r="B59" s="7">
        <v>140</v>
      </c>
    </row>
    <row r="60" spans="1:2" s="8" customFormat="1" ht="12.75" x14ac:dyDescent="0.2">
      <c r="A60" s="6" t="s">
        <v>212</v>
      </c>
      <c r="B60" s="7">
        <v>255</v>
      </c>
    </row>
    <row r="61" spans="1:2" s="8" customFormat="1" ht="12.75" x14ac:dyDescent="0.2">
      <c r="A61" s="6" t="s">
        <v>92</v>
      </c>
      <c r="B61" s="7">
        <v>57750</v>
      </c>
    </row>
    <row r="62" spans="1:2" s="8" customFormat="1" ht="12.75" x14ac:dyDescent="0.2">
      <c r="A62" s="6" t="s">
        <v>94</v>
      </c>
      <c r="B62" s="7">
        <v>10279</v>
      </c>
    </row>
    <row r="63" spans="1:2" s="8" customFormat="1" ht="12.75" x14ac:dyDescent="0.2">
      <c r="A63" s="9" t="s">
        <v>96</v>
      </c>
      <c r="B63" s="7">
        <v>32852</v>
      </c>
    </row>
    <row r="64" spans="1:2" s="8" customFormat="1" ht="12.75" x14ac:dyDescent="0.2">
      <c r="A64" s="6" t="s">
        <v>98</v>
      </c>
      <c r="B64" s="7">
        <v>17843</v>
      </c>
    </row>
    <row r="65" spans="1:2" s="8" customFormat="1" ht="12.75" x14ac:dyDescent="0.2">
      <c r="A65" s="6" t="s">
        <v>100</v>
      </c>
      <c r="B65" s="7">
        <v>20027</v>
      </c>
    </row>
    <row r="66" spans="1:2" s="8" customFormat="1" ht="12.75" x14ac:dyDescent="0.2">
      <c r="A66" s="6" t="s">
        <v>102</v>
      </c>
      <c r="B66" s="7">
        <v>21200</v>
      </c>
    </row>
    <row r="67" spans="1:2" s="8" customFormat="1" ht="12.75" x14ac:dyDescent="0.2">
      <c r="A67" s="6" t="s">
        <v>104</v>
      </c>
      <c r="B67" s="7">
        <v>0</v>
      </c>
    </row>
    <row r="68" spans="1:2" s="8" customFormat="1" ht="12.75" x14ac:dyDescent="0.2">
      <c r="A68" s="6" t="s">
        <v>106</v>
      </c>
      <c r="B68" s="7">
        <v>19905</v>
      </c>
    </row>
    <row r="69" spans="1:2" s="8" customFormat="1" ht="12.75" x14ac:dyDescent="0.2">
      <c r="A69" s="6" t="s">
        <v>112</v>
      </c>
      <c r="B69" s="7">
        <v>307749</v>
      </c>
    </row>
    <row r="70" spans="1:2" s="8" customFormat="1" ht="12.75" x14ac:dyDescent="0.2">
      <c r="A70" s="6" t="s">
        <v>114</v>
      </c>
      <c r="B70" s="7">
        <v>2376</v>
      </c>
    </row>
    <row r="71" spans="1:2" s="8" customFormat="1" ht="12.75" x14ac:dyDescent="0.2">
      <c r="A71" s="6" t="s">
        <v>116</v>
      </c>
      <c r="B71" s="7">
        <v>42510</v>
      </c>
    </row>
    <row r="72" spans="1:2" s="8" customFormat="1" ht="12.75" x14ac:dyDescent="0.2">
      <c r="A72" s="6" t="s">
        <v>118</v>
      </c>
      <c r="B72" s="7">
        <v>1696</v>
      </c>
    </row>
    <row r="73" spans="1:2" s="8" customFormat="1" ht="12.75" x14ac:dyDescent="0.2">
      <c r="A73" s="6" t="s">
        <v>120</v>
      </c>
      <c r="B73" s="7">
        <v>17840</v>
      </c>
    </row>
    <row r="74" spans="1:2" s="8" customFormat="1" ht="12.75" x14ac:dyDescent="0.2">
      <c r="A74" s="6" t="s">
        <v>122</v>
      </c>
      <c r="B74" s="7">
        <v>19710</v>
      </c>
    </row>
    <row r="75" spans="1:2" s="8" customFormat="1" ht="12.75" x14ac:dyDescent="0.2">
      <c r="A75" s="6" t="s">
        <v>124</v>
      </c>
      <c r="B75" s="7">
        <v>37950</v>
      </c>
    </row>
    <row r="76" spans="1:2" s="8" customFormat="1" ht="12.75" x14ac:dyDescent="0.2">
      <c r="A76" s="9" t="s">
        <v>126</v>
      </c>
      <c r="B76" s="7">
        <v>19193</v>
      </c>
    </row>
    <row r="77" spans="1:2" s="8" customFormat="1" ht="12.75" x14ac:dyDescent="0.2">
      <c r="A77" s="9" t="s">
        <v>128</v>
      </c>
      <c r="B77" s="7">
        <v>33810</v>
      </c>
    </row>
    <row r="78" spans="1:2" s="8" customFormat="1" ht="12.75" x14ac:dyDescent="0.2">
      <c r="A78" s="6" t="s">
        <v>130</v>
      </c>
      <c r="B78" s="7">
        <v>10073</v>
      </c>
    </row>
    <row r="79" spans="1:2" s="8" customFormat="1" ht="12.75" x14ac:dyDescent="0.2">
      <c r="A79" s="6" t="s">
        <v>213</v>
      </c>
      <c r="B79" s="7">
        <v>3913</v>
      </c>
    </row>
    <row r="80" spans="1:2" s="8" customFormat="1" ht="12.75" x14ac:dyDescent="0.2">
      <c r="A80" s="6" t="s">
        <v>132</v>
      </c>
      <c r="B80" s="7">
        <v>58946</v>
      </c>
    </row>
    <row r="81" spans="1:2" s="8" customFormat="1" ht="12.75" x14ac:dyDescent="0.2">
      <c r="A81" s="6" t="s">
        <v>134</v>
      </c>
      <c r="B81" s="7">
        <v>49182</v>
      </c>
    </row>
    <row r="82" spans="1:2" s="8" customFormat="1" ht="12.75" x14ac:dyDescent="0.2">
      <c r="A82" s="6" t="s">
        <v>136</v>
      </c>
      <c r="B82" s="7">
        <v>16850</v>
      </c>
    </row>
    <row r="83" spans="1:2" s="8" customFormat="1" ht="12.75" x14ac:dyDescent="0.2">
      <c r="A83" s="9" t="s">
        <v>138</v>
      </c>
      <c r="B83" s="7">
        <v>11455</v>
      </c>
    </row>
    <row r="84" spans="1:2" s="8" customFormat="1" ht="12.75" x14ac:dyDescent="0.2">
      <c r="A84" s="6" t="s">
        <v>140</v>
      </c>
      <c r="B84" s="7">
        <v>27650</v>
      </c>
    </row>
    <row r="85" spans="1:2" s="8" customFormat="1" ht="12.75" x14ac:dyDescent="0.2">
      <c r="A85" s="6" t="s">
        <v>142</v>
      </c>
      <c r="B85" s="7">
        <v>16617</v>
      </c>
    </row>
    <row r="86" spans="1:2" s="8" customFormat="1" ht="12.75" x14ac:dyDescent="0.2">
      <c r="A86" s="6" t="s">
        <v>144</v>
      </c>
      <c r="B86" s="7">
        <v>9300</v>
      </c>
    </row>
    <row r="87" spans="1:2" s="8" customFormat="1" ht="12.75" x14ac:dyDescent="0.2">
      <c r="A87" s="6" t="s">
        <v>146</v>
      </c>
      <c r="B87" s="7">
        <v>19646</v>
      </c>
    </row>
    <row r="88" spans="1:2" s="8" customFormat="1" ht="12.75" x14ac:dyDescent="0.2">
      <c r="A88" s="6" t="s">
        <v>148</v>
      </c>
      <c r="B88" s="7">
        <v>19012</v>
      </c>
    </row>
    <row r="89" spans="1:2" s="8" customFormat="1" ht="12.75" x14ac:dyDescent="0.2">
      <c r="A89" s="6" t="s">
        <v>150</v>
      </c>
      <c r="B89" s="7">
        <v>10992</v>
      </c>
    </row>
    <row r="90" spans="1:2" s="8" customFormat="1" ht="12.75" x14ac:dyDescent="0.2">
      <c r="A90" s="6" t="s">
        <v>152</v>
      </c>
      <c r="B90" s="7">
        <v>11921</v>
      </c>
    </row>
    <row r="91" spans="1:2" s="8" customFormat="1" ht="12.75" x14ac:dyDescent="0.2">
      <c r="A91" s="6" t="s">
        <v>154</v>
      </c>
      <c r="B91" s="7">
        <v>5721</v>
      </c>
    </row>
    <row r="92" spans="1:2" s="8" customFormat="1" ht="12.75" x14ac:dyDescent="0.2">
      <c r="A92" s="6" t="s">
        <v>156</v>
      </c>
      <c r="B92" s="7">
        <v>5993</v>
      </c>
    </row>
    <row r="93" spans="1:2" s="8" customFormat="1" ht="12.75" x14ac:dyDescent="0.2">
      <c r="A93" s="6" t="s">
        <v>158</v>
      </c>
      <c r="B93" s="7">
        <v>36664</v>
      </c>
    </row>
    <row r="94" spans="1:2" s="8" customFormat="1" ht="12.75" x14ac:dyDescent="0.2">
      <c r="A94" s="6" t="s">
        <v>160</v>
      </c>
      <c r="B94" s="7">
        <v>71502</v>
      </c>
    </row>
    <row r="95" spans="1:2" s="8" customFormat="1" ht="12.75" x14ac:dyDescent="0.2">
      <c r="A95" s="6" t="s">
        <v>162</v>
      </c>
      <c r="B95" s="7">
        <v>15534</v>
      </c>
    </row>
    <row r="96" spans="1:2" s="8" customFormat="1" ht="12.75" x14ac:dyDescent="0.2">
      <c r="A96" s="6" t="s">
        <v>164</v>
      </c>
      <c r="B96" s="7">
        <v>31404</v>
      </c>
    </row>
    <row r="97" spans="1:2" s="8" customFormat="1" ht="12.75" x14ac:dyDescent="0.2">
      <c r="A97" s="9" t="s">
        <v>166</v>
      </c>
      <c r="B97" s="7">
        <v>18483</v>
      </c>
    </row>
    <row r="98" spans="1:2" s="8" customFormat="1" ht="12.75" x14ac:dyDescent="0.2">
      <c r="A98" s="6" t="s">
        <v>168</v>
      </c>
      <c r="B98" s="7">
        <v>16377</v>
      </c>
    </row>
    <row r="99" spans="1:2" s="8" customFormat="1" ht="12.75" x14ac:dyDescent="0.2">
      <c r="A99" s="6" t="s">
        <v>170</v>
      </c>
      <c r="B99" s="7">
        <v>1349</v>
      </c>
    </row>
    <row r="100" spans="1:2" s="8" customFormat="1" ht="12.75" x14ac:dyDescent="0.2">
      <c r="A100" s="6" t="s">
        <v>172</v>
      </c>
      <c r="B100" s="7">
        <v>15558</v>
      </c>
    </row>
    <row r="101" spans="1:2" s="8" customFormat="1" ht="12.75" x14ac:dyDescent="0.2">
      <c r="A101" s="6" t="s">
        <v>174</v>
      </c>
      <c r="B101" s="7">
        <v>511</v>
      </c>
    </row>
    <row r="102" spans="1:2" s="8" customFormat="1" ht="12.75" x14ac:dyDescent="0.2">
      <c r="A102" s="6" t="s">
        <v>176</v>
      </c>
      <c r="B102" s="7">
        <v>1357</v>
      </c>
    </row>
    <row r="103" spans="1:2" s="8" customFormat="1" ht="12.75" x14ac:dyDescent="0.2">
      <c r="A103" s="9" t="s">
        <v>178</v>
      </c>
      <c r="B103" s="7">
        <v>139227</v>
      </c>
    </row>
    <row r="104" spans="1:2" s="8" customFormat="1" ht="12.75" x14ac:dyDescent="0.2">
      <c r="A104" s="6" t="s">
        <v>180</v>
      </c>
      <c r="B104" s="7">
        <v>7900</v>
      </c>
    </row>
    <row r="105" spans="1:2" s="8" customFormat="1" ht="12.75" x14ac:dyDescent="0.2">
      <c r="A105" s="6" t="s">
        <v>182</v>
      </c>
      <c r="B105" s="7">
        <v>6809</v>
      </c>
    </row>
    <row r="106" spans="1:2" s="8" customFormat="1" ht="12.75" x14ac:dyDescent="0.2">
      <c r="A106" s="6" t="s">
        <v>184</v>
      </c>
      <c r="B106" s="7">
        <v>36208</v>
      </c>
    </row>
    <row r="107" spans="1:2" s="8" customFormat="1" ht="12.75" x14ac:dyDescent="0.2">
      <c r="A107" s="9" t="s">
        <v>186</v>
      </c>
      <c r="B107" s="7">
        <v>136367</v>
      </c>
    </row>
    <row r="108" spans="1:2" s="8" customFormat="1" ht="12.75" x14ac:dyDescent="0.2">
      <c r="A108" s="6" t="s">
        <v>188</v>
      </c>
      <c r="B108" s="7">
        <v>24792</v>
      </c>
    </row>
    <row r="109" spans="1:2" s="8" customFormat="1" ht="12.75" x14ac:dyDescent="0.2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2015-04-27T04:57:35Z</dcterms:modified>
</cp:coreProperties>
</file>