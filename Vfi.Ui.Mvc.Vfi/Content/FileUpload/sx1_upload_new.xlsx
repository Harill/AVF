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aly\"/>
    </mc:Choice>
  </mc:AlternateContent>
  <bookViews>
    <workbookView xWindow="0" yWindow="1860" windowWidth="15330" windowHeight="2190"/>
  </bookViews>
  <sheets>
    <sheet name="Code" sheetId="1" r:id="rId1"/>
    <sheet name="Info" sheetId="2" r:id="rId2"/>
    <sheet name="Data" sheetId="3" r:id="rId3"/>
  </sheets>
  <definedNames>
    <definedName name="_xlnm._FilterDatabase" localSheetId="0" hidden="1">Code!$A$4:$Z$198</definedName>
    <definedName name="_xlnm._FilterDatabase" localSheetId="2" hidden="1">Data!$A$4:$Y$185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5" i="1"/>
  <c r="A1" i="1" l="1"/>
  <c r="C5" i="1"/>
  <c r="D5" i="1" l="1"/>
  <c r="A6" i="1"/>
  <c r="K5" i="1" l="1"/>
  <c r="J5" i="1"/>
  <c r="I5" i="1"/>
  <c r="H5" i="1"/>
  <c r="G5" i="1"/>
  <c r="F5" i="1"/>
  <c r="E5" i="1"/>
  <c r="C6" i="1"/>
  <c r="L5" i="1"/>
  <c r="A7" i="1"/>
  <c r="B6" i="1"/>
  <c r="M5" i="1"/>
  <c r="D6" i="1" l="1"/>
  <c r="C7" i="1"/>
  <c r="B7" i="1"/>
  <c r="A8" i="1"/>
  <c r="K6" i="1" l="1"/>
  <c r="J6" i="1"/>
  <c r="I6" i="1"/>
  <c r="E6" i="1"/>
  <c r="D7" i="1"/>
  <c r="B8" i="1"/>
  <c r="L6" i="1"/>
  <c r="H6" i="1"/>
  <c r="A9" i="1"/>
  <c r="G6" i="1"/>
  <c r="C8" i="1"/>
  <c r="M6" i="1"/>
  <c r="F6" i="1"/>
  <c r="K7" i="1" l="1"/>
  <c r="J7" i="1"/>
  <c r="I7" i="1"/>
  <c r="E7" i="1"/>
  <c r="D8" i="1"/>
  <c r="M7" i="1"/>
  <c r="C9" i="1"/>
  <c r="L7" i="1"/>
  <c r="N8" i="1"/>
  <c r="H7" i="1"/>
  <c r="G7" i="1"/>
  <c r="F7" i="1"/>
  <c r="A10" i="1"/>
  <c r="B9" i="1"/>
  <c r="P8" i="1" l="1"/>
  <c r="O8" i="1"/>
  <c r="R8" i="1"/>
  <c r="Q8" i="1"/>
  <c r="U8" i="1"/>
  <c r="T8" i="1"/>
  <c r="S8" i="1"/>
  <c r="V8" i="1"/>
  <c r="K8" i="1"/>
  <c r="J8" i="1"/>
  <c r="I8" i="1"/>
  <c r="E8" i="1"/>
  <c r="D9" i="1"/>
  <c r="A11" i="1"/>
  <c r="L8" i="1"/>
  <c r="M8" i="1"/>
  <c r="C10" i="1"/>
  <c r="H8" i="1"/>
  <c r="B10" i="1"/>
  <c r="F8" i="1"/>
  <c r="G8" i="1"/>
  <c r="K9" i="1" l="1"/>
  <c r="J9" i="1"/>
  <c r="I9" i="1"/>
  <c r="E9" i="1"/>
  <c r="D10" i="1"/>
  <c r="B11" i="1"/>
  <c r="L9" i="1"/>
  <c r="G9" i="1"/>
  <c r="C11" i="1"/>
  <c r="F9" i="1"/>
  <c r="A12" i="1"/>
  <c r="M9" i="1"/>
  <c r="H9" i="1"/>
  <c r="N10" i="1"/>
  <c r="P10" i="1" l="1"/>
  <c r="O10" i="1"/>
  <c r="U10" i="1"/>
  <c r="R10" i="1"/>
  <c r="Q10" i="1"/>
  <c r="T10" i="1"/>
  <c r="S10" i="1"/>
  <c r="V10" i="1"/>
  <c r="K10" i="1"/>
  <c r="J10" i="1"/>
  <c r="I10" i="1"/>
  <c r="E10" i="1"/>
  <c r="D11" i="1"/>
  <c r="C12" i="1"/>
  <c r="L10" i="1"/>
  <c r="G10" i="1"/>
  <c r="B12" i="1"/>
  <c r="N11" i="1"/>
  <c r="A13" i="1"/>
  <c r="H10" i="1"/>
  <c r="F10" i="1"/>
  <c r="M10" i="1"/>
  <c r="O11" i="1" l="1"/>
  <c r="P11" i="1"/>
  <c r="Y10" i="1"/>
  <c r="Q11" i="1"/>
  <c r="R11" i="1"/>
  <c r="Z10" i="1"/>
  <c r="U11" i="1"/>
  <c r="W10" i="1"/>
  <c r="S11" i="1"/>
  <c r="T11" i="1"/>
  <c r="X10" i="1"/>
  <c r="V11" i="1"/>
  <c r="K11" i="1"/>
  <c r="J11" i="1"/>
  <c r="I11" i="1"/>
  <c r="E11" i="1"/>
  <c r="D12" i="1"/>
  <c r="B13" i="1"/>
  <c r="H11" i="1"/>
  <c r="L11" i="1"/>
  <c r="A14" i="1"/>
  <c r="G11" i="1"/>
  <c r="F11" i="1"/>
  <c r="C13" i="1"/>
  <c r="M11" i="1"/>
  <c r="K12" i="1" l="1"/>
  <c r="J12" i="1"/>
  <c r="I12" i="1"/>
  <c r="E12" i="1"/>
  <c r="D13" i="1"/>
  <c r="H12" i="1"/>
  <c r="B14" i="1"/>
  <c r="G12" i="1"/>
  <c r="C14" i="1"/>
  <c r="M12" i="1"/>
  <c r="F12" i="1"/>
  <c r="A15" i="1"/>
  <c r="L12" i="1"/>
  <c r="K13" i="1" l="1"/>
  <c r="J13" i="1"/>
  <c r="I13" i="1"/>
  <c r="E13" i="1"/>
  <c r="D14" i="1"/>
  <c r="M13" i="1"/>
  <c r="G13" i="1"/>
  <c r="B15" i="1"/>
  <c r="A16" i="1"/>
  <c r="L13" i="1"/>
  <c r="F13" i="1"/>
  <c r="C15" i="1"/>
  <c r="H13" i="1"/>
  <c r="K14" i="1" l="1"/>
  <c r="J14" i="1"/>
  <c r="I14" i="1"/>
  <c r="E14" i="1"/>
  <c r="D15" i="1"/>
  <c r="M14" i="1"/>
  <c r="G14" i="1"/>
  <c r="C16" i="1"/>
  <c r="F14" i="1"/>
  <c r="H14" i="1"/>
  <c r="B16" i="1"/>
  <c r="L14" i="1"/>
  <c r="A17" i="1"/>
  <c r="K15" i="1" l="1"/>
  <c r="J15" i="1"/>
  <c r="I15" i="1"/>
  <c r="E15" i="1"/>
  <c r="D16" i="1"/>
  <c r="A18" i="1"/>
  <c r="M15" i="1"/>
  <c r="C17" i="1"/>
  <c r="L15" i="1"/>
  <c r="H15" i="1"/>
  <c r="B17" i="1"/>
  <c r="F15" i="1"/>
  <c r="G15" i="1"/>
  <c r="K16" i="1" l="1"/>
  <c r="J16" i="1"/>
  <c r="I16" i="1"/>
  <c r="E16" i="1"/>
  <c r="D17" i="1"/>
  <c r="F16" i="1"/>
  <c r="B18" i="1"/>
  <c r="G16" i="1"/>
  <c r="H16" i="1"/>
  <c r="M16" i="1"/>
  <c r="C18" i="1"/>
  <c r="A19" i="1"/>
  <c r="L16" i="1"/>
  <c r="K17" i="1" l="1"/>
  <c r="J17" i="1"/>
  <c r="I17" i="1"/>
  <c r="E17" i="1"/>
  <c r="D18" i="1"/>
  <c r="B19" i="1"/>
  <c r="M17" i="1"/>
  <c r="L17" i="1"/>
  <c r="A20" i="1"/>
  <c r="G17" i="1"/>
  <c r="H17" i="1"/>
  <c r="C19" i="1"/>
  <c r="F17" i="1"/>
  <c r="K18" i="1" l="1"/>
  <c r="J18" i="1"/>
  <c r="I18" i="1"/>
  <c r="E18" i="1"/>
  <c r="D19" i="1"/>
  <c r="F18" i="1"/>
  <c r="B20" i="1"/>
  <c r="C20" i="1"/>
  <c r="N19" i="1"/>
  <c r="M18" i="1"/>
  <c r="G18" i="1"/>
  <c r="L18" i="1"/>
  <c r="H18" i="1"/>
  <c r="A21" i="1"/>
  <c r="P19" i="1" l="1"/>
  <c r="Q19" i="1"/>
  <c r="V19" i="1"/>
  <c r="R19" i="1"/>
  <c r="U19" i="1"/>
  <c r="T19" i="1"/>
  <c r="O19" i="1"/>
  <c r="S19" i="1"/>
  <c r="K19" i="1"/>
  <c r="J19" i="1"/>
  <c r="I19" i="1"/>
  <c r="E19" i="1"/>
  <c r="D20" i="1"/>
  <c r="B21" i="1"/>
  <c r="M19" i="1"/>
  <c r="C21" i="1"/>
  <c r="N20" i="1"/>
  <c r="H19" i="1"/>
  <c r="A22" i="1"/>
  <c r="L19" i="1"/>
  <c r="F19" i="1"/>
  <c r="G19" i="1"/>
  <c r="O20" i="1" l="1"/>
  <c r="P20" i="1"/>
  <c r="W19" i="1"/>
  <c r="Y19" i="1"/>
  <c r="Q20" i="1"/>
  <c r="T20" i="1"/>
  <c r="Z19" i="1"/>
  <c r="V20" i="1"/>
  <c r="S20" i="1"/>
  <c r="R20" i="1"/>
  <c r="X19" i="1"/>
  <c r="U20" i="1"/>
  <c r="K20" i="1"/>
  <c r="J20" i="1"/>
  <c r="I20" i="1"/>
  <c r="E20" i="1"/>
  <c r="D21" i="1"/>
  <c r="B22" i="1"/>
  <c r="F20" i="1"/>
  <c r="C22" i="1"/>
  <c r="L20" i="1"/>
  <c r="A23" i="1"/>
  <c r="G20" i="1"/>
  <c r="H20" i="1"/>
  <c r="M20" i="1"/>
  <c r="K21" i="1" l="1"/>
  <c r="J21" i="1"/>
  <c r="I21" i="1"/>
  <c r="E21" i="1"/>
  <c r="D22" i="1"/>
  <c r="A24" i="1"/>
  <c r="G21" i="1"/>
  <c r="M21" i="1"/>
  <c r="H21" i="1"/>
  <c r="C23" i="1"/>
  <c r="F21" i="1"/>
  <c r="L21" i="1"/>
  <c r="B23" i="1"/>
  <c r="K22" i="1" l="1"/>
  <c r="J22" i="1"/>
  <c r="I22" i="1"/>
  <c r="E22" i="1"/>
  <c r="D23" i="1"/>
  <c r="F22" i="1"/>
  <c r="M22" i="1"/>
  <c r="L22" i="1"/>
  <c r="H22" i="1"/>
  <c r="A25" i="1"/>
  <c r="C24" i="1"/>
  <c r="G22" i="1"/>
  <c r="B24" i="1"/>
  <c r="K23" i="1" l="1"/>
  <c r="J23" i="1"/>
  <c r="I23" i="1"/>
  <c r="E23" i="1"/>
  <c r="D24" i="1"/>
  <c r="B25" i="1"/>
  <c r="L23" i="1"/>
  <c r="C25" i="1"/>
  <c r="M23" i="1"/>
  <c r="H23" i="1"/>
  <c r="A26" i="1"/>
  <c r="G23" i="1"/>
  <c r="F23" i="1"/>
  <c r="K24" i="1" l="1"/>
  <c r="J24" i="1"/>
  <c r="I24" i="1"/>
  <c r="E24" i="1"/>
  <c r="D25" i="1"/>
  <c r="C26" i="1"/>
  <c r="L24" i="1"/>
  <c r="F24" i="1"/>
  <c r="B26" i="1"/>
  <c r="H24" i="1"/>
  <c r="A27" i="1"/>
  <c r="G24" i="1"/>
  <c r="M24" i="1"/>
  <c r="K25" i="1" l="1"/>
  <c r="J25" i="1"/>
  <c r="I25" i="1"/>
  <c r="E25" i="1"/>
  <c r="D26" i="1"/>
  <c r="M25" i="1"/>
  <c r="G25" i="1"/>
  <c r="B27" i="1"/>
  <c r="H25" i="1"/>
  <c r="A28" i="1"/>
  <c r="C27" i="1"/>
  <c r="N26" i="1"/>
  <c r="L25" i="1"/>
  <c r="F25" i="1"/>
  <c r="O26" i="1" l="1"/>
  <c r="P26" i="1"/>
  <c r="V26" i="1"/>
  <c r="Q26" i="1"/>
  <c r="R26" i="1"/>
  <c r="U26" i="1"/>
  <c r="S26" i="1"/>
  <c r="T26" i="1"/>
  <c r="K26" i="1"/>
  <c r="J26" i="1"/>
  <c r="I26" i="1"/>
  <c r="E26" i="1"/>
  <c r="D27" i="1"/>
  <c r="M26" i="1"/>
  <c r="A29" i="1"/>
  <c r="F26" i="1"/>
  <c r="G26" i="1"/>
  <c r="H26" i="1"/>
  <c r="C28" i="1"/>
  <c r="L26" i="1"/>
  <c r="B28" i="1"/>
  <c r="K27" i="1" l="1"/>
  <c r="J27" i="1"/>
  <c r="I27" i="1"/>
  <c r="E27" i="1"/>
  <c r="D28" i="1"/>
  <c r="C29" i="1"/>
  <c r="F27" i="1"/>
  <c r="H27" i="1"/>
  <c r="M27" i="1"/>
  <c r="B29" i="1"/>
  <c r="G27" i="1"/>
  <c r="L27" i="1"/>
  <c r="N28" i="1"/>
  <c r="A30" i="1"/>
  <c r="O28" i="1" l="1"/>
  <c r="P28" i="1"/>
  <c r="Q28" i="1"/>
  <c r="R28" i="1"/>
  <c r="U28" i="1"/>
  <c r="S28" i="1"/>
  <c r="T28" i="1"/>
  <c r="V28" i="1"/>
  <c r="K28" i="1"/>
  <c r="J28" i="1"/>
  <c r="I28" i="1"/>
  <c r="E28" i="1"/>
  <c r="D29" i="1"/>
  <c r="B30" i="1"/>
  <c r="G28" i="1"/>
  <c r="H28" i="1"/>
  <c r="C30" i="1"/>
  <c r="F28" i="1"/>
  <c r="A31" i="1"/>
  <c r="L28" i="1"/>
  <c r="M28" i="1"/>
  <c r="K29" i="1" l="1"/>
  <c r="J29" i="1"/>
  <c r="I29" i="1"/>
  <c r="E29" i="1"/>
  <c r="D30" i="1"/>
  <c r="F29" i="1"/>
  <c r="H29" i="1"/>
  <c r="C31" i="1"/>
  <c r="N30" i="1"/>
  <c r="A32" i="1"/>
  <c r="L29" i="1"/>
  <c r="G29" i="1"/>
  <c r="M29" i="1"/>
  <c r="B31" i="1"/>
  <c r="O30" i="1" l="1"/>
  <c r="P30" i="1"/>
  <c r="Q30" i="1"/>
  <c r="R30" i="1"/>
  <c r="S30" i="1"/>
  <c r="T30" i="1"/>
  <c r="U30" i="1"/>
  <c r="V30" i="1"/>
  <c r="K30" i="1"/>
  <c r="J30" i="1"/>
  <c r="I30" i="1"/>
  <c r="E30" i="1"/>
  <c r="D31" i="1"/>
  <c r="G30" i="1"/>
  <c r="A33" i="1"/>
  <c r="F30" i="1"/>
  <c r="M30" i="1"/>
  <c r="B32" i="1"/>
  <c r="N31" i="1"/>
  <c r="H30" i="1"/>
  <c r="L30" i="1"/>
  <c r="C32" i="1"/>
  <c r="P31" i="1" l="1"/>
  <c r="O31" i="1"/>
  <c r="Z30" i="1"/>
  <c r="U31" i="1"/>
  <c r="R31" i="1"/>
  <c r="Q31" i="1"/>
  <c r="X30" i="1"/>
  <c r="Y30" i="1"/>
  <c r="T31" i="1"/>
  <c r="S31" i="1"/>
  <c r="W30" i="1"/>
  <c r="V31" i="1"/>
  <c r="K31" i="1"/>
  <c r="J31" i="1"/>
  <c r="I31" i="1"/>
  <c r="E31" i="1"/>
  <c r="D32" i="1"/>
  <c r="H31" i="1"/>
  <c r="L31" i="1"/>
  <c r="G31" i="1"/>
  <c r="C33" i="1"/>
  <c r="F31" i="1"/>
  <c r="B33" i="1"/>
  <c r="M31" i="1"/>
  <c r="A34" i="1"/>
  <c r="K32" i="1" l="1"/>
  <c r="J32" i="1"/>
  <c r="I32" i="1"/>
  <c r="E32" i="1"/>
  <c r="D33" i="1"/>
  <c r="C34" i="1"/>
  <c r="B34" i="1"/>
  <c r="L32" i="1"/>
  <c r="A35" i="1"/>
  <c r="F32" i="1"/>
  <c r="M32" i="1"/>
  <c r="H32" i="1"/>
  <c r="G32" i="1"/>
  <c r="K33" i="1" l="1"/>
  <c r="J33" i="1"/>
  <c r="I33" i="1"/>
  <c r="E33" i="1"/>
  <c r="D34" i="1"/>
  <c r="L33" i="1"/>
  <c r="H33" i="1"/>
  <c r="A36" i="1"/>
  <c r="G33" i="1"/>
  <c r="F33" i="1"/>
  <c r="M33" i="1"/>
  <c r="C35" i="1"/>
  <c r="B35" i="1"/>
  <c r="K34" i="1" l="1"/>
  <c r="J34" i="1"/>
  <c r="I34" i="1"/>
  <c r="E34" i="1"/>
  <c r="D35" i="1"/>
  <c r="L34" i="1"/>
  <c r="C36" i="1"/>
  <c r="F34" i="1"/>
  <c r="G34" i="1"/>
  <c r="M34" i="1"/>
  <c r="H34" i="1"/>
  <c r="B36" i="1"/>
  <c r="A37" i="1"/>
  <c r="K35" i="1" l="1"/>
  <c r="J35" i="1"/>
  <c r="I35" i="1"/>
  <c r="E35" i="1"/>
  <c r="D36" i="1"/>
  <c r="C37" i="1"/>
  <c r="F35" i="1"/>
  <c r="G35" i="1"/>
  <c r="B37" i="1"/>
  <c r="A38" i="1"/>
  <c r="M35" i="1"/>
  <c r="L35" i="1"/>
  <c r="H35" i="1"/>
  <c r="K36" i="1" l="1"/>
  <c r="J36" i="1"/>
  <c r="I36" i="1"/>
  <c r="E36" i="1"/>
  <c r="D37" i="1"/>
  <c r="H36" i="1"/>
  <c r="M36" i="1"/>
  <c r="G36" i="1"/>
  <c r="C38" i="1"/>
  <c r="F36" i="1"/>
  <c r="B38" i="1"/>
  <c r="L36" i="1"/>
  <c r="A39" i="1"/>
  <c r="K37" i="1" l="1"/>
  <c r="J37" i="1"/>
  <c r="I37" i="1"/>
  <c r="E37" i="1"/>
  <c r="D38" i="1"/>
  <c r="A40" i="1"/>
  <c r="H37" i="1"/>
  <c r="M37" i="1"/>
  <c r="G37" i="1"/>
  <c r="C39" i="1"/>
  <c r="F37" i="1"/>
  <c r="L37" i="1"/>
  <c r="B39" i="1"/>
  <c r="K38" i="1" l="1"/>
  <c r="J38" i="1"/>
  <c r="I38" i="1"/>
  <c r="E38" i="1"/>
  <c r="D39" i="1"/>
  <c r="M38" i="1"/>
  <c r="H38" i="1"/>
  <c r="C40" i="1"/>
  <c r="F38" i="1"/>
  <c r="B40" i="1"/>
  <c r="G38" i="1"/>
  <c r="A41" i="1"/>
  <c r="L38" i="1"/>
  <c r="K39" i="1" l="1"/>
  <c r="J39" i="1"/>
  <c r="I39" i="1"/>
  <c r="E39" i="1"/>
  <c r="D40" i="1"/>
  <c r="G39" i="1"/>
  <c r="B41" i="1"/>
  <c r="H39" i="1"/>
  <c r="L39" i="1"/>
  <c r="C41" i="1"/>
  <c r="F39" i="1"/>
  <c r="A42" i="1"/>
  <c r="M39" i="1"/>
  <c r="K40" i="1" l="1"/>
  <c r="J40" i="1"/>
  <c r="I40" i="1"/>
  <c r="E40" i="1"/>
  <c r="D41" i="1"/>
  <c r="B42" i="1"/>
  <c r="M40" i="1"/>
  <c r="N41" i="1"/>
  <c r="C42" i="1"/>
  <c r="L40" i="1"/>
  <c r="A43" i="1"/>
  <c r="H40" i="1"/>
  <c r="F40" i="1"/>
  <c r="G40" i="1"/>
  <c r="O41" i="1" l="1"/>
  <c r="R41" i="1"/>
  <c r="U41" i="1"/>
  <c r="Q41" i="1"/>
  <c r="V41" i="1"/>
  <c r="S41" i="1"/>
  <c r="P41" i="1"/>
  <c r="T41" i="1"/>
  <c r="K41" i="1"/>
  <c r="J41" i="1"/>
  <c r="I41" i="1"/>
  <c r="E41" i="1"/>
  <c r="D42" i="1"/>
  <c r="M41" i="1"/>
  <c r="B43" i="1"/>
  <c r="L41" i="1"/>
  <c r="G41" i="1"/>
  <c r="C43" i="1"/>
  <c r="F41" i="1"/>
  <c r="H41" i="1"/>
  <c r="A44" i="1"/>
  <c r="K42" i="1" l="1"/>
  <c r="J42" i="1"/>
  <c r="I42" i="1"/>
  <c r="E42" i="1"/>
  <c r="D43" i="1"/>
  <c r="A45" i="1"/>
  <c r="L42" i="1"/>
  <c r="H42" i="1"/>
  <c r="C44" i="1"/>
  <c r="F42" i="1"/>
  <c r="B44" i="1"/>
  <c r="M42" i="1"/>
  <c r="G42" i="1"/>
  <c r="K43" i="1" l="1"/>
  <c r="J43" i="1"/>
  <c r="I43" i="1"/>
  <c r="E43" i="1"/>
  <c r="D44" i="1"/>
  <c r="C45" i="1"/>
  <c r="F43" i="1"/>
  <c r="B45" i="1"/>
  <c r="L43" i="1"/>
  <c r="A46" i="1"/>
  <c r="M43" i="1"/>
  <c r="H43" i="1"/>
  <c r="G43" i="1"/>
  <c r="K44" i="1" l="1"/>
  <c r="J44" i="1"/>
  <c r="I44" i="1"/>
  <c r="E44" i="1"/>
  <c r="D45" i="1"/>
  <c r="B46" i="1"/>
  <c r="H44" i="1"/>
  <c r="L44" i="1"/>
  <c r="C46" i="1"/>
  <c r="F44" i="1"/>
  <c r="A47" i="1"/>
  <c r="M44" i="1"/>
  <c r="G44" i="1"/>
  <c r="K45" i="1" l="1"/>
  <c r="J45" i="1"/>
  <c r="I45" i="1"/>
  <c r="E45" i="1"/>
  <c r="D46" i="1"/>
  <c r="M45" i="1"/>
  <c r="B47" i="1"/>
  <c r="H45" i="1"/>
  <c r="C47" i="1"/>
  <c r="F45" i="1"/>
  <c r="A48" i="1"/>
  <c r="G45" i="1"/>
  <c r="L45" i="1"/>
  <c r="K46" i="1" l="1"/>
  <c r="J46" i="1"/>
  <c r="I46" i="1"/>
  <c r="E46" i="1"/>
  <c r="D47" i="1"/>
  <c r="F46" i="1"/>
  <c r="H46" i="1"/>
  <c r="A49" i="1"/>
  <c r="M46" i="1"/>
  <c r="B48" i="1"/>
  <c r="L46" i="1"/>
  <c r="G46" i="1"/>
  <c r="C48" i="1"/>
  <c r="K47" i="1" l="1"/>
  <c r="J47" i="1"/>
  <c r="I47" i="1"/>
  <c r="E47" i="1"/>
  <c r="D48" i="1"/>
  <c r="G47" i="1"/>
  <c r="H47" i="1"/>
  <c r="N48" i="1"/>
  <c r="N7" i="1"/>
  <c r="N33" i="1"/>
  <c r="N36" i="1"/>
  <c r="N40" i="1"/>
  <c r="N44" i="1"/>
  <c r="N13" i="1"/>
  <c r="N15" i="1"/>
  <c r="N17" i="1"/>
  <c r="N21" i="1"/>
  <c r="N47" i="1"/>
  <c r="M47" i="1"/>
  <c r="C49" i="1"/>
  <c r="N18" i="1"/>
  <c r="N29" i="1"/>
  <c r="N35" i="1"/>
  <c r="N39" i="1"/>
  <c r="N22" i="1"/>
  <c r="N34" i="1"/>
  <c r="A50" i="1"/>
  <c r="N25" i="1"/>
  <c r="N23" i="1"/>
  <c r="N32" i="1"/>
  <c r="F47" i="1"/>
  <c r="B49" i="1"/>
  <c r="N16" i="1"/>
  <c r="N38" i="1"/>
  <c r="N42" i="1"/>
  <c r="N46" i="1"/>
  <c r="N9" i="1"/>
  <c r="N45" i="1"/>
  <c r="L47" i="1"/>
  <c r="N6" i="1"/>
  <c r="N5" i="1"/>
  <c r="N37" i="1"/>
  <c r="X8" i="1" l="1"/>
  <c r="W8" i="1"/>
  <c r="Z8" i="1"/>
  <c r="Y8" i="1"/>
  <c r="Y41" i="1"/>
  <c r="W41" i="1"/>
  <c r="X41" i="1"/>
  <c r="Z41" i="1"/>
  <c r="Y31" i="1"/>
  <c r="W31" i="1"/>
  <c r="X31" i="1"/>
  <c r="Z31" i="1"/>
  <c r="W28" i="1"/>
  <c r="Y28" i="1"/>
  <c r="Z28" i="1"/>
  <c r="X28" i="1"/>
  <c r="W20" i="1"/>
  <c r="Y20" i="1"/>
  <c r="Z20" i="1"/>
  <c r="X20" i="1"/>
  <c r="P48" i="1"/>
  <c r="O48" i="1"/>
  <c r="R48" i="1"/>
  <c r="S48" i="1"/>
  <c r="V48" i="1"/>
  <c r="T48" i="1"/>
  <c r="Q48" i="1"/>
  <c r="U48" i="1"/>
  <c r="K48" i="1"/>
  <c r="J48" i="1"/>
  <c r="I48" i="1"/>
  <c r="E48" i="1"/>
  <c r="D49" i="1"/>
  <c r="R37" i="1"/>
  <c r="V37" i="1"/>
  <c r="U5" i="1"/>
  <c r="S5" i="1"/>
  <c r="T6" i="1"/>
  <c r="S6" i="1"/>
  <c r="U45" i="1"/>
  <c r="V45" i="1"/>
  <c r="S9" i="1"/>
  <c r="P9" i="1"/>
  <c r="V9" i="1"/>
  <c r="V46" i="1"/>
  <c r="P46" i="1"/>
  <c r="R46" i="1"/>
  <c r="V42" i="1"/>
  <c r="U42" i="1"/>
  <c r="S42" i="1"/>
  <c r="V38" i="1"/>
  <c r="T38" i="1"/>
  <c r="S16" i="1"/>
  <c r="P16" i="1"/>
  <c r="R16" i="1"/>
  <c r="R32" i="1"/>
  <c r="Q32" i="1"/>
  <c r="P23" i="1"/>
  <c r="R25" i="1"/>
  <c r="S25" i="1"/>
  <c r="G48" i="1"/>
  <c r="M48" i="1"/>
  <c r="L48" i="1"/>
  <c r="P34" i="1"/>
  <c r="R34" i="1"/>
  <c r="R22" i="1"/>
  <c r="P22" i="1"/>
  <c r="S39" i="1"/>
  <c r="Q39" i="1"/>
  <c r="P35" i="1"/>
  <c r="R35" i="1"/>
  <c r="S29" i="1"/>
  <c r="U29" i="1"/>
  <c r="Q18" i="1"/>
  <c r="S18" i="1"/>
  <c r="U47" i="1"/>
  <c r="Q47" i="1"/>
  <c r="T21" i="1"/>
  <c r="O21" i="1"/>
  <c r="Q21" i="1"/>
  <c r="S37" i="1"/>
  <c r="U37" i="1"/>
  <c r="P37" i="1"/>
  <c r="V5" i="1"/>
  <c r="T5" i="1"/>
  <c r="V6" i="1"/>
  <c r="U6" i="1"/>
  <c r="S45" i="1"/>
  <c r="Q45" i="1"/>
  <c r="Q9" i="1"/>
  <c r="T9" i="1"/>
  <c r="S46" i="1"/>
  <c r="U46" i="1"/>
  <c r="R42" i="1"/>
  <c r="T42" i="1"/>
  <c r="R38" i="1"/>
  <c r="Q16" i="1"/>
  <c r="O16" i="1"/>
  <c r="S32" i="1"/>
  <c r="U23" i="1"/>
  <c r="S23" i="1"/>
  <c r="P25" i="1"/>
  <c r="B50" i="1"/>
  <c r="O34" i="1"/>
  <c r="Q22" i="1"/>
  <c r="O22" i="1"/>
  <c r="Q35" i="1"/>
  <c r="O35" i="1"/>
  <c r="P18" i="1"/>
  <c r="S47" i="1"/>
  <c r="P21" i="1"/>
  <c r="R21" i="1"/>
  <c r="T17" i="1"/>
  <c r="R15" i="1"/>
  <c r="P15" i="1"/>
  <c r="R13" i="1"/>
  <c r="T13" i="1"/>
  <c r="U13" i="1"/>
  <c r="R44" i="1"/>
  <c r="U44" i="1"/>
  <c r="S40" i="1"/>
  <c r="T40" i="1"/>
  <c r="P36" i="1"/>
  <c r="R36" i="1"/>
  <c r="O33" i="1"/>
  <c r="S33" i="1"/>
  <c r="S7" i="1"/>
  <c r="V7" i="1"/>
  <c r="N24" i="1"/>
  <c r="Q37" i="1"/>
  <c r="T37" i="1"/>
  <c r="R5" i="1"/>
  <c r="P5" i="1"/>
  <c r="R6" i="1"/>
  <c r="Q6" i="1"/>
  <c r="O45" i="1"/>
  <c r="O9" i="1"/>
  <c r="O46" i="1"/>
  <c r="O38" i="1"/>
  <c r="P38" i="1"/>
  <c r="P32" i="1"/>
  <c r="O32" i="1"/>
  <c r="V23" i="1"/>
  <c r="Q23" i="1"/>
  <c r="O23" i="1"/>
  <c r="V25" i="1"/>
  <c r="Q25" i="1"/>
  <c r="C50" i="1"/>
  <c r="F48" i="1"/>
  <c r="V34" i="1"/>
  <c r="U34" i="1"/>
  <c r="S34" i="1"/>
  <c r="U22" i="1"/>
  <c r="P39" i="1"/>
  <c r="R39" i="1"/>
  <c r="O39" i="1"/>
  <c r="U35" i="1"/>
  <c r="V29" i="1"/>
  <c r="Q29" i="1"/>
  <c r="R29" i="1"/>
  <c r="R18" i="1"/>
  <c r="V18" i="1"/>
  <c r="O18" i="1"/>
  <c r="N49" i="1"/>
  <c r="R47" i="1"/>
  <c r="O47" i="1"/>
  <c r="Q5" i="1"/>
  <c r="P45" i="1"/>
  <c r="P42" i="1"/>
  <c r="Q38" i="1"/>
  <c r="V16" i="1"/>
  <c r="T32" i="1"/>
  <c r="T25" i="1"/>
  <c r="V22" i="1"/>
  <c r="T35" i="1"/>
  <c r="O29" i="1"/>
  <c r="T18" i="1"/>
  <c r="T47" i="1"/>
  <c r="O17" i="1"/>
  <c r="R17" i="1"/>
  <c r="S15" i="1"/>
  <c r="O40" i="1"/>
  <c r="Q40" i="1"/>
  <c r="U36" i="1"/>
  <c r="V33" i="1"/>
  <c r="Q33" i="1"/>
  <c r="R7" i="1"/>
  <c r="N43" i="1"/>
  <c r="N12" i="1"/>
  <c r="O37" i="1"/>
  <c r="O5" i="1"/>
  <c r="P6" i="1"/>
  <c r="T45" i="1"/>
  <c r="U9" i="1"/>
  <c r="Q46" i="1"/>
  <c r="U38" i="1"/>
  <c r="U32" i="1"/>
  <c r="O25" i="1"/>
  <c r="H48" i="1"/>
  <c r="T34" i="1"/>
  <c r="T22" i="1"/>
  <c r="U39" i="1"/>
  <c r="V35" i="1"/>
  <c r="T29" i="1"/>
  <c r="V47" i="1"/>
  <c r="V21" i="1"/>
  <c r="U21" i="1"/>
  <c r="V17" i="1"/>
  <c r="P17" i="1"/>
  <c r="U15" i="1"/>
  <c r="O15" i="1"/>
  <c r="P13" i="1"/>
  <c r="V13" i="1"/>
  <c r="Q44" i="1"/>
  <c r="V40" i="1"/>
  <c r="S36" i="1"/>
  <c r="P33" i="1"/>
  <c r="N27" i="1"/>
  <c r="O6" i="1"/>
  <c r="O42" i="1"/>
  <c r="S38" i="1"/>
  <c r="U16" i="1"/>
  <c r="V32" i="1"/>
  <c r="T23" i="1"/>
  <c r="U25" i="1"/>
  <c r="Q34" i="1"/>
  <c r="T39" i="1"/>
  <c r="P29" i="1"/>
  <c r="U18" i="1"/>
  <c r="Q17" i="1"/>
  <c r="U17" i="1"/>
  <c r="V15" i="1"/>
  <c r="Q15" i="1"/>
  <c r="S13" i="1"/>
  <c r="O44" i="1"/>
  <c r="S44" i="1"/>
  <c r="R40" i="1"/>
  <c r="P40" i="1"/>
  <c r="V36" i="1"/>
  <c r="O36" i="1"/>
  <c r="R33" i="1"/>
  <c r="O7" i="1"/>
  <c r="T7" i="1"/>
  <c r="P44" i="1"/>
  <c r="P7" i="1"/>
  <c r="R45" i="1"/>
  <c r="R9" i="1"/>
  <c r="T46" i="1"/>
  <c r="Q42" i="1"/>
  <c r="T16" i="1"/>
  <c r="R23" i="1"/>
  <c r="A51" i="1"/>
  <c r="S22" i="1"/>
  <c r="V39" i="1"/>
  <c r="S35" i="1"/>
  <c r="P47" i="1"/>
  <c r="S21" i="1"/>
  <c r="S17" i="1"/>
  <c r="T15" i="1"/>
  <c r="Q13" i="1"/>
  <c r="O13" i="1"/>
  <c r="V44" i="1"/>
  <c r="T44" i="1"/>
  <c r="U40" i="1"/>
  <c r="T36" i="1"/>
  <c r="U33" i="1"/>
  <c r="U7" i="1"/>
  <c r="N14" i="1"/>
  <c r="Q36" i="1"/>
  <c r="T33" i="1"/>
  <c r="Q7" i="1"/>
  <c r="Y7" i="1" l="1"/>
  <c r="Y36" i="1"/>
  <c r="W13" i="1"/>
  <c r="Y13" i="1"/>
  <c r="X13" i="1"/>
  <c r="Z13" i="1"/>
  <c r="X47" i="1"/>
  <c r="Z9" i="1"/>
  <c r="Z45" i="1"/>
  <c r="X7" i="1"/>
  <c r="X44" i="1"/>
  <c r="W7" i="1"/>
  <c r="Z33" i="1"/>
  <c r="W36" i="1"/>
  <c r="X40" i="1"/>
  <c r="Z40" i="1"/>
  <c r="W44" i="1"/>
  <c r="Y15" i="1"/>
  <c r="Y17" i="1"/>
  <c r="X29" i="1"/>
  <c r="Y34" i="1"/>
  <c r="W6" i="1"/>
  <c r="Y26" i="1"/>
  <c r="X26" i="1"/>
  <c r="Z26" i="1"/>
  <c r="W26" i="1"/>
  <c r="X33" i="1"/>
  <c r="Y44" i="1"/>
  <c r="W15" i="1"/>
  <c r="X17" i="1"/>
  <c r="W25" i="1"/>
  <c r="Y46" i="1"/>
  <c r="X6" i="1"/>
  <c r="W5" i="1"/>
  <c r="W37" i="1"/>
  <c r="Z11" i="1"/>
  <c r="W11" i="1"/>
  <c r="Y11" i="1"/>
  <c r="X11" i="1"/>
  <c r="Z42" i="1"/>
  <c r="Y42" i="1"/>
  <c r="W42" i="1"/>
  <c r="X42" i="1"/>
  <c r="Z7" i="1"/>
  <c r="Y33" i="1"/>
  <c r="Y40" i="1"/>
  <c r="W40" i="1"/>
  <c r="Z17" i="1"/>
  <c r="W17" i="1"/>
  <c r="W29" i="1"/>
  <c r="Y38" i="1"/>
  <c r="X45" i="1"/>
  <c r="Y5" i="1"/>
  <c r="W47" i="1"/>
  <c r="Z47" i="1"/>
  <c r="Y48" i="1"/>
  <c r="Z48" i="1"/>
  <c r="X48" i="1"/>
  <c r="W48" i="1"/>
  <c r="W18" i="1"/>
  <c r="Z18" i="1"/>
  <c r="Z29" i="1"/>
  <c r="Y29" i="1"/>
  <c r="W39" i="1"/>
  <c r="Z39" i="1"/>
  <c r="X39" i="1"/>
  <c r="Y25" i="1"/>
  <c r="W32" i="1"/>
  <c r="X32" i="1"/>
  <c r="X38" i="1"/>
  <c r="W38" i="1"/>
  <c r="W46" i="1"/>
  <c r="W9" i="1"/>
  <c r="W45" i="1"/>
  <c r="Y6" i="1"/>
  <c r="Z6" i="1"/>
  <c r="X5" i="1"/>
  <c r="Z5" i="1"/>
  <c r="Y37" i="1"/>
  <c r="Y23" i="1"/>
  <c r="W23" i="1"/>
  <c r="Z23" i="1"/>
  <c r="X23" i="1"/>
  <c r="W33" i="1"/>
  <c r="Z36" i="1"/>
  <c r="X36" i="1"/>
  <c r="Z44" i="1"/>
  <c r="X15" i="1"/>
  <c r="Z15" i="1"/>
  <c r="Z21" i="1"/>
  <c r="X21" i="1"/>
  <c r="X18" i="1"/>
  <c r="W35" i="1"/>
  <c r="Y35" i="1"/>
  <c r="W22" i="1"/>
  <c r="Y22" i="1"/>
  <c r="W34" i="1"/>
  <c r="X25" i="1"/>
  <c r="W16" i="1"/>
  <c r="Y16" i="1"/>
  <c r="Z38" i="1"/>
  <c r="Y9" i="1"/>
  <c r="Y45" i="1"/>
  <c r="X37" i="1"/>
  <c r="Y21" i="1"/>
  <c r="W21" i="1"/>
  <c r="Y47" i="1"/>
  <c r="Y18" i="1"/>
  <c r="Z35" i="1"/>
  <c r="X35" i="1"/>
  <c r="Y39" i="1"/>
  <c r="X22" i="1"/>
  <c r="Z22" i="1"/>
  <c r="Z34" i="1"/>
  <c r="X34" i="1"/>
  <c r="Z25" i="1"/>
  <c r="Y32" i="1"/>
  <c r="Z32" i="1"/>
  <c r="Z16" i="1"/>
  <c r="X16" i="1"/>
  <c r="Z46" i="1"/>
  <c r="X46" i="1"/>
  <c r="X9" i="1"/>
  <c r="Z37" i="1"/>
  <c r="K49" i="1"/>
  <c r="J49" i="1"/>
  <c r="I49" i="1"/>
  <c r="E49" i="1"/>
  <c r="D50" i="1"/>
  <c r="O14" i="1"/>
  <c r="S14" i="1"/>
  <c r="R14" i="1"/>
  <c r="C51" i="1"/>
  <c r="Q27" i="1"/>
  <c r="U27" i="1"/>
  <c r="S12" i="1"/>
  <c r="T12" i="1"/>
  <c r="U43" i="1"/>
  <c r="V43" i="1"/>
  <c r="R49" i="1"/>
  <c r="N50" i="1"/>
  <c r="G49" i="1"/>
  <c r="Q14" i="1"/>
  <c r="U14" i="1"/>
  <c r="V14" i="1"/>
  <c r="B51" i="1"/>
  <c r="V27" i="1"/>
  <c r="R27" i="1"/>
  <c r="P12" i="1"/>
  <c r="R12" i="1"/>
  <c r="Q43" i="1"/>
  <c r="S43" i="1"/>
  <c r="U49" i="1"/>
  <c r="P49" i="1"/>
  <c r="O49" i="1"/>
  <c r="U24" i="1"/>
  <c r="T24" i="1"/>
  <c r="V24" i="1"/>
  <c r="T14" i="1"/>
  <c r="P14" i="1"/>
  <c r="A52" i="1"/>
  <c r="T27" i="1"/>
  <c r="Q12" i="1"/>
  <c r="R43" i="1"/>
  <c r="V49" i="1"/>
  <c r="T49" i="1"/>
  <c r="S24" i="1"/>
  <c r="P24" i="1"/>
  <c r="R24" i="1"/>
  <c r="F49" i="1"/>
  <c r="H49" i="1"/>
  <c r="S27" i="1"/>
  <c r="P27" i="1"/>
  <c r="O27" i="1"/>
  <c r="O12" i="1"/>
  <c r="U12" i="1"/>
  <c r="V12" i="1"/>
  <c r="P43" i="1"/>
  <c r="T43" i="1"/>
  <c r="O43" i="1"/>
  <c r="Q49" i="1"/>
  <c r="S49" i="1"/>
  <c r="Q24" i="1"/>
  <c r="O24" i="1"/>
  <c r="M49" i="1"/>
  <c r="L49" i="1"/>
  <c r="W24" i="1" l="1"/>
  <c r="Y24" i="1"/>
  <c r="W43" i="1"/>
  <c r="X43" i="1"/>
  <c r="W12" i="1"/>
  <c r="W27" i="1"/>
  <c r="X27" i="1"/>
  <c r="Z24" i="1"/>
  <c r="X24" i="1"/>
  <c r="Z43" i="1"/>
  <c r="Y12" i="1"/>
  <c r="X14" i="1"/>
  <c r="Y43" i="1"/>
  <c r="Z12" i="1"/>
  <c r="X12" i="1"/>
  <c r="Z27" i="1"/>
  <c r="Y14" i="1"/>
  <c r="P50" i="1"/>
  <c r="Q50" i="1"/>
  <c r="W49" i="1"/>
  <c r="Y49" i="1"/>
  <c r="R50" i="1"/>
  <c r="U50" i="1"/>
  <c r="X49" i="1"/>
  <c r="V50" i="1"/>
  <c r="T50" i="1"/>
  <c r="O50" i="1"/>
  <c r="Z49" i="1"/>
  <c r="S50" i="1"/>
  <c r="Y27" i="1"/>
  <c r="Z14" i="1"/>
  <c r="W14" i="1"/>
  <c r="K50" i="1"/>
  <c r="J50" i="1"/>
  <c r="I50" i="1"/>
  <c r="E50" i="1"/>
  <c r="D51" i="1"/>
  <c r="H50" i="1"/>
  <c r="M50" i="1"/>
  <c r="B52" i="1"/>
  <c r="G50" i="1"/>
  <c r="A53" i="1"/>
  <c r="F50" i="1"/>
  <c r="N51" i="1"/>
  <c r="L50" i="1"/>
  <c r="C52" i="1"/>
  <c r="Y50" i="1" l="1"/>
  <c r="Z50" i="1"/>
  <c r="X50" i="1"/>
  <c r="W50" i="1"/>
  <c r="K51" i="1"/>
  <c r="J51" i="1"/>
  <c r="I51" i="1"/>
  <c r="E51" i="1"/>
  <c r="D52" i="1"/>
  <c r="P51" i="1"/>
  <c r="G51" i="1"/>
  <c r="F51" i="1"/>
  <c r="U51" i="1"/>
  <c r="V51" i="1"/>
  <c r="B53" i="1"/>
  <c r="R51" i="1"/>
  <c r="A54" i="1"/>
  <c r="H51" i="1"/>
  <c r="T51" i="1"/>
  <c r="O51" i="1"/>
  <c r="N52" i="1"/>
  <c r="L51" i="1"/>
  <c r="M51" i="1"/>
  <c r="Q51" i="1"/>
  <c r="S51" i="1"/>
  <c r="C53" i="1"/>
  <c r="X51" i="1" l="1"/>
  <c r="Z51" i="1"/>
  <c r="Y51" i="1"/>
  <c r="W51" i="1"/>
  <c r="K52" i="1"/>
  <c r="J52" i="1"/>
  <c r="I52" i="1"/>
  <c r="E52" i="1"/>
  <c r="D53" i="1"/>
  <c r="Q52" i="1"/>
  <c r="C54" i="1"/>
  <c r="M52" i="1"/>
  <c r="N53" i="1"/>
  <c r="O52" i="1"/>
  <c r="S52" i="1"/>
  <c r="P52" i="1"/>
  <c r="B54" i="1"/>
  <c r="F52" i="1"/>
  <c r="L52" i="1"/>
  <c r="V52" i="1"/>
  <c r="U52" i="1"/>
  <c r="A55" i="1"/>
  <c r="G52" i="1"/>
  <c r="T52" i="1"/>
  <c r="R52" i="1"/>
  <c r="H52" i="1"/>
  <c r="W52" i="1" l="1"/>
  <c r="Y52" i="1"/>
  <c r="Z52" i="1"/>
  <c r="X52" i="1"/>
  <c r="K53" i="1"/>
  <c r="J53" i="1"/>
  <c r="I53" i="1"/>
  <c r="E53" i="1"/>
  <c r="D54" i="1"/>
  <c r="B55" i="1"/>
  <c r="R53" i="1"/>
  <c r="O53" i="1"/>
  <c r="F53" i="1"/>
  <c r="V53" i="1"/>
  <c r="S53" i="1"/>
  <c r="Q53" i="1"/>
  <c r="L53" i="1"/>
  <c r="A56" i="1"/>
  <c r="U53" i="1"/>
  <c r="P53" i="1"/>
  <c r="T53" i="1"/>
  <c r="N54" i="1"/>
  <c r="M53" i="1"/>
  <c r="H53" i="1"/>
  <c r="C55" i="1"/>
  <c r="G53" i="1"/>
  <c r="Z53" i="1" l="1"/>
  <c r="X53" i="1"/>
  <c r="W53" i="1"/>
  <c r="Y53" i="1"/>
  <c r="K54" i="1"/>
  <c r="J54" i="1"/>
  <c r="I54" i="1"/>
  <c r="E54" i="1"/>
  <c r="D55" i="1"/>
  <c r="R54" i="1"/>
  <c r="T54" i="1"/>
  <c r="C56" i="1"/>
  <c r="G54" i="1"/>
  <c r="V54" i="1"/>
  <c r="B56" i="1"/>
  <c r="N55" i="1"/>
  <c r="A57" i="1"/>
  <c r="M54" i="1"/>
  <c r="S54" i="1"/>
  <c r="F54" i="1"/>
  <c r="Q54" i="1"/>
  <c r="O54" i="1"/>
  <c r="P54" i="1"/>
  <c r="H54" i="1"/>
  <c r="U54" i="1"/>
  <c r="L54" i="1"/>
  <c r="W54" i="1" l="1"/>
  <c r="X54" i="1"/>
  <c r="Z54" i="1"/>
  <c r="Y54" i="1"/>
  <c r="K55" i="1"/>
  <c r="J55" i="1"/>
  <c r="I55" i="1"/>
  <c r="E55" i="1"/>
  <c r="D56" i="1"/>
  <c r="A58" i="1"/>
  <c r="S55" i="1"/>
  <c r="H55" i="1"/>
  <c r="R55" i="1"/>
  <c r="O55" i="1"/>
  <c r="M55" i="1"/>
  <c r="C57" i="1"/>
  <c r="P55" i="1"/>
  <c r="T55" i="1"/>
  <c r="V55" i="1"/>
  <c r="N56" i="1"/>
  <c r="G55" i="1"/>
  <c r="L55" i="1"/>
  <c r="B57" i="1"/>
  <c r="U55" i="1"/>
  <c r="Q55" i="1"/>
  <c r="F55" i="1"/>
  <c r="Y55" i="1" l="1"/>
  <c r="X55" i="1"/>
  <c r="Z55" i="1"/>
  <c r="W55" i="1"/>
  <c r="K56" i="1"/>
  <c r="J56" i="1"/>
  <c r="I56" i="1"/>
  <c r="E56" i="1"/>
  <c r="D57" i="1"/>
  <c r="M56" i="1"/>
  <c r="G56" i="1"/>
  <c r="U56" i="1"/>
  <c r="Q56" i="1"/>
  <c r="P56" i="1"/>
  <c r="N57" i="1"/>
  <c r="A59" i="1"/>
  <c r="F56" i="1"/>
  <c r="S56" i="1"/>
  <c r="V56" i="1"/>
  <c r="H56" i="1"/>
  <c r="L56" i="1"/>
  <c r="R56" i="1"/>
  <c r="O56" i="1"/>
  <c r="B58" i="1"/>
  <c r="T56" i="1"/>
  <c r="C58" i="1"/>
  <c r="X56" i="1" l="1"/>
  <c r="W56" i="1"/>
  <c r="Y56" i="1"/>
  <c r="Z56" i="1"/>
  <c r="K57" i="1"/>
  <c r="J57" i="1"/>
  <c r="I57" i="1"/>
  <c r="E57" i="1"/>
  <c r="D58" i="1"/>
  <c r="M57" i="1"/>
  <c r="H57" i="1"/>
  <c r="T57" i="1"/>
  <c r="N58" i="1"/>
  <c r="L57" i="1"/>
  <c r="B59" i="1"/>
  <c r="O57" i="1"/>
  <c r="S57" i="1"/>
  <c r="G57" i="1"/>
  <c r="C59" i="1"/>
  <c r="V57" i="1"/>
  <c r="Q57" i="1"/>
  <c r="P57" i="1"/>
  <c r="F57" i="1"/>
  <c r="A60" i="1"/>
  <c r="R57" i="1"/>
  <c r="U57" i="1"/>
  <c r="Z57" i="1" l="1"/>
  <c r="W57" i="1"/>
  <c r="X57" i="1"/>
  <c r="Y57" i="1"/>
  <c r="K58" i="1"/>
  <c r="J58" i="1"/>
  <c r="I58" i="1"/>
  <c r="E58" i="1"/>
  <c r="D59" i="1"/>
  <c r="B60" i="1"/>
  <c r="P58" i="1"/>
  <c r="R58" i="1"/>
  <c r="V58" i="1"/>
  <c r="F58" i="1"/>
  <c r="G58" i="1"/>
  <c r="C60" i="1"/>
  <c r="N59" i="1"/>
  <c r="U58" i="1"/>
  <c r="S58" i="1"/>
  <c r="H58" i="1"/>
  <c r="A61" i="1"/>
  <c r="Q58" i="1"/>
  <c r="T58" i="1"/>
  <c r="O58" i="1"/>
  <c r="L58" i="1"/>
  <c r="M58" i="1"/>
  <c r="W58" i="1" l="1"/>
  <c r="X58" i="1"/>
  <c r="Z58" i="1"/>
  <c r="Y58" i="1"/>
  <c r="K59" i="1"/>
  <c r="J59" i="1"/>
  <c r="I59" i="1"/>
  <c r="E59" i="1"/>
  <c r="D60" i="1"/>
  <c r="B61" i="1"/>
  <c r="Q59" i="1"/>
  <c r="P59" i="1"/>
  <c r="V59" i="1"/>
  <c r="F59" i="1"/>
  <c r="L59" i="1"/>
  <c r="T59" i="1"/>
  <c r="C61" i="1"/>
  <c r="U59" i="1"/>
  <c r="R59" i="1"/>
  <c r="N60" i="1"/>
  <c r="M59" i="1"/>
  <c r="S59" i="1"/>
  <c r="O59" i="1"/>
  <c r="H59" i="1"/>
  <c r="A62" i="1"/>
  <c r="G59" i="1"/>
  <c r="Y59" i="1" l="1"/>
  <c r="W59" i="1"/>
  <c r="Z59" i="1"/>
  <c r="X59" i="1"/>
  <c r="K60" i="1"/>
  <c r="J60" i="1"/>
  <c r="I60" i="1"/>
  <c r="E60" i="1"/>
  <c r="D61" i="1"/>
  <c r="C62" i="1"/>
  <c r="P60" i="1"/>
  <c r="R60" i="1"/>
  <c r="L60" i="1"/>
  <c r="B62" i="1"/>
  <c r="U60" i="1"/>
  <c r="S60" i="1"/>
  <c r="G60" i="1"/>
  <c r="A63" i="1"/>
  <c r="O60" i="1"/>
  <c r="F60" i="1"/>
  <c r="T60" i="1"/>
  <c r="V60" i="1"/>
  <c r="M60" i="1"/>
  <c r="H60" i="1"/>
  <c r="N61" i="1"/>
  <c r="Q60" i="1"/>
  <c r="X60" i="1" l="1"/>
  <c r="Y60" i="1"/>
  <c r="Z60" i="1"/>
  <c r="W60" i="1"/>
  <c r="K61" i="1"/>
  <c r="J61" i="1"/>
  <c r="I61" i="1"/>
  <c r="E61" i="1"/>
  <c r="D62" i="1"/>
  <c r="V61" i="1"/>
  <c r="T61" i="1"/>
  <c r="C63" i="1"/>
  <c r="M61" i="1"/>
  <c r="R61" i="1"/>
  <c r="L61" i="1"/>
  <c r="A64" i="1"/>
  <c r="S61" i="1"/>
  <c r="P61" i="1"/>
  <c r="F61" i="1"/>
  <c r="O61" i="1"/>
  <c r="Q61" i="1"/>
  <c r="U61" i="1"/>
  <c r="H61" i="1"/>
  <c r="B63" i="1"/>
  <c r="N62" i="1"/>
  <c r="G61" i="1"/>
  <c r="Y61" i="1" l="1"/>
  <c r="W61" i="1"/>
  <c r="X61" i="1"/>
  <c r="Z61" i="1"/>
  <c r="K62" i="1"/>
  <c r="J62" i="1"/>
  <c r="I62" i="1"/>
  <c r="E62" i="1"/>
  <c r="D63" i="1"/>
  <c r="Q62" i="1"/>
  <c r="B64" i="1"/>
  <c r="M62" i="1"/>
  <c r="V62" i="1"/>
  <c r="P62" i="1"/>
  <c r="T62" i="1"/>
  <c r="A65" i="1"/>
  <c r="F62" i="1"/>
  <c r="S62" i="1"/>
  <c r="H62" i="1"/>
  <c r="U62" i="1"/>
  <c r="R62" i="1"/>
  <c r="O62" i="1"/>
  <c r="G62" i="1"/>
  <c r="N63" i="1"/>
  <c r="C64" i="1"/>
  <c r="L62" i="1"/>
  <c r="Y62" i="1" l="1"/>
  <c r="W62" i="1"/>
  <c r="X62" i="1"/>
  <c r="Z62" i="1"/>
  <c r="K63" i="1"/>
  <c r="J63" i="1"/>
  <c r="I63" i="1"/>
  <c r="E63" i="1"/>
  <c r="D64" i="1"/>
  <c r="N64" i="1"/>
  <c r="Q63" i="1"/>
  <c r="S63" i="1"/>
  <c r="M63" i="1"/>
  <c r="G63" i="1"/>
  <c r="O63" i="1"/>
  <c r="T63" i="1"/>
  <c r="F63" i="1"/>
  <c r="U63" i="1"/>
  <c r="R63" i="1"/>
  <c r="A66" i="1"/>
  <c r="H63" i="1"/>
  <c r="L63" i="1"/>
  <c r="B65" i="1"/>
  <c r="P63" i="1"/>
  <c r="C65" i="1"/>
  <c r="V63" i="1"/>
  <c r="Z63" i="1" l="1"/>
  <c r="Y63" i="1"/>
  <c r="W63" i="1"/>
  <c r="X63" i="1"/>
  <c r="K64" i="1"/>
  <c r="J64" i="1"/>
  <c r="I64" i="1"/>
  <c r="E64" i="1"/>
  <c r="D65" i="1"/>
  <c r="A67" i="1"/>
  <c r="N65" i="1"/>
  <c r="F64" i="1"/>
  <c r="G64" i="1"/>
  <c r="V64" i="1"/>
  <c r="O64" i="1"/>
  <c r="R64" i="1"/>
  <c r="B66" i="1"/>
  <c r="L64" i="1"/>
  <c r="T64" i="1"/>
  <c r="S64" i="1"/>
  <c r="P64" i="1"/>
  <c r="C66" i="1"/>
  <c r="H64" i="1"/>
  <c r="M64" i="1"/>
  <c r="U64" i="1"/>
  <c r="Q64" i="1"/>
  <c r="X64" i="1" l="1"/>
  <c r="W64" i="1"/>
  <c r="Y64" i="1"/>
  <c r="Z64" i="1"/>
  <c r="K65" i="1"/>
  <c r="J65" i="1"/>
  <c r="I65" i="1"/>
  <c r="E65" i="1"/>
  <c r="D66" i="1"/>
  <c r="C67" i="1"/>
  <c r="P65" i="1"/>
  <c r="R65" i="1"/>
  <c r="O65" i="1"/>
  <c r="B67" i="1"/>
  <c r="H65" i="1"/>
  <c r="S65" i="1"/>
  <c r="Q65" i="1"/>
  <c r="L65" i="1"/>
  <c r="N66" i="1"/>
  <c r="U65" i="1"/>
  <c r="T65" i="1"/>
  <c r="V65" i="1"/>
  <c r="A68" i="1"/>
  <c r="G65" i="1"/>
  <c r="M65" i="1"/>
  <c r="F65" i="1"/>
  <c r="Z65" i="1" l="1"/>
  <c r="X65" i="1"/>
  <c r="Y65" i="1"/>
  <c r="W65" i="1"/>
  <c r="K66" i="1"/>
  <c r="J66" i="1"/>
  <c r="I66" i="1"/>
  <c r="E66" i="1"/>
  <c r="D67" i="1"/>
  <c r="A69" i="1"/>
  <c r="T66" i="1"/>
  <c r="R66" i="1"/>
  <c r="H66" i="1"/>
  <c r="M66" i="1"/>
  <c r="F66" i="1"/>
  <c r="C68" i="1"/>
  <c r="O66" i="1"/>
  <c r="Q66" i="1"/>
  <c r="P66" i="1"/>
  <c r="L66" i="1"/>
  <c r="G66" i="1"/>
  <c r="N67" i="1"/>
  <c r="B68" i="1"/>
  <c r="V66" i="1"/>
  <c r="S66" i="1"/>
  <c r="U66" i="1"/>
  <c r="X66" i="1" l="1"/>
  <c r="Y66" i="1"/>
  <c r="W66" i="1"/>
  <c r="Z66" i="1"/>
  <c r="K67" i="1"/>
  <c r="J67" i="1"/>
  <c r="I67" i="1"/>
  <c r="E67" i="1"/>
  <c r="D68" i="1"/>
  <c r="U67" i="1"/>
  <c r="T67" i="1"/>
  <c r="M67" i="1"/>
  <c r="H67" i="1"/>
  <c r="S67" i="1"/>
  <c r="Q67" i="1"/>
  <c r="L67" i="1"/>
  <c r="F67" i="1"/>
  <c r="C69" i="1"/>
  <c r="P67" i="1"/>
  <c r="B69" i="1"/>
  <c r="R67" i="1"/>
  <c r="V67" i="1"/>
  <c r="O67" i="1"/>
  <c r="N68" i="1"/>
  <c r="G67" i="1"/>
  <c r="A70" i="1"/>
  <c r="X67" i="1" l="1"/>
  <c r="Z67" i="1"/>
  <c r="W67" i="1"/>
  <c r="Y67" i="1"/>
  <c r="K68" i="1"/>
  <c r="J68" i="1"/>
  <c r="I68" i="1"/>
  <c r="E68" i="1"/>
  <c r="D69" i="1"/>
  <c r="C70" i="1"/>
  <c r="R68" i="1"/>
  <c r="T68" i="1"/>
  <c r="M68" i="1"/>
  <c r="B70" i="1"/>
  <c r="H68" i="1"/>
  <c r="F68" i="1"/>
  <c r="A71" i="1"/>
  <c r="Q68" i="1"/>
  <c r="O68" i="1"/>
  <c r="P68" i="1"/>
  <c r="L68" i="1"/>
  <c r="V68" i="1"/>
  <c r="U68" i="1"/>
  <c r="S68" i="1"/>
  <c r="G68" i="1"/>
  <c r="N69" i="1"/>
  <c r="W68" i="1" l="1"/>
  <c r="X68" i="1"/>
  <c r="Y68" i="1"/>
  <c r="Z68" i="1"/>
  <c r="K69" i="1"/>
  <c r="J69" i="1"/>
  <c r="I69" i="1"/>
  <c r="E69" i="1"/>
  <c r="D70" i="1"/>
  <c r="M69" i="1"/>
  <c r="H69" i="1"/>
  <c r="B71" i="1"/>
  <c r="F69" i="1"/>
  <c r="N70" i="1"/>
  <c r="P69" i="1"/>
  <c r="R69" i="1"/>
  <c r="O69" i="1"/>
  <c r="A72" i="1"/>
  <c r="C71" i="1"/>
  <c r="U69" i="1"/>
  <c r="T69" i="1"/>
  <c r="V69" i="1"/>
  <c r="L69" i="1"/>
  <c r="S69" i="1"/>
  <c r="Q69" i="1"/>
  <c r="G69" i="1"/>
  <c r="Y69" i="1" l="1"/>
  <c r="W69" i="1"/>
  <c r="X69" i="1"/>
  <c r="Z69" i="1"/>
  <c r="K70" i="1"/>
  <c r="J70" i="1"/>
  <c r="I70" i="1"/>
  <c r="E70" i="1"/>
  <c r="D71" i="1"/>
  <c r="M70" i="1"/>
  <c r="F70" i="1"/>
  <c r="C72" i="1"/>
  <c r="R70" i="1"/>
  <c r="L70" i="1"/>
  <c r="H70" i="1"/>
  <c r="B72" i="1"/>
  <c r="O70" i="1"/>
  <c r="Q70" i="1"/>
  <c r="P70" i="1"/>
  <c r="T70" i="1"/>
  <c r="G70" i="1"/>
  <c r="A73" i="1"/>
  <c r="V70" i="1"/>
  <c r="S70" i="1"/>
  <c r="U70" i="1"/>
  <c r="N71" i="1"/>
  <c r="U71" i="1" l="1"/>
  <c r="T71" i="1"/>
  <c r="X70" i="1"/>
  <c r="Y70" i="1"/>
  <c r="O71" i="1"/>
  <c r="R71" i="1"/>
  <c r="Z70" i="1"/>
  <c r="S71" i="1"/>
  <c r="P71" i="1"/>
  <c r="Q71" i="1"/>
  <c r="V71" i="1"/>
  <c r="W70" i="1"/>
  <c r="K71" i="1"/>
  <c r="J71" i="1"/>
  <c r="I71" i="1"/>
  <c r="E71" i="1"/>
  <c r="D72" i="1"/>
  <c r="B73" i="1"/>
  <c r="G71" i="1"/>
  <c r="C73" i="1"/>
  <c r="L71" i="1"/>
  <c r="H71" i="1"/>
  <c r="A74" i="1"/>
  <c r="M71" i="1"/>
  <c r="F71" i="1"/>
  <c r="N72" i="1"/>
  <c r="X71" i="1" l="1"/>
  <c r="Z71" i="1"/>
  <c r="W71" i="1"/>
  <c r="Y71" i="1"/>
  <c r="K72" i="1"/>
  <c r="J72" i="1"/>
  <c r="I72" i="1"/>
  <c r="E72" i="1"/>
  <c r="D73" i="1"/>
  <c r="C74" i="1"/>
  <c r="M72" i="1"/>
  <c r="N73" i="1"/>
  <c r="V72" i="1"/>
  <c r="A75" i="1"/>
  <c r="Q72" i="1"/>
  <c r="O72" i="1"/>
  <c r="P72" i="1"/>
  <c r="B74" i="1"/>
  <c r="L72" i="1"/>
  <c r="F72" i="1"/>
  <c r="U72" i="1"/>
  <c r="T72" i="1"/>
  <c r="R72" i="1"/>
  <c r="H72" i="1"/>
  <c r="S72" i="1"/>
  <c r="G72" i="1"/>
  <c r="W72" i="1" l="1"/>
  <c r="Z72" i="1"/>
  <c r="X72" i="1"/>
  <c r="Y72" i="1"/>
  <c r="K73" i="1"/>
  <c r="J73" i="1"/>
  <c r="I73" i="1"/>
  <c r="E73" i="1"/>
  <c r="D74" i="1"/>
  <c r="G73" i="1"/>
  <c r="C75" i="1"/>
  <c r="U73" i="1"/>
  <c r="V73" i="1"/>
  <c r="L73" i="1"/>
  <c r="A76" i="1"/>
  <c r="S73" i="1"/>
  <c r="Q73" i="1"/>
  <c r="H73" i="1"/>
  <c r="M73" i="1"/>
  <c r="R73" i="1"/>
  <c r="F73" i="1"/>
  <c r="B75" i="1"/>
  <c r="P73" i="1"/>
  <c r="T73" i="1"/>
  <c r="O73" i="1"/>
  <c r="N74" i="1"/>
  <c r="Z73" i="1" l="1"/>
  <c r="W73" i="1"/>
  <c r="Y73" i="1"/>
  <c r="X73" i="1"/>
  <c r="K74" i="1"/>
  <c r="J74" i="1"/>
  <c r="I74" i="1"/>
  <c r="E74" i="1"/>
  <c r="D75" i="1"/>
  <c r="Q74" i="1"/>
  <c r="G74" i="1"/>
  <c r="L74" i="1"/>
  <c r="O74" i="1"/>
  <c r="S74" i="1"/>
  <c r="P74" i="1"/>
  <c r="H74" i="1"/>
  <c r="F74" i="1"/>
  <c r="B76" i="1"/>
  <c r="N75" i="1"/>
  <c r="V74" i="1"/>
  <c r="U74" i="1"/>
  <c r="C76" i="1"/>
  <c r="R74" i="1"/>
  <c r="T74" i="1"/>
  <c r="M74" i="1"/>
  <c r="A77" i="1"/>
  <c r="X74" i="1" l="1"/>
  <c r="Z74" i="1"/>
  <c r="W74" i="1"/>
  <c r="Y74" i="1"/>
  <c r="K75" i="1"/>
  <c r="J75" i="1"/>
  <c r="I75" i="1"/>
  <c r="E75" i="1"/>
  <c r="D76" i="1"/>
  <c r="C77" i="1"/>
  <c r="S75" i="1"/>
  <c r="L75" i="1"/>
  <c r="F75" i="1"/>
  <c r="H75" i="1"/>
  <c r="N76" i="1"/>
  <c r="T75" i="1"/>
  <c r="M75" i="1"/>
  <c r="B77" i="1"/>
  <c r="R75" i="1"/>
  <c r="P75" i="1"/>
  <c r="A78" i="1"/>
  <c r="U75" i="1"/>
  <c r="V75" i="1"/>
  <c r="O75" i="1"/>
  <c r="G75" i="1"/>
  <c r="Q75" i="1"/>
  <c r="V76" i="1" l="1"/>
  <c r="S76" i="1"/>
  <c r="W75" i="1"/>
  <c r="O76" i="1"/>
  <c r="P76" i="1"/>
  <c r="Q76" i="1"/>
  <c r="Y75" i="1"/>
  <c r="T76" i="1"/>
  <c r="R76" i="1"/>
  <c r="U76" i="1"/>
  <c r="Z75" i="1"/>
  <c r="X75" i="1"/>
  <c r="K76" i="1"/>
  <c r="J76" i="1"/>
  <c r="I76" i="1"/>
  <c r="E76" i="1"/>
  <c r="D77" i="1"/>
  <c r="F76" i="1"/>
  <c r="M76" i="1"/>
  <c r="B78" i="1"/>
  <c r="H76" i="1"/>
  <c r="A79" i="1"/>
  <c r="G76" i="1"/>
  <c r="L76" i="1"/>
  <c r="C78" i="1"/>
  <c r="N77" i="1"/>
  <c r="W76" i="1" l="1"/>
  <c r="X76" i="1"/>
  <c r="Y76" i="1"/>
  <c r="Z76" i="1"/>
  <c r="K77" i="1"/>
  <c r="J77" i="1"/>
  <c r="I77" i="1"/>
  <c r="E77" i="1"/>
  <c r="D78" i="1"/>
  <c r="L77" i="1"/>
  <c r="F77" i="1"/>
  <c r="A80" i="1"/>
  <c r="P77" i="1"/>
  <c r="R77" i="1"/>
  <c r="O77" i="1"/>
  <c r="N78" i="1"/>
  <c r="H77" i="1"/>
  <c r="U77" i="1"/>
  <c r="T77" i="1"/>
  <c r="V77" i="1"/>
  <c r="B79" i="1"/>
  <c r="Q77" i="1"/>
  <c r="S77" i="1"/>
  <c r="G77" i="1"/>
  <c r="M77" i="1"/>
  <c r="C79" i="1"/>
  <c r="Y77" i="1" l="1"/>
  <c r="X77" i="1"/>
  <c r="Z77" i="1"/>
  <c r="W77" i="1"/>
  <c r="K78" i="1"/>
  <c r="J78" i="1"/>
  <c r="I78" i="1"/>
  <c r="E78" i="1"/>
  <c r="D79" i="1"/>
  <c r="Q78" i="1"/>
  <c r="C80" i="1"/>
  <c r="F78" i="1"/>
  <c r="O78" i="1"/>
  <c r="S78" i="1"/>
  <c r="P78" i="1"/>
  <c r="B80" i="1"/>
  <c r="M78" i="1"/>
  <c r="G78" i="1"/>
  <c r="N79" i="1"/>
  <c r="V78" i="1"/>
  <c r="U78" i="1"/>
  <c r="A81" i="1"/>
  <c r="L78" i="1"/>
  <c r="T78" i="1"/>
  <c r="R78" i="1"/>
  <c r="H78" i="1"/>
  <c r="Z78" i="1" l="1"/>
  <c r="X78" i="1"/>
  <c r="Y78" i="1"/>
  <c r="W78" i="1"/>
  <c r="K79" i="1"/>
  <c r="J79" i="1"/>
  <c r="I79" i="1"/>
  <c r="E79" i="1"/>
  <c r="D80" i="1"/>
  <c r="A82" i="1"/>
  <c r="U79" i="1"/>
  <c r="V79" i="1"/>
  <c r="T79" i="1"/>
  <c r="N80" i="1"/>
  <c r="G79" i="1"/>
  <c r="Q79" i="1"/>
  <c r="S79" i="1"/>
  <c r="B81" i="1"/>
  <c r="L79" i="1"/>
  <c r="M79" i="1"/>
  <c r="H79" i="1"/>
  <c r="C81" i="1"/>
  <c r="R79" i="1"/>
  <c r="P79" i="1"/>
  <c r="O79" i="1"/>
  <c r="F79" i="1"/>
  <c r="Y79" i="1" l="1"/>
  <c r="X79" i="1"/>
  <c r="W79" i="1"/>
  <c r="Z79" i="1"/>
  <c r="K80" i="1"/>
  <c r="J80" i="1"/>
  <c r="I80" i="1"/>
  <c r="E80" i="1"/>
  <c r="D81" i="1"/>
  <c r="H80" i="1"/>
  <c r="F80" i="1"/>
  <c r="B82" i="1"/>
  <c r="L80" i="1"/>
  <c r="Q80" i="1"/>
  <c r="O80" i="1"/>
  <c r="P80" i="1"/>
  <c r="C82" i="1"/>
  <c r="M80" i="1"/>
  <c r="V80" i="1"/>
  <c r="U80" i="1"/>
  <c r="S80" i="1"/>
  <c r="A83" i="1"/>
  <c r="N81" i="1"/>
  <c r="G80" i="1"/>
  <c r="T80" i="1"/>
  <c r="R80" i="1"/>
  <c r="Z80" i="1" l="1"/>
  <c r="W80" i="1"/>
  <c r="X80" i="1"/>
  <c r="Y80" i="1"/>
  <c r="K81" i="1"/>
  <c r="J81" i="1"/>
  <c r="I81" i="1"/>
  <c r="E81" i="1"/>
  <c r="D82" i="1"/>
  <c r="U81" i="1"/>
  <c r="T81" i="1"/>
  <c r="V81" i="1"/>
  <c r="A84" i="1"/>
  <c r="L81" i="1"/>
  <c r="F81" i="1"/>
  <c r="G81" i="1"/>
  <c r="O81" i="1"/>
  <c r="S81" i="1"/>
  <c r="Q81" i="1"/>
  <c r="M81" i="1"/>
  <c r="P81" i="1"/>
  <c r="C83" i="1"/>
  <c r="H81" i="1"/>
  <c r="N82" i="1"/>
  <c r="R81" i="1"/>
  <c r="B83" i="1"/>
  <c r="Z81" i="1" l="1"/>
  <c r="Y81" i="1"/>
  <c r="W81" i="1"/>
  <c r="X81" i="1"/>
  <c r="K82" i="1"/>
  <c r="J82" i="1"/>
  <c r="I82" i="1"/>
  <c r="E82" i="1"/>
  <c r="D83" i="1"/>
  <c r="R82" i="1"/>
  <c r="L82" i="1"/>
  <c r="M82" i="1"/>
  <c r="C84" i="1"/>
  <c r="G82" i="1"/>
  <c r="T82" i="1"/>
  <c r="H82" i="1"/>
  <c r="F82" i="1"/>
  <c r="O82" i="1"/>
  <c r="Q82" i="1"/>
  <c r="N83" i="1"/>
  <c r="V82" i="1"/>
  <c r="S82" i="1"/>
  <c r="P82" i="1"/>
  <c r="B84" i="1"/>
  <c r="U82" i="1"/>
  <c r="A85" i="1"/>
  <c r="U83" i="1" l="1"/>
  <c r="T83" i="1"/>
  <c r="W82" i="1"/>
  <c r="O83" i="1"/>
  <c r="R83" i="1"/>
  <c r="Z82" i="1"/>
  <c r="S83" i="1"/>
  <c r="X82" i="1"/>
  <c r="Q83" i="1"/>
  <c r="V83" i="1"/>
  <c r="Y82" i="1"/>
  <c r="P83" i="1"/>
  <c r="K83" i="1"/>
  <c r="J83" i="1"/>
  <c r="I83" i="1"/>
  <c r="E83" i="1"/>
  <c r="D84" i="1"/>
  <c r="C85" i="1"/>
  <c r="M83" i="1"/>
  <c r="A86" i="1"/>
  <c r="N84" i="1"/>
  <c r="B85" i="1"/>
  <c r="G83" i="1"/>
  <c r="F83" i="1"/>
  <c r="L83" i="1"/>
  <c r="H83" i="1"/>
  <c r="X83" i="1" l="1"/>
  <c r="Z83" i="1"/>
  <c r="Y83" i="1"/>
  <c r="W83" i="1"/>
  <c r="K84" i="1"/>
  <c r="J84" i="1"/>
  <c r="I84" i="1"/>
  <c r="E84" i="1"/>
  <c r="D85" i="1"/>
  <c r="Q84" i="1"/>
  <c r="O84" i="1"/>
  <c r="B86" i="1"/>
  <c r="H84" i="1"/>
  <c r="G84" i="1"/>
  <c r="L84" i="1"/>
  <c r="M84" i="1"/>
  <c r="R84" i="1"/>
  <c r="S84" i="1"/>
  <c r="V84" i="1"/>
  <c r="U84" i="1"/>
  <c r="P84" i="1"/>
  <c r="A87" i="1"/>
  <c r="T84" i="1"/>
  <c r="C86" i="1"/>
  <c r="N85" i="1"/>
  <c r="F84" i="1"/>
  <c r="U85" i="1" l="1"/>
  <c r="V85" i="1"/>
  <c r="W84" i="1"/>
  <c r="S85" i="1"/>
  <c r="O85" i="1"/>
  <c r="P85" i="1"/>
  <c r="X84" i="1"/>
  <c r="R85" i="1"/>
  <c r="Y84" i="1"/>
  <c r="Q85" i="1"/>
  <c r="T85" i="1"/>
  <c r="Z84" i="1"/>
  <c r="K85" i="1"/>
  <c r="J85" i="1"/>
  <c r="I85" i="1"/>
  <c r="E85" i="1"/>
  <c r="D86" i="1"/>
  <c r="A88" i="1"/>
  <c r="G85" i="1"/>
  <c r="B87" i="1"/>
  <c r="N86" i="1"/>
  <c r="M85" i="1"/>
  <c r="H85" i="1"/>
  <c r="C87" i="1"/>
  <c r="F85" i="1"/>
  <c r="L85" i="1"/>
  <c r="V86" i="1" l="1"/>
  <c r="U86" i="1"/>
  <c r="W85" i="1"/>
  <c r="Q86" i="1"/>
  <c r="P86" i="1"/>
  <c r="O86" i="1"/>
  <c r="Y85" i="1"/>
  <c r="X85" i="1"/>
  <c r="R86" i="1"/>
  <c r="S86" i="1"/>
  <c r="Z85" i="1"/>
  <c r="T86" i="1"/>
  <c r="K86" i="1"/>
  <c r="J86" i="1"/>
  <c r="I86" i="1"/>
  <c r="E86" i="1"/>
  <c r="D87" i="1"/>
  <c r="B88" i="1"/>
  <c r="L86" i="1"/>
  <c r="G86" i="1"/>
  <c r="N87" i="1"/>
  <c r="C88" i="1"/>
  <c r="F86" i="1"/>
  <c r="A89" i="1"/>
  <c r="H86" i="1"/>
  <c r="M86" i="1"/>
  <c r="W86" i="1" l="1"/>
  <c r="X86" i="1"/>
  <c r="Z86" i="1"/>
  <c r="Y86" i="1"/>
  <c r="K87" i="1"/>
  <c r="J87" i="1"/>
  <c r="I87" i="1"/>
  <c r="E87" i="1"/>
  <c r="D88" i="1"/>
  <c r="C89" i="1"/>
  <c r="S87" i="1"/>
  <c r="H87" i="1"/>
  <c r="M87" i="1"/>
  <c r="P87" i="1"/>
  <c r="O87" i="1"/>
  <c r="B89" i="1"/>
  <c r="R87" i="1"/>
  <c r="A90" i="1"/>
  <c r="U87" i="1"/>
  <c r="N88" i="1"/>
  <c r="Q87" i="1"/>
  <c r="T87" i="1"/>
  <c r="F87" i="1"/>
  <c r="L87" i="1"/>
  <c r="V87" i="1"/>
  <c r="G87" i="1"/>
  <c r="W87" i="1" l="1"/>
  <c r="Y87" i="1"/>
  <c r="Z87" i="1"/>
  <c r="X87" i="1"/>
  <c r="K88" i="1"/>
  <c r="J88" i="1"/>
  <c r="I88" i="1"/>
  <c r="E88" i="1"/>
  <c r="D89" i="1"/>
  <c r="C90" i="1"/>
  <c r="L88" i="1"/>
  <c r="M88" i="1"/>
  <c r="V88" i="1"/>
  <c r="R88" i="1"/>
  <c r="A91" i="1"/>
  <c r="G88" i="1"/>
  <c r="Q88" i="1"/>
  <c r="O88" i="1"/>
  <c r="T88" i="1"/>
  <c r="B90" i="1"/>
  <c r="U88" i="1"/>
  <c r="S88" i="1"/>
  <c r="P88" i="1"/>
  <c r="F88" i="1"/>
  <c r="H88" i="1"/>
  <c r="N89" i="1"/>
  <c r="U89" i="1" l="1"/>
  <c r="V89" i="1"/>
  <c r="Z88" i="1"/>
  <c r="T89" i="1"/>
  <c r="O89" i="1"/>
  <c r="P89" i="1"/>
  <c r="Y88" i="1"/>
  <c r="Q89" i="1"/>
  <c r="X88" i="1"/>
  <c r="S89" i="1"/>
  <c r="R89" i="1"/>
  <c r="W88" i="1"/>
  <c r="K89" i="1"/>
  <c r="J89" i="1"/>
  <c r="I89" i="1"/>
  <c r="E89" i="1"/>
  <c r="D90" i="1"/>
  <c r="M89" i="1"/>
  <c r="B91" i="1"/>
  <c r="L89" i="1"/>
  <c r="A92" i="1"/>
  <c r="H89" i="1"/>
  <c r="F89" i="1"/>
  <c r="G89" i="1"/>
  <c r="C91" i="1"/>
  <c r="N90" i="1"/>
  <c r="Y89" i="1" l="1"/>
  <c r="X89" i="1"/>
  <c r="Z89" i="1"/>
  <c r="W89" i="1"/>
  <c r="K90" i="1"/>
  <c r="J90" i="1"/>
  <c r="I90" i="1"/>
  <c r="E90" i="1"/>
  <c r="D91" i="1"/>
  <c r="S90" i="1"/>
  <c r="P90" i="1"/>
  <c r="F90" i="1"/>
  <c r="O90" i="1"/>
  <c r="T90" i="1"/>
  <c r="U90" i="1"/>
  <c r="N91" i="1"/>
  <c r="L90" i="1"/>
  <c r="B92" i="1"/>
  <c r="V90" i="1"/>
  <c r="G90" i="1"/>
  <c r="C92" i="1"/>
  <c r="Q90" i="1"/>
  <c r="R90" i="1"/>
  <c r="M90" i="1"/>
  <c r="H90" i="1"/>
  <c r="A93" i="1"/>
  <c r="U91" i="1" l="1"/>
  <c r="T91" i="1"/>
  <c r="W90" i="1"/>
  <c r="O91" i="1"/>
  <c r="R91" i="1"/>
  <c r="X90" i="1"/>
  <c r="S91" i="1"/>
  <c r="Y90" i="1"/>
  <c r="Q91" i="1"/>
  <c r="V91" i="1"/>
  <c r="Z90" i="1"/>
  <c r="P91" i="1"/>
  <c r="K91" i="1"/>
  <c r="J91" i="1"/>
  <c r="I91" i="1"/>
  <c r="E91" i="1"/>
  <c r="D92" i="1"/>
  <c r="C93" i="1"/>
  <c r="M91" i="1"/>
  <c r="G91" i="1"/>
  <c r="H91" i="1"/>
  <c r="B93" i="1"/>
  <c r="N92" i="1"/>
  <c r="F91" i="1"/>
  <c r="A94" i="1"/>
  <c r="L91" i="1"/>
  <c r="V92" i="1" l="1"/>
  <c r="S92" i="1"/>
  <c r="Z91" i="1"/>
  <c r="X91" i="1"/>
  <c r="P92" i="1"/>
  <c r="Q92" i="1"/>
  <c r="W91" i="1"/>
  <c r="T92" i="1"/>
  <c r="R92" i="1"/>
  <c r="U92" i="1"/>
  <c r="Y91" i="1"/>
  <c r="O92" i="1"/>
  <c r="K92" i="1"/>
  <c r="J92" i="1"/>
  <c r="I92" i="1"/>
  <c r="E92" i="1"/>
  <c r="D93" i="1"/>
  <c r="C94" i="1"/>
  <c r="M92" i="1"/>
  <c r="F92" i="1"/>
  <c r="N93" i="1"/>
  <c r="B94" i="1"/>
  <c r="L92" i="1"/>
  <c r="H92" i="1"/>
  <c r="A95" i="1"/>
  <c r="G92" i="1"/>
  <c r="U93" i="1" l="1"/>
  <c r="V93" i="1"/>
  <c r="Z92" i="1"/>
  <c r="X92" i="1"/>
  <c r="O93" i="1"/>
  <c r="P93" i="1"/>
  <c r="Y92" i="1"/>
  <c r="S93" i="1"/>
  <c r="Q93" i="1"/>
  <c r="T93" i="1"/>
  <c r="W92" i="1"/>
  <c r="R93" i="1"/>
  <c r="K93" i="1"/>
  <c r="J93" i="1"/>
  <c r="I93" i="1"/>
  <c r="E93" i="1"/>
  <c r="D94" i="1"/>
  <c r="C95" i="1"/>
  <c r="M93" i="1"/>
  <c r="L93" i="1"/>
  <c r="N94" i="1"/>
  <c r="A96" i="1"/>
  <c r="F93" i="1"/>
  <c r="H93" i="1"/>
  <c r="B95" i="1"/>
  <c r="G93" i="1"/>
  <c r="Y93" i="1" l="1"/>
  <c r="W93" i="1"/>
  <c r="X93" i="1"/>
  <c r="Z93" i="1"/>
  <c r="K94" i="1"/>
  <c r="J94" i="1"/>
  <c r="I94" i="1"/>
  <c r="E94" i="1"/>
  <c r="D95" i="1"/>
  <c r="F94" i="1"/>
  <c r="V94" i="1"/>
  <c r="U94" i="1"/>
  <c r="R94" i="1"/>
  <c r="H94" i="1"/>
  <c r="S94" i="1"/>
  <c r="Q94" i="1"/>
  <c r="M94" i="1"/>
  <c r="B96" i="1"/>
  <c r="P94" i="1"/>
  <c r="G94" i="1"/>
  <c r="T94" i="1"/>
  <c r="L94" i="1"/>
  <c r="C96" i="1"/>
  <c r="O94" i="1"/>
  <c r="A97" i="1"/>
  <c r="N95" i="1"/>
  <c r="V95" i="1" l="1"/>
  <c r="U95" i="1"/>
  <c r="Y94" i="1"/>
  <c r="Z94" i="1"/>
  <c r="P95" i="1"/>
  <c r="O95" i="1"/>
  <c r="W94" i="1"/>
  <c r="T95" i="1"/>
  <c r="R95" i="1"/>
  <c r="Q95" i="1"/>
  <c r="X94" i="1"/>
  <c r="S95" i="1"/>
  <c r="K95" i="1"/>
  <c r="J95" i="1"/>
  <c r="I95" i="1"/>
  <c r="E95" i="1"/>
  <c r="D96" i="1"/>
  <c r="C97" i="1"/>
  <c r="F95" i="1"/>
  <c r="B97" i="1"/>
  <c r="N96" i="1"/>
  <c r="A98" i="1"/>
  <c r="L95" i="1"/>
  <c r="M95" i="1"/>
  <c r="G95" i="1"/>
  <c r="H95" i="1"/>
  <c r="U96" i="1" l="1"/>
  <c r="V96" i="1"/>
  <c r="X95" i="1"/>
  <c r="P96" i="1"/>
  <c r="Q96" i="1"/>
  <c r="R96" i="1"/>
  <c r="W95" i="1"/>
  <c r="O96" i="1"/>
  <c r="S96" i="1"/>
  <c r="T96" i="1"/>
  <c r="Y95" i="1"/>
  <c r="Z95" i="1"/>
  <c r="K96" i="1"/>
  <c r="J96" i="1"/>
  <c r="I96" i="1"/>
  <c r="E96" i="1"/>
  <c r="D97" i="1"/>
  <c r="A99" i="1"/>
  <c r="M96" i="1"/>
  <c r="G96" i="1"/>
  <c r="L96" i="1"/>
  <c r="B98" i="1"/>
  <c r="N97" i="1"/>
  <c r="H96" i="1"/>
  <c r="C98" i="1"/>
  <c r="F96" i="1"/>
  <c r="W96" i="1" l="1"/>
  <c r="X96" i="1"/>
  <c r="Z96" i="1"/>
  <c r="Y96" i="1"/>
  <c r="K97" i="1"/>
  <c r="J97" i="1"/>
  <c r="I97" i="1"/>
  <c r="E97" i="1"/>
  <c r="D98" i="1"/>
  <c r="L97" i="1"/>
  <c r="G97" i="1"/>
  <c r="T97" i="1"/>
  <c r="R97" i="1"/>
  <c r="P97" i="1"/>
  <c r="V97" i="1"/>
  <c r="Q97" i="1"/>
  <c r="N98" i="1"/>
  <c r="M97" i="1"/>
  <c r="C99" i="1"/>
  <c r="A100" i="1"/>
  <c r="H97" i="1"/>
  <c r="O97" i="1"/>
  <c r="S97" i="1"/>
  <c r="B99" i="1"/>
  <c r="F97" i="1"/>
  <c r="U97" i="1"/>
  <c r="Y97" i="1" l="1"/>
  <c r="X97" i="1"/>
  <c r="W97" i="1"/>
  <c r="Z97" i="1"/>
  <c r="K98" i="1"/>
  <c r="J98" i="1"/>
  <c r="I98" i="1"/>
  <c r="E98" i="1"/>
  <c r="D99" i="1"/>
  <c r="B100" i="1"/>
  <c r="P98" i="1"/>
  <c r="R98" i="1"/>
  <c r="O98" i="1"/>
  <c r="F98" i="1"/>
  <c r="A101" i="1"/>
  <c r="U98" i="1"/>
  <c r="V98" i="1"/>
  <c r="G98" i="1"/>
  <c r="S98" i="1"/>
  <c r="Q98" i="1"/>
  <c r="M98" i="1"/>
  <c r="H98" i="1"/>
  <c r="C100" i="1"/>
  <c r="N99" i="1"/>
  <c r="T98" i="1"/>
  <c r="L98" i="1"/>
  <c r="V99" i="1" l="1"/>
  <c r="U99" i="1"/>
  <c r="Y98" i="1"/>
  <c r="P99" i="1"/>
  <c r="O99" i="1"/>
  <c r="W98" i="1"/>
  <c r="T99" i="1"/>
  <c r="Z98" i="1"/>
  <c r="R99" i="1"/>
  <c r="Q99" i="1"/>
  <c r="X98" i="1"/>
  <c r="S99" i="1"/>
  <c r="K99" i="1"/>
  <c r="J99" i="1"/>
  <c r="I99" i="1"/>
  <c r="E99" i="1"/>
  <c r="D100" i="1"/>
  <c r="F99" i="1"/>
  <c r="L99" i="1"/>
  <c r="N100" i="1"/>
  <c r="M99" i="1"/>
  <c r="H99" i="1"/>
  <c r="A102" i="1"/>
  <c r="B101" i="1"/>
  <c r="G99" i="1"/>
  <c r="C101" i="1"/>
  <c r="X99" i="1" l="1"/>
  <c r="Y99" i="1"/>
  <c r="W99" i="1"/>
  <c r="Z99" i="1"/>
  <c r="K100" i="1"/>
  <c r="J100" i="1"/>
  <c r="I100" i="1"/>
  <c r="E100" i="1"/>
  <c r="D101" i="1"/>
  <c r="A103" i="1"/>
  <c r="P100" i="1"/>
  <c r="T100" i="1"/>
  <c r="O100" i="1"/>
  <c r="G100" i="1"/>
  <c r="L100" i="1"/>
  <c r="N101" i="1"/>
  <c r="U100" i="1"/>
  <c r="R100" i="1"/>
  <c r="V100" i="1"/>
  <c r="M100" i="1"/>
  <c r="H100" i="1"/>
  <c r="B102" i="1"/>
  <c r="S100" i="1"/>
  <c r="Q100" i="1"/>
  <c r="C102" i="1"/>
  <c r="F100" i="1"/>
  <c r="V101" i="1" l="1"/>
  <c r="U101" i="1"/>
  <c r="Z100" i="1"/>
  <c r="T101" i="1"/>
  <c r="P101" i="1"/>
  <c r="O101" i="1"/>
  <c r="X100" i="1"/>
  <c r="S101" i="1"/>
  <c r="W100" i="1"/>
  <c r="R101" i="1"/>
  <c r="Q101" i="1"/>
  <c r="Y100" i="1"/>
  <c r="K101" i="1"/>
  <c r="J101" i="1"/>
  <c r="I101" i="1"/>
  <c r="E101" i="1"/>
  <c r="D102" i="1"/>
  <c r="C103" i="1"/>
  <c r="G101" i="1"/>
  <c r="N102" i="1"/>
  <c r="A104" i="1"/>
  <c r="M101" i="1"/>
  <c r="L101" i="1"/>
  <c r="B103" i="1"/>
  <c r="F101" i="1"/>
  <c r="H101" i="1"/>
  <c r="B104" i="1" l="1"/>
  <c r="C104" i="1"/>
  <c r="D104" i="1" s="1"/>
  <c r="S102" i="1"/>
  <c r="T102" i="1"/>
  <c r="Z101" i="1"/>
  <c r="R102" i="1"/>
  <c r="U102" i="1"/>
  <c r="V102" i="1"/>
  <c r="X101" i="1"/>
  <c r="Q102" i="1"/>
  <c r="O102" i="1"/>
  <c r="P102" i="1"/>
  <c r="Y101" i="1"/>
  <c r="W101" i="1"/>
  <c r="K102" i="1"/>
  <c r="J102" i="1"/>
  <c r="I102" i="1"/>
  <c r="E102" i="1"/>
  <c r="D103" i="1"/>
  <c r="N103" i="1"/>
  <c r="F102" i="1"/>
  <c r="G102" i="1"/>
  <c r="H102" i="1"/>
  <c r="A105" i="1"/>
  <c r="L102" i="1"/>
  <c r="M102" i="1"/>
  <c r="J104" i="1" l="1"/>
  <c r="K104" i="1"/>
  <c r="E104" i="1"/>
  <c r="I104" i="1"/>
  <c r="C105" i="1"/>
  <c r="D105" i="1" s="1"/>
  <c r="B105" i="1"/>
  <c r="V103" i="1"/>
  <c r="U103" i="1"/>
  <c r="P103" i="1"/>
  <c r="O103" i="1"/>
  <c r="X102" i="1"/>
  <c r="T103" i="1"/>
  <c r="S103" i="1"/>
  <c r="W102" i="1"/>
  <c r="Y102" i="1"/>
  <c r="Z102" i="1"/>
  <c r="Q103" i="1"/>
  <c r="R103" i="1"/>
  <c r="N104" i="1"/>
  <c r="K103" i="1"/>
  <c r="J103" i="1"/>
  <c r="I103" i="1"/>
  <c r="E103" i="1"/>
  <c r="F103" i="1"/>
  <c r="G103" i="1"/>
  <c r="M103" i="1"/>
  <c r="A106" i="1"/>
  <c r="H103" i="1"/>
  <c r="L103" i="1"/>
  <c r="J105" i="1" l="1"/>
  <c r="K105" i="1"/>
  <c r="E105" i="1"/>
  <c r="I105" i="1"/>
  <c r="B106" i="1"/>
  <c r="C106" i="1"/>
  <c r="D106" i="1" s="1"/>
  <c r="Y103" i="1"/>
  <c r="W103" i="1"/>
  <c r="Z103" i="1"/>
  <c r="X103" i="1"/>
  <c r="U104" i="1"/>
  <c r="O104" i="1"/>
  <c r="P104" i="1"/>
  <c r="S104" i="1"/>
  <c r="Q104" i="1"/>
  <c r="R104" i="1"/>
  <c r="V104" i="1"/>
  <c r="T104" i="1"/>
  <c r="L104" i="1"/>
  <c r="G104" i="1"/>
  <c r="F104" i="1"/>
  <c r="M104" i="1"/>
  <c r="H104" i="1"/>
  <c r="N105" i="1"/>
  <c r="A107" i="1"/>
  <c r="J106" i="1" l="1"/>
  <c r="K106" i="1"/>
  <c r="E106" i="1"/>
  <c r="I106" i="1"/>
  <c r="B107" i="1"/>
  <c r="C107" i="1"/>
  <c r="D107" i="1" s="1"/>
  <c r="H105" i="1"/>
  <c r="L105" i="1"/>
  <c r="M105" i="1"/>
  <c r="G105" i="1"/>
  <c r="F105" i="1"/>
  <c r="V105" i="1"/>
  <c r="U105" i="1"/>
  <c r="P105" i="1"/>
  <c r="O105" i="1"/>
  <c r="T105" i="1"/>
  <c r="S105" i="1"/>
  <c r="R105" i="1"/>
  <c r="Q105" i="1"/>
  <c r="W104" i="1"/>
  <c r="Y104" i="1"/>
  <c r="X104" i="1"/>
  <c r="Z104" i="1"/>
  <c r="N106" i="1"/>
  <c r="A108" i="1"/>
  <c r="J107" i="1" l="1"/>
  <c r="K107" i="1"/>
  <c r="E107" i="1"/>
  <c r="I107" i="1"/>
  <c r="C108" i="1"/>
  <c r="D108" i="1" s="1"/>
  <c r="B108" i="1"/>
  <c r="N107" i="1"/>
  <c r="F106" i="1"/>
  <c r="M106" i="1"/>
  <c r="H106" i="1"/>
  <c r="G106" i="1"/>
  <c r="L106" i="1"/>
  <c r="U106" i="1"/>
  <c r="V106" i="1"/>
  <c r="O106" i="1"/>
  <c r="P106" i="1"/>
  <c r="S106" i="1"/>
  <c r="T106" i="1"/>
  <c r="R106" i="1"/>
  <c r="Q106" i="1"/>
  <c r="Y105" i="1"/>
  <c r="Z105" i="1"/>
  <c r="X105" i="1"/>
  <c r="W105" i="1"/>
  <c r="A109" i="1"/>
  <c r="J108" i="1" l="1"/>
  <c r="K108" i="1"/>
  <c r="E108" i="1"/>
  <c r="I108" i="1"/>
  <c r="B109" i="1"/>
  <c r="C109" i="1"/>
  <c r="D109" i="1" s="1"/>
  <c r="V107" i="1"/>
  <c r="U107" i="1"/>
  <c r="P107" i="1"/>
  <c r="O107" i="1"/>
  <c r="T107" i="1"/>
  <c r="S107" i="1"/>
  <c r="Q107" i="1"/>
  <c r="R107" i="1"/>
  <c r="W106" i="1"/>
  <c r="Y106" i="1"/>
  <c r="X106" i="1"/>
  <c r="Z106" i="1"/>
  <c r="L107" i="1"/>
  <c r="G107" i="1"/>
  <c r="H107" i="1"/>
  <c r="F107" i="1"/>
  <c r="M107" i="1"/>
  <c r="N108" i="1"/>
  <c r="A110" i="1"/>
  <c r="J109" i="1" l="1"/>
  <c r="K109" i="1"/>
  <c r="E109" i="1"/>
  <c r="I109" i="1"/>
  <c r="C110" i="1"/>
  <c r="D110" i="1" s="1"/>
  <c r="B110" i="1"/>
  <c r="N109" i="1"/>
  <c r="L108" i="1"/>
  <c r="H108" i="1"/>
  <c r="G108" i="1"/>
  <c r="M108" i="1"/>
  <c r="F108" i="1"/>
  <c r="U108" i="1"/>
  <c r="V108" i="1"/>
  <c r="O108" i="1"/>
  <c r="P108" i="1"/>
  <c r="S108" i="1"/>
  <c r="T108" i="1"/>
  <c r="Q108" i="1"/>
  <c r="R108" i="1"/>
  <c r="Z107" i="1"/>
  <c r="Y107" i="1"/>
  <c r="W107" i="1"/>
  <c r="X107" i="1"/>
  <c r="A111" i="1"/>
  <c r="J110" i="1" l="1"/>
  <c r="K110" i="1"/>
  <c r="E110" i="1"/>
  <c r="I110" i="1"/>
  <c r="B111" i="1"/>
  <c r="C111" i="1"/>
  <c r="D111" i="1" s="1"/>
  <c r="V109" i="1"/>
  <c r="U109" i="1"/>
  <c r="P109" i="1"/>
  <c r="O109" i="1"/>
  <c r="T109" i="1"/>
  <c r="S109" i="1"/>
  <c r="R109" i="1"/>
  <c r="Q109" i="1"/>
  <c r="W108" i="1"/>
  <c r="Z108" i="1"/>
  <c r="Y108" i="1"/>
  <c r="X108" i="1"/>
  <c r="H109" i="1"/>
  <c r="G109" i="1"/>
  <c r="M109" i="1"/>
  <c r="L109" i="1"/>
  <c r="F109" i="1"/>
  <c r="N110" i="1"/>
  <c r="A112" i="1"/>
  <c r="J111" i="1" l="1"/>
  <c r="K111" i="1"/>
  <c r="E111" i="1"/>
  <c r="I111" i="1"/>
  <c r="C112" i="1"/>
  <c r="D112" i="1" s="1"/>
  <c r="B112" i="1"/>
  <c r="N111" i="1"/>
  <c r="M110" i="1"/>
  <c r="L110" i="1"/>
  <c r="H110" i="1"/>
  <c r="G110" i="1"/>
  <c r="F110" i="1"/>
  <c r="U110" i="1"/>
  <c r="V110" i="1"/>
  <c r="O110" i="1"/>
  <c r="P110" i="1"/>
  <c r="S110" i="1"/>
  <c r="T110" i="1"/>
  <c r="Q110" i="1"/>
  <c r="R110" i="1"/>
  <c r="Y109" i="1"/>
  <c r="Z109" i="1"/>
  <c r="X109" i="1"/>
  <c r="W109" i="1"/>
  <c r="A113" i="1"/>
  <c r="J112" i="1" l="1"/>
  <c r="K112" i="1"/>
  <c r="E112" i="1"/>
  <c r="I112" i="1"/>
  <c r="B113" i="1"/>
  <c r="C113" i="1"/>
  <c r="D113" i="1" s="1"/>
  <c r="G111" i="1"/>
  <c r="M111" i="1"/>
  <c r="F111" i="1"/>
  <c r="H111" i="1"/>
  <c r="L111" i="1"/>
  <c r="V111" i="1"/>
  <c r="U111" i="1"/>
  <c r="P111" i="1"/>
  <c r="O111" i="1"/>
  <c r="T111" i="1"/>
  <c r="S111" i="1"/>
  <c r="R111" i="1"/>
  <c r="Q111" i="1"/>
  <c r="Y110" i="1"/>
  <c r="W110" i="1"/>
  <c r="Z110" i="1"/>
  <c r="X110" i="1"/>
  <c r="N112" i="1"/>
  <c r="A114" i="1"/>
  <c r="J113" i="1" l="1"/>
  <c r="K113" i="1"/>
  <c r="E113" i="1"/>
  <c r="I113" i="1"/>
  <c r="C114" i="1"/>
  <c r="D114" i="1" s="1"/>
  <c r="B114" i="1"/>
  <c r="G112" i="1"/>
  <c r="L112" i="1"/>
  <c r="H112" i="1"/>
  <c r="F112" i="1"/>
  <c r="M112" i="1"/>
  <c r="N113" i="1"/>
  <c r="U112" i="1"/>
  <c r="V112" i="1"/>
  <c r="O112" i="1"/>
  <c r="P112" i="1"/>
  <c r="S112" i="1"/>
  <c r="T112" i="1"/>
  <c r="Q112" i="1"/>
  <c r="R112" i="1"/>
  <c r="Z111" i="1"/>
  <c r="X111" i="1"/>
  <c r="W111" i="1"/>
  <c r="Y111" i="1"/>
  <c r="A115" i="1"/>
  <c r="J114" i="1" l="1"/>
  <c r="K114" i="1"/>
  <c r="E114" i="1"/>
  <c r="I114" i="1"/>
  <c r="C115" i="1"/>
  <c r="D115" i="1" s="1"/>
  <c r="B115" i="1"/>
  <c r="L113" i="1"/>
  <c r="F113" i="1"/>
  <c r="M113" i="1"/>
  <c r="G113" i="1"/>
  <c r="H113" i="1"/>
  <c r="V113" i="1"/>
  <c r="U113" i="1"/>
  <c r="P113" i="1"/>
  <c r="O113" i="1"/>
  <c r="T113" i="1"/>
  <c r="S113" i="1"/>
  <c r="R113" i="1"/>
  <c r="Q113" i="1"/>
  <c r="Z112" i="1"/>
  <c r="W112" i="1"/>
  <c r="X112" i="1"/>
  <c r="Y112" i="1"/>
  <c r="N114" i="1"/>
  <c r="A116" i="1"/>
  <c r="J115" i="1" l="1"/>
  <c r="K115" i="1"/>
  <c r="E115" i="1"/>
  <c r="I115" i="1"/>
  <c r="B116" i="1"/>
  <c r="C116" i="1"/>
  <c r="D116" i="1" s="1"/>
  <c r="H114" i="1"/>
  <c r="F114" i="1"/>
  <c r="M114" i="1"/>
  <c r="G114" i="1"/>
  <c r="L114" i="1"/>
  <c r="N115" i="1"/>
  <c r="U114" i="1"/>
  <c r="V114" i="1"/>
  <c r="O114" i="1"/>
  <c r="P114" i="1"/>
  <c r="S114" i="1"/>
  <c r="T114" i="1"/>
  <c r="Q114" i="1"/>
  <c r="R114" i="1"/>
  <c r="Y113" i="1"/>
  <c r="W113" i="1"/>
  <c r="Z113" i="1"/>
  <c r="X113" i="1"/>
  <c r="A117" i="1"/>
  <c r="J116" i="1" l="1"/>
  <c r="K116" i="1"/>
  <c r="E116" i="1"/>
  <c r="I116" i="1"/>
  <c r="C117" i="1"/>
  <c r="D117" i="1" s="1"/>
  <c r="B117" i="1"/>
  <c r="V115" i="1"/>
  <c r="U115" i="1"/>
  <c r="P115" i="1"/>
  <c r="O115" i="1"/>
  <c r="T115" i="1"/>
  <c r="S115" i="1"/>
  <c r="R115" i="1"/>
  <c r="Q115" i="1"/>
  <c r="X114" i="1"/>
  <c r="Z114" i="1"/>
  <c r="W114" i="1"/>
  <c r="Y114" i="1"/>
  <c r="N116" i="1"/>
  <c r="M115" i="1"/>
  <c r="G115" i="1"/>
  <c r="H115" i="1"/>
  <c r="F115" i="1"/>
  <c r="L115" i="1"/>
  <c r="A118" i="1"/>
  <c r="J117" i="1" l="1"/>
  <c r="K117" i="1"/>
  <c r="E117" i="1"/>
  <c r="I117" i="1"/>
  <c r="C118" i="1"/>
  <c r="D118" i="1" s="1"/>
  <c r="B118" i="1"/>
  <c r="U116" i="1"/>
  <c r="V116" i="1"/>
  <c r="O116" i="1"/>
  <c r="P116" i="1"/>
  <c r="S116" i="1"/>
  <c r="T116" i="1"/>
  <c r="Q116" i="1"/>
  <c r="R116" i="1"/>
  <c r="Y115" i="1"/>
  <c r="X115" i="1"/>
  <c r="W115" i="1"/>
  <c r="Z115" i="1"/>
  <c r="H116" i="1"/>
  <c r="M116" i="1"/>
  <c r="G116" i="1"/>
  <c r="L116" i="1"/>
  <c r="F116" i="1"/>
  <c r="N117" i="1"/>
  <c r="A119" i="1"/>
  <c r="J118" i="1" l="1"/>
  <c r="K118" i="1"/>
  <c r="E118" i="1"/>
  <c r="I118" i="1"/>
  <c r="B119" i="1"/>
  <c r="C119" i="1"/>
  <c r="D119" i="1" s="1"/>
  <c r="F117" i="1"/>
  <c r="M117" i="1"/>
  <c r="L117" i="1"/>
  <c r="H117" i="1"/>
  <c r="G117" i="1"/>
  <c r="N118" i="1"/>
  <c r="S117" i="1"/>
  <c r="T117" i="1"/>
  <c r="P117" i="1"/>
  <c r="U117" i="1"/>
  <c r="Q117" i="1"/>
  <c r="V117" i="1"/>
  <c r="O117" i="1"/>
  <c r="R117" i="1"/>
  <c r="Y116" i="1"/>
  <c r="X116" i="1"/>
  <c r="W116" i="1"/>
  <c r="Z116" i="1"/>
  <c r="A120" i="1"/>
  <c r="J119" i="1" l="1"/>
  <c r="K119" i="1"/>
  <c r="E119" i="1"/>
  <c r="I119" i="1"/>
  <c r="C120" i="1"/>
  <c r="D120" i="1" s="1"/>
  <c r="B120" i="1"/>
  <c r="V118" i="1"/>
  <c r="S118" i="1"/>
  <c r="P118" i="1"/>
  <c r="Q118" i="1"/>
  <c r="T118" i="1"/>
  <c r="O118" i="1"/>
  <c r="U118" i="1"/>
  <c r="R118" i="1"/>
  <c r="W117" i="1"/>
  <c r="X117" i="1"/>
  <c r="Y117" i="1"/>
  <c r="Z117" i="1"/>
  <c r="G118" i="1"/>
  <c r="M118" i="1"/>
  <c r="H118" i="1"/>
  <c r="F118" i="1"/>
  <c r="L118" i="1"/>
  <c r="N119" i="1"/>
  <c r="A121" i="1"/>
  <c r="J120" i="1" l="1"/>
  <c r="K120" i="1"/>
  <c r="E120" i="1"/>
  <c r="I120" i="1"/>
  <c r="C121" i="1"/>
  <c r="D121" i="1" s="1"/>
  <c r="B121" i="1"/>
  <c r="M119" i="1"/>
  <c r="L119" i="1"/>
  <c r="H119" i="1"/>
  <c r="F119" i="1"/>
  <c r="G119" i="1"/>
  <c r="U119" i="1"/>
  <c r="V119" i="1"/>
  <c r="O119" i="1"/>
  <c r="P119" i="1"/>
  <c r="S119" i="1"/>
  <c r="R119" i="1"/>
  <c r="Q119" i="1"/>
  <c r="T119" i="1"/>
  <c r="Z118" i="1"/>
  <c r="W118" i="1"/>
  <c r="Y118" i="1"/>
  <c r="X118" i="1"/>
  <c r="N120" i="1"/>
  <c r="A122" i="1"/>
  <c r="J121" i="1" l="1"/>
  <c r="K121" i="1"/>
  <c r="E121" i="1"/>
  <c r="I121" i="1"/>
  <c r="C122" i="1"/>
  <c r="D122" i="1" s="1"/>
  <c r="B122" i="1"/>
  <c r="M120" i="1"/>
  <c r="L120" i="1"/>
  <c r="H120" i="1"/>
  <c r="G120" i="1"/>
  <c r="F120" i="1"/>
  <c r="V120" i="1"/>
  <c r="U120" i="1"/>
  <c r="P120" i="1"/>
  <c r="O120" i="1"/>
  <c r="T120" i="1"/>
  <c r="Q120" i="1"/>
  <c r="R120" i="1"/>
  <c r="S120" i="1"/>
  <c r="Y119" i="1"/>
  <c r="X119" i="1"/>
  <c r="Z119" i="1"/>
  <c r="W119" i="1"/>
  <c r="N121" i="1"/>
  <c r="A123" i="1"/>
  <c r="J122" i="1" l="1"/>
  <c r="K122" i="1"/>
  <c r="E122" i="1"/>
  <c r="I122" i="1"/>
  <c r="B123" i="1"/>
  <c r="C123" i="1"/>
  <c r="D123" i="1" s="1"/>
  <c r="L121" i="1"/>
  <c r="M121" i="1"/>
  <c r="G121" i="1"/>
  <c r="H121" i="1"/>
  <c r="F121" i="1"/>
  <c r="U121" i="1"/>
  <c r="T121" i="1"/>
  <c r="O121" i="1"/>
  <c r="R121" i="1"/>
  <c r="S121" i="1"/>
  <c r="P121" i="1"/>
  <c r="Q121" i="1"/>
  <c r="V121" i="1"/>
  <c r="Z120" i="1"/>
  <c r="Y120" i="1"/>
  <c r="W120" i="1"/>
  <c r="X120" i="1"/>
  <c r="N122" i="1"/>
  <c r="A124" i="1"/>
  <c r="J123" i="1" l="1"/>
  <c r="K123" i="1"/>
  <c r="E123" i="1"/>
  <c r="I123" i="1"/>
  <c r="B124" i="1"/>
  <c r="C124" i="1"/>
  <c r="D124" i="1" s="1"/>
  <c r="N123" i="1"/>
  <c r="H122" i="1"/>
  <c r="G122" i="1"/>
  <c r="F122" i="1"/>
  <c r="L122" i="1"/>
  <c r="M122" i="1"/>
  <c r="V122" i="1"/>
  <c r="S122" i="1"/>
  <c r="P122" i="1"/>
  <c r="Q122" i="1"/>
  <c r="T122" i="1"/>
  <c r="O122" i="1"/>
  <c r="R122" i="1"/>
  <c r="U122" i="1"/>
  <c r="Y121" i="1"/>
  <c r="Z121" i="1"/>
  <c r="X121" i="1"/>
  <c r="W121" i="1"/>
  <c r="A125" i="1"/>
  <c r="J124" i="1" l="1"/>
  <c r="K124" i="1"/>
  <c r="E124" i="1"/>
  <c r="I124" i="1"/>
  <c r="B125" i="1"/>
  <c r="C125" i="1"/>
  <c r="D125" i="1" s="1"/>
  <c r="M123" i="1"/>
  <c r="L123" i="1"/>
  <c r="F123" i="1"/>
  <c r="H123" i="1"/>
  <c r="G123" i="1"/>
  <c r="U123" i="1"/>
  <c r="V123" i="1"/>
  <c r="O123" i="1"/>
  <c r="P123" i="1"/>
  <c r="S123" i="1"/>
  <c r="R123" i="1"/>
  <c r="Q123" i="1"/>
  <c r="T123" i="1"/>
  <c r="Z122" i="1"/>
  <c r="W122" i="1"/>
  <c r="X122" i="1"/>
  <c r="Y122" i="1"/>
  <c r="N124" i="1"/>
  <c r="A126" i="1"/>
  <c r="J125" i="1" l="1"/>
  <c r="K125" i="1"/>
  <c r="E125" i="1"/>
  <c r="I125" i="1"/>
  <c r="C126" i="1"/>
  <c r="D126" i="1" s="1"/>
  <c r="B126" i="1"/>
  <c r="N125" i="1"/>
  <c r="M124" i="1"/>
  <c r="L124" i="1"/>
  <c r="G124" i="1"/>
  <c r="F124" i="1"/>
  <c r="H124" i="1"/>
  <c r="V124" i="1"/>
  <c r="U124" i="1"/>
  <c r="P124" i="1"/>
  <c r="O124" i="1"/>
  <c r="T124" i="1"/>
  <c r="Q124" i="1"/>
  <c r="R124" i="1"/>
  <c r="S124" i="1"/>
  <c r="Y123" i="1"/>
  <c r="X123" i="1"/>
  <c r="W123" i="1"/>
  <c r="Z123" i="1"/>
  <c r="A127" i="1"/>
  <c r="J126" i="1" l="1"/>
  <c r="K126" i="1"/>
  <c r="E126" i="1"/>
  <c r="I126" i="1"/>
  <c r="C127" i="1"/>
  <c r="D127" i="1" s="1"/>
  <c r="B127" i="1"/>
  <c r="U125" i="1"/>
  <c r="T125" i="1"/>
  <c r="O125" i="1"/>
  <c r="R125" i="1"/>
  <c r="S125" i="1"/>
  <c r="P125" i="1"/>
  <c r="V125" i="1"/>
  <c r="Q125" i="1"/>
  <c r="Y124" i="1"/>
  <c r="X124" i="1"/>
  <c r="W124" i="1"/>
  <c r="Z124" i="1"/>
  <c r="L125" i="1"/>
  <c r="G125" i="1"/>
  <c r="M125" i="1"/>
  <c r="F125" i="1"/>
  <c r="H125" i="1"/>
  <c r="N126" i="1"/>
  <c r="A128" i="1"/>
  <c r="J127" i="1" l="1"/>
  <c r="K127" i="1"/>
  <c r="E127" i="1"/>
  <c r="I127" i="1"/>
  <c r="B128" i="1"/>
  <c r="C128" i="1"/>
  <c r="D128" i="1" s="1"/>
  <c r="M126" i="1"/>
  <c r="F126" i="1"/>
  <c r="L126" i="1"/>
  <c r="H126" i="1"/>
  <c r="G126" i="1"/>
  <c r="N127" i="1"/>
  <c r="V126" i="1"/>
  <c r="S126" i="1"/>
  <c r="P126" i="1"/>
  <c r="Q126" i="1"/>
  <c r="T126" i="1"/>
  <c r="O126" i="1"/>
  <c r="R126" i="1"/>
  <c r="U126" i="1"/>
  <c r="X125" i="1"/>
  <c r="W125" i="1"/>
  <c r="Y125" i="1"/>
  <c r="Z125" i="1"/>
  <c r="A129" i="1"/>
  <c r="J128" i="1" l="1"/>
  <c r="K128" i="1"/>
  <c r="E128" i="1"/>
  <c r="I128" i="1"/>
  <c r="C129" i="1"/>
  <c r="D129" i="1" s="1"/>
  <c r="B129" i="1"/>
  <c r="L127" i="1"/>
  <c r="F127" i="1"/>
  <c r="M127" i="1"/>
  <c r="G127" i="1"/>
  <c r="H127" i="1"/>
  <c r="N128" i="1"/>
  <c r="U127" i="1"/>
  <c r="V127" i="1"/>
  <c r="O127" i="1"/>
  <c r="P127" i="1"/>
  <c r="S127" i="1"/>
  <c r="R127" i="1"/>
  <c r="Q127" i="1"/>
  <c r="T127" i="1"/>
  <c r="W126" i="1"/>
  <c r="Y126" i="1"/>
  <c r="Z126" i="1"/>
  <c r="X126" i="1"/>
  <c r="A130" i="1"/>
  <c r="J129" i="1" l="1"/>
  <c r="K129" i="1"/>
  <c r="E129" i="1"/>
  <c r="I129" i="1"/>
  <c r="B130" i="1"/>
  <c r="C130" i="1"/>
  <c r="D130" i="1" s="1"/>
  <c r="G128" i="1"/>
  <c r="M128" i="1"/>
  <c r="F128" i="1"/>
  <c r="L128" i="1"/>
  <c r="H128" i="1"/>
  <c r="N129" i="1"/>
  <c r="V128" i="1"/>
  <c r="U128" i="1"/>
  <c r="P128" i="1"/>
  <c r="O128" i="1"/>
  <c r="T128" i="1"/>
  <c r="Q128" i="1"/>
  <c r="R128" i="1"/>
  <c r="S128" i="1"/>
  <c r="Y127" i="1"/>
  <c r="X127" i="1"/>
  <c r="W127" i="1"/>
  <c r="Z127" i="1"/>
  <c r="A131" i="1"/>
  <c r="J130" i="1" l="1"/>
  <c r="K130" i="1"/>
  <c r="E130" i="1"/>
  <c r="I130" i="1"/>
  <c r="B131" i="1"/>
  <c r="C131" i="1"/>
  <c r="D131" i="1" s="1"/>
  <c r="G129" i="1"/>
  <c r="L129" i="1"/>
  <c r="M129" i="1"/>
  <c r="F129" i="1"/>
  <c r="H129" i="1"/>
  <c r="U129" i="1"/>
  <c r="T129" i="1"/>
  <c r="O129" i="1"/>
  <c r="R129" i="1"/>
  <c r="S129" i="1"/>
  <c r="P129" i="1"/>
  <c r="Q129" i="1"/>
  <c r="V129" i="1"/>
  <c r="X128" i="1"/>
  <c r="Y128" i="1"/>
  <c r="W128" i="1"/>
  <c r="Z128" i="1"/>
  <c r="N130" i="1"/>
  <c r="A132" i="1"/>
  <c r="J131" i="1" l="1"/>
  <c r="K131" i="1"/>
  <c r="E131" i="1"/>
  <c r="I131" i="1"/>
  <c r="B132" i="1"/>
  <c r="C132" i="1"/>
  <c r="D132" i="1" s="1"/>
  <c r="M130" i="1"/>
  <c r="F130" i="1"/>
  <c r="L130" i="1"/>
  <c r="G130" i="1"/>
  <c r="H130" i="1"/>
  <c r="N131" i="1"/>
  <c r="V130" i="1"/>
  <c r="S130" i="1"/>
  <c r="P130" i="1"/>
  <c r="Q130" i="1"/>
  <c r="T130" i="1"/>
  <c r="O130" i="1"/>
  <c r="R130" i="1"/>
  <c r="U130" i="1"/>
  <c r="W129" i="1"/>
  <c r="Y129" i="1"/>
  <c r="X129" i="1"/>
  <c r="Z129" i="1"/>
  <c r="A133" i="1"/>
  <c r="J132" i="1" l="1"/>
  <c r="K132" i="1"/>
  <c r="E132" i="1"/>
  <c r="I132" i="1"/>
  <c r="C133" i="1"/>
  <c r="D133" i="1" s="1"/>
  <c r="B133" i="1"/>
  <c r="G131" i="1"/>
  <c r="M131" i="1"/>
  <c r="L131" i="1"/>
  <c r="F131" i="1"/>
  <c r="H131" i="1"/>
  <c r="U131" i="1"/>
  <c r="V131" i="1"/>
  <c r="O131" i="1"/>
  <c r="P131" i="1"/>
  <c r="S131" i="1"/>
  <c r="R131" i="1"/>
  <c r="Q131" i="1"/>
  <c r="T131" i="1"/>
  <c r="W130" i="1"/>
  <c r="X130" i="1"/>
  <c r="Z130" i="1"/>
  <c r="Y130" i="1"/>
  <c r="N132" i="1"/>
  <c r="A134" i="1"/>
  <c r="J133" i="1" l="1"/>
  <c r="K133" i="1"/>
  <c r="E133" i="1"/>
  <c r="I133" i="1"/>
  <c r="C134" i="1"/>
  <c r="D134" i="1" s="1"/>
  <c r="B134" i="1"/>
  <c r="G132" i="1"/>
  <c r="L132" i="1"/>
  <c r="H132" i="1"/>
  <c r="F132" i="1"/>
  <c r="M132" i="1"/>
  <c r="N133" i="1"/>
  <c r="V132" i="1"/>
  <c r="U132" i="1"/>
  <c r="P132" i="1"/>
  <c r="O132" i="1"/>
  <c r="T132" i="1"/>
  <c r="Q132" i="1"/>
  <c r="S132" i="1"/>
  <c r="R132" i="1"/>
  <c r="Z131" i="1"/>
  <c r="X131" i="1"/>
  <c r="Y131" i="1"/>
  <c r="W131" i="1"/>
  <c r="A135" i="1"/>
  <c r="J134" i="1" l="1"/>
  <c r="K134" i="1"/>
  <c r="E134" i="1"/>
  <c r="I134" i="1"/>
  <c r="B135" i="1"/>
  <c r="C135" i="1"/>
  <c r="D135" i="1" s="1"/>
  <c r="G133" i="1"/>
  <c r="M133" i="1"/>
  <c r="H133" i="1"/>
  <c r="F133" i="1"/>
  <c r="L133" i="1"/>
  <c r="U133" i="1"/>
  <c r="T133" i="1"/>
  <c r="O133" i="1"/>
  <c r="R133" i="1"/>
  <c r="S133" i="1"/>
  <c r="P133" i="1"/>
  <c r="Q133" i="1"/>
  <c r="V133" i="1"/>
  <c r="Y132" i="1"/>
  <c r="W132" i="1"/>
  <c r="X132" i="1"/>
  <c r="Z132" i="1"/>
  <c r="N134" i="1"/>
  <c r="A136" i="1"/>
  <c r="J135" i="1" l="1"/>
  <c r="K135" i="1"/>
  <c r="E135" i="1"/>
  <c r="I135" i="1"/>
  <c r="C136" i="1"/>
  <c r="D136" i="1" s="1"/>
  <c r="B136" i="1"/>
  <c r="N135" i="1"/>
  <c r="L134" i="1"/>
  <c r="H134" i="1"/>
  <c r="M134" i="1"/>
  <c r="F134" i="1"/>
  <c r="G134" i="1"/>
  <c r="V134" i="1"/>
  <c r="S134" i="1"/>
  <c r="P134" i="1"/>
  <c r="Q134" i="1"/>
  <c r="T134" i="1"/>
  <c r="O134" i="1"/>
  <c r="U134" i="1"/>
  <c r="R134" i="1"/>
  <c r="W133" i="1"/>
  <c r="Z133" i="1"/>
  <c r="Y133" i="1"/>
  <c r="X133" i="1"/>
  <c r="A137" i="1"/>
  <c r="J136" i="1" l="1"/>
  <c r="K136" i="1"/>
  <c r="E136" i="1"/>
  <c r="I136" i="1"/>
  <c r="B137" i="1"/>
  <c r="C137" i="1"/>
  <c r="D137" i="1" s="1"/>
  <c r="G135" i="1"/>
  <c r="L135" i="1"/>
  <c r="M135" i="1"/>
  <c r="H135" i="1"/>
  <c r="F135" i="1"/>
  <c r="U135" i="1"/>
  <c r="V135" i="1"/>
  <c r="O135" i="1"/>
  <c r="P135" i="1"/>
  <c r="S135" i="1"/>
  <c r="R135" i="1"/>
  <c r="Q135" i="1"/>
  <c r="T135" i="1"/>
  <c r="X134" i="1"/>
  <c r="Z134" i="1"/>
  <c r="W134" i="1"/>
  <c r="Y134" i="1"/>
  <c r="N136" i="1"/>
  <c r="A138" i="1"/>
  <c r="J137" i="1" l="1"/>
  <c r="K137" i="1"/>
  <c r="E137" i="1"/>
  <c r="I137" i="1"/>
  <c r="B138" i="1"/>
  <c r="C138" i="1"/>
  <c r="D138" i="1" s="1"/>
  <c r="M136" i="1"/>
  <c r="G136" i="1"/>
  <c r="F136" i="1"/>
  <c r="L136" i="1"/>
  <c r="H136" i="1"/>
  <c r="S136" i="1"/>
  <c r="V136" i="1"/>
  <c r="P136" i="1"/>
  <c r="U136" i="1"/>
  <c r="O136" i="1"/>
  <c r="T136" i="1"/>
  <c r="R136" i="1"/>
  <c r="Q136" i="1"/>
  <c r="W135" i="1"/>
  <c r="X135" i="1"/>
  <c r="Z135" i="1"/>
  <c r="Y135" i="1"/>
  <c r="N137" i="1"/>
  <c r="A139" i="1"/>
  <c r="J138" i="1" l="1"/>
  <c r="K138" i="1"/>
  <c r="E138" i="1"/>
  <c r="I138" i="1"/>
  <c r="C139" i="1"/>
  <c r="D139" i="1" s="1"/>
  <c r="B139" i="1"/>
  <c r="V137" i="1"/>
  <c r="U137" i="1"/>
  <c r="P137" i="1"/>
  <c r="O137" i="1"/>
  <c r="T137" i="1"/>
  <c r="S137" i="1"/>
  <c r="R137" i="1"/>
  <c r="Q137" i="1"/>
  <c r="W136" i="1"/>
  <c r="X136" i="1"/>
  <c r="Y136" i="1"/>
  <c r="Z136" i="1"/>
  <c r="N138" i="1"/>
  <c r="M137" i="1"/>
  <c r="L137" i="1"/>
  <c r="F137" i="1"/>
  <c r="G137" i="1"/>
  <c r="H137" i="1"/>
  <c r="A140" i="1"/>
  <c r="J139" i="1" l="1"/>
  <c r="K139" i="1"/>
  <c r="E139" i="1"/>
  <c r="I139" i="1"/>
  <c r="C140" i="1"/>
  <c r="D140" i="1" s="1"/>
  <c r="B140" i="1"/>
  <c r="U138" i="1"/>
  <c r="V138" i="1"/>
  <c r="O138" i="1"/>
  <c r="P138" i="1"/>
  <c r="S138" i="1"/>
  <c r="T138" i="1"/>
  <c r="Q138" i="1"/>
  <c r="R138" i="1"/>
  <c r="X137" i="1"/>
  <c r="Z137" i="1"/>
  <c r="W137" i="1"/>
  <c r="Y137" i="1"/>
  <c r="N139" i="1"/>
  <c r="G138" i="1"/>
  <c r="L138" i="1"/>
  <c r="F138" i="1"/>
  <c r="H138" i="1"/>
  <c r="M138" i="1"/>
  <c r="A141" i="1"/>
  <c r="J140" i="1" l="1"/>
  <c r="K140" i="1"/>
  <c r="E140" i="1"/>
  <c r="I140" i="1"/>
  <c r="B141" i="1"/>
  <c r="C141" i="1"/>
  <c r="D141" i="1" s="1"/>
  <c r="L139" i="1"/>
  <c r="G139" i="1"/>
  <c r="M139" i="1"/>
  <c r="H139" i="1"/>
  <c r="F139" i="1"/>
  <c r="N140" i="1"/>
  <c r="V139" i="1"/>
  <c r="U139" i="1"/>
  <c r="P139" i="1"/>
  <c r="O139" i="1"/>
  <c r="T139" i="1"/>
  <c r="S139" i="1"/>
  <c r="X138" i="1"/>
  <c r="R139" i="1"/>
  <c r="Q139" i="1"/>
  <c r="W138" i="1"/>
  <c r="Y138" i="1"/>
  <c r="Z138" i="1"/>
  <c r="A142" i="1"/>
  <c r="J141" i="1" l="1"/>
  <c r="K141" i="1"/>
  <c r="E141" i="1"/>
  <c r="I141" i="1"/>
  <c r="B142" i="1"/>
  <c r="C142" i="1"/>
  <c r="D142" i="1" s="1"/>
  <c r="N141" i="1"/>
  <c r="H140" i="1"/>
  <c r="M140" i="1"/>
  <c r="F140" i="1"/>
  <c r="G140" i="1"/>
  <c r="L140" i="1"/>
  <c r="U140" i="1"/>
  <c r="V140" i="1"/>
  <c r="O140" i="1"/>
  <c r="P140" i="1"/>
  <c r="S140" i="1"/>
  <c r="T140" i="1"/>
  <c r="Q140" i="1"/>
  <c r="R140" i="1"/>
  <c r="W139" i="1"/>
  <c r="Z139" i="1"/>
  <c r="X139" i="1"/>
  <c r="Y139" i="1"/>
  <c r="A143" i="1"/>
  <c r="J142" i="1" l="1"/>
  <c r="K142" i="1"/>
  <c r="E142" i="1"/>
  <c r="I142" i="1"/>
  <c r="C143" i="1"/>
  <c r="D143" i="1" s="1"/>
  <c r="B143" i="1"/>
  <c r="V141" i="1"/>
  <c r="U141" i="1"/>
  <c r="P141" i="1"/>
  <c r="O141" i="1"/>
  <c r="T141" i="1"/>
  <c r="S141" i="1"/>
  <c r="R141" i="1"/>
  <c r="Q141" i="1"/>
  <c r="W140" i="1"/>
  <c r="Z140" i="1"/>
  <c r="X140" i="1"/>
  <c r="Y140" i="1"/>
  <c r="G141" i="1"/>
  <c r="M141" i="1"/>
  <c r="H141" i="1"/>
  <c r="L141" i="1"/>
  <c r="F141" i="1"/>
  <c r="N142" i="1"/>
  <c r="A144" i="1"/>
  <c r="J143" i="1" l="1"/>
  <c r="K143" i="1"/>
  <c r="E143" i="1"/>
  <c r="I143" i="1"/>
  <c r="B144" i="1"/>
  <c r="C144" i="1"/>
  <c r="D144" i="1" s="1"/>
  <c r="U142" i="1"/>
  <c r="V142" i="1"/>
  <c r="P142" i="1"/>
  <c r="Q142" i="1"/>
  <c r="R142" i="1"/>
  <c r="O142" i="1"/>
  <c r="S142" i="1"/>
  <c r="T142" i="1"/>
  <c r="Y141" i="1"/>
  <c r="Z141" i="1"/>
  <c r="X141" i="1"/>
  <c r="W141" i="1"/>
  <c r="F142" i="1"/>
  <c r="M142" i="1"/>
  <c r="G142" i="1"/>
  <c r="L142" i="1"/>
  <c r="H142" i="1"/>
  <c r="N143" i="1"/>
  <c r="A145" i="1"/>
  <c r="J144" i="1" l="1"/>
  <c r="K144" i="1"/>
  <c r="E144" i="1"/>
  <c r="I144" i="1"/>
  <c r="C145" i="1"/>
  <c r="D145" i="1" s="1"/>
  <c r="B145" i="1"/>
  <c r="N144" i="1"/>
  <c r="M143" i="1"/>
  <c r="L143" i="1"/>
  <c r="H143" i="1"/>
  <c r="G143" i="1"/>
  <c r="F143" i="1"/>
  <c r="V143" i="1"/>
  <c r="U143" i="1"/>
  <c r="P143" i="1"/>
  <c r="R143" i="1"/>
  <c r="Q143" i="1"/>
  <c r="O143" i="1"/>
  <c r="T143" i="1"/>
  <c r="S143" i="1"/>
  <c r="Y142" i="1"/>
  <c r="X142" i="1"/>
  <c r="W142" i="1"/>
  <c r="Z142" i="1"/>
  <c r="A146" i="1"/>
  <c r="J145" i="1" l="1"/>
  <c r="K145" i="1"/>
  <c r="E145" i="1"/>
  <c r="I145" i="1"/>
  <c r="C146" i="1"/>
  <c r="D146" i="1" s="1"/>
  <c r="B146" i="1"/>
  <c r="F144" i="1"/>
  <c r="H144" i="1"/>
  <c r="L144" i="1"/>
  <c r="G144" i="1"/>
  <c r="M144" i="1"/>
  <c r="N145" i="1"/>
  <c r="U144" i="1"/>
  <c r="V144" i="1"/>
  <c r="P144" i="1"/>
  <c r="Q144" i="1"/>
  <c r="R144" i="1"/>
  <c r="O144" i="1"/>
  <c r="S144" i="1"/>
  <c r="T144" i="1"/>
  <c r="Y143" i="1"/>
  <c r="Z143" i="1"/>
  <c r="X143" i="1"/>
  <c r="W143" i="1"/>
  <c r="A147" i="1"/>
  <c r="J146" i="1" l="1"/>
  <c r="K146" i="1"/>
  <c r="E146" i="1"/>
  <c r="I146" i="1"/>
  <c r="C147" i="1"/>
  <c r="D147" i="1" s="1"/>
  <c r="B147" i="1"/>
  <c r="V145" i="1"/>
  <c r="U145" i="1"/>
  <c r="R145" i="1"/>
  <c r="Q145" i="1"/>
  <c r="O145" i="1"/>
  <c r="T145" i="1"/>
  <c r="S145" i="1"/>
  <c r="P145" i="1"/>
  <c r="W144" i="1"/>
  <c r="Y144" i="1"/>
  <c r="X144" i="1"/>
  <c r="Z144" i="1"/>
  <c r="N146" i="1"/>
  <c r="L145" i="1"/>
  <c r="M145" i="1"/>
  <c r="G145" i="1"/>
  <c r="H145" i="1"/>
  <c r="F145" i="1"/>
  <c r="A148" i="1"/>
  <c r="J147" i="1" l="1"/>
  <c r="K147" i="1"/>
  <c r="E147" i="1"/>
  <c r="I147" i="1"/>
  <c r="B148" i="1"/>
  <c r="C148" i="1"/>
  <c r="D148" i="1" s="1"/>
  <c r="N147" i="1"/>
  <c r="F146" i="1"/>
  <c r="L146" i="1"/>
  <c r="G146" i="1"/>
  <c r="H146" i="1"/>
  <c r="M146" i="1"/>
  <c r="U146" i="1"/>
  <c r="V146" i="1"/>
  <c r="Q146" i="1"/>
  <c r="O146" i="1"/>
  <c r="P146" i="1"/>
  <c r="S146" i="1"/>
  <c r="T146" i="1"/>
  <c r="R146" i="1"/>
  <c r="Z145" i="1"/>
  <c r="X145" i="1"/>
  <c r="W145" i="1"/>
  <c r="Y145" i="1"/>
  <c r="A149" i="1"/>
  <c r="J148" i="1" l="1"/>
  <c r="K148" i="1"/>
  <c r="E148" i="1"/>
  <c r="I148" i="1"/>
  <c r="C149" i="1"/>
  <c r="D149" i="1" s="1"/>
  <c r="B149" i="1"/>
  <c r="V147" i="1"/>
  <c r="U147" i="1"/>
  <c r="O147" i="1"/>
  <c r="R147" i="1"/>
  <c r="Q147" i="1"/>
  <c r="T147" i="1"/>
  <c r="S147" i="1"/>
  <c r="P147" i="1"/>
  <c r="W146" i="1"/>
  <c r="Y146" i="1"/>
  <c r="X146" i="1"/>
  <c r="Z146" i="1"/>
  <c r="M147" i="1"/>
  <c r="F147" i="1"/>
  <c r="L147" i="1"/>
  <c r="H147" i="1"/>
  <c r="G147" i="1"/>
  <c r="N148" i="1"/>
  <c r="A150" i="1"/>
  <c r="J149" i="1" l="1"/>
  <c r="K149" i="1"/>
  <c r="E149" i="1"/>
  <c r="I149" i="1"/>
  <c r="C150" i="1"/>
  <c r="D150" i="1" s="1"/>
  <c r="B150" i="1"/>
  <c r="N149" i="1"/>
  <c r="M148" i="1"/>
  <c r="L148" i="1"/>
  <c r="G148" i="1"/>
  <c r="H148" i="1"/>
  <c r="F148" i="1"/>
  <c r="U148" i="1"/>
  <c r="V148" i="1"/>
  <c r="Q148" i="1"/>
  <c r="R148" i="1"/>
  <c r="P148" i="1"/>
  <c r="S148" i="1"/>
  <c r="T148" i="1"/>
  <c r="O148" i="1"/>
  <c r="X147" i="1"/>
  <c r="W147" i="1"/>
  <c r="Z147" i="1"/>
  <c r="Y147" i="1"/>
  <c r="A151" i="1"/>
  <c r="J150" i="1" l="1"/>
  <c r="K150" i="1"/>
  <c r="E150" i="1"/>
  <c r="I150" i="1"/>
  <c r="B151" i="1"/>
  <c r="C151" i="1"/>
  <c r="D151" i="1" s="1"/>
  <c r="L149" i="1"/>
  <c r="G149" i="1"/>
  <c r="F149" i="1"/>
  <c r="H149" i="1"/>
  <c r="M149" i="1"/>
  <c r="N150" i="1"/>
  <c r="V149" i="1"/>
  <c r="U149" i="1"/>
  <c r="R149" i="1"/>
  <c r="Q149" i="1"/>
  <c r="P149" i="1"/>
  <c r="T149" i="1"/>
  <c r="S149" i="1"/>
  <c r="O149" i="1"/>
  <c r="Y148" i="1"/>
  <c r="Z148" i="1"/>
  <c r="X148" i="1"/>
  <c r="W148" i="1"/>
  <c r="A152" i="1"/>
  <c r="J151" i="1" l="1"/>
  <c r="K151" i="1"/>
  <c r="E151" i="1"/>
  <c r="I151" i="1"/>
  <c r="C152" i="1"/>
  <c r="D152" i="1" s="1"/>
  <c r="B152" i="1"/>
  <c r="U150" i="1"/>
  <c r="V150" i="1"/>
  <c r="P150" i="1"/>
  <c r="Q150" i="1"/>
  <c r="R150" i="1"/>
  <c r="O150" i="1"/>
  <c r="S150" i="1"/>
  <c r="T150" i="1"/>
  <c r="Y149" i="1"/>
  <c r="Z149" i="1"/>
  <c r="X149" i="1"/>
  <c r="W149" i="1"/>
  <c r="N151" i="1"/>
  <c r="L150" i="1"/>
  <c r="G150" i="1"/>
  <c r="F150" i="1"/>
  <c r="M150" i="1"/>
  <c r="H150" i="1"/>
  <c r="A153" i="1"/>
  <c r="J152" i="1" l="1"/>
  <c r="K152" i="1"/>
  <c r="E152" i="1"/>
  <c r="I152" i="1"/>
  <c r="C153" i="1"/>
  <c r="D153" i="1" s="1"/>
  <c r="B153" i="1"/>
  <c r="V151" i="1"/>
  <c r="U151" i="1"/>
  <c r="P151" i="1"/>
  <c r="O151" i="1"/>
  <c r="R151" i="1"/>
  <c r="T151" i="1"/>
  <c r="S151" i="1"/>
  <c r="Q151" i="1"/>
  <c r="Y150" i="1"/>
  <c r="Z150" i="1"/>
  <c r="W150" i="1"/>
  <c r="X150" i="1"/>
  <c r="L151" i="1"/>
  <c r="G151" i="1"/>
  <c r="F151" i="1"/>
  <c r="H151" i="1"/>
  <c r="M151" i="1"/>
  <c r="N152" i="1"/>
  <c r="A154" i="1"/>
  <c r="J153" i="1" l="1"/>
  <c r="K153" i="1"/>
  <c r="E153" i="1"/>
  <c r="I153" i="1"/>
  <c r="C154" i="1"/>
  <c r="D154" i="1" s="1"/>
  <c r="B154" i="1"/>
  <c r="U152" i="1"/>
  <c r="V152" i="1"/>
  <c r="O152" i="1"/>
  <c r="Q152" i="1"/>
  <c r="R152" i="1"/>
  <c r="S152" i="1"/>
  <c r="T152" i="1"/>
  <c r="P152" i="1"/>
  <c r="Y151" i="1"/>
  <c r="X151" i="1"/>
  <c r="W151" i="1"/>
  <c r="Z151" i="1"/>
  <c r="H152" i="1"/>
  <c r="G152" i="1"/>
  <c r="M152" i="1"/>
  <c r="L152" i="1"/>
  <c r="F152" i="1"/>
  <c r="N153" i="1"/>
  <c r="A155" i="1"/>
  <c r="J154" i="1" l="1"/>
  <c r="K154" i="1"/>
  <c r="E154" i="1"/>
  <c r="I154" i="1"/>
  <c r="C155" i="1"/>
  <c r="D155" i="1" s="1"/>
  <c r="B155" i="1"/>
  <c r="F153" i="1"/>
  <c r="M153" i="1"/>
  <c r="G153" i="1"/>
  <c r="L153" i="1"/>
  <c r="H153" i="1"/>
  <c r="V153" i="1"/>
  <c r="U153" i="1"/>
  <c r="P153" i="1"/>
  <c r="R153" i="1"/>
  <c r="Q153" i="1"/>
  <c r="O153" i="1"/>
  <c r="T153" i="1"/>
  <c r="S153" i="1"/>
  <c r="Z152" i="1"/>
  <c r="X152" i="1"/>
  <c r="Y152" i="1"/>
  <c r="W152" i="1"/>
  <c r="N154" i="1"/>
  <c r="A156" i="1"/>
  <c r="J155" i="1" l="1"/>
  <c r="K155" i="1"/>
  <c r="E155" i="1"/>
  <c r="I155" i="1"/>
  <c r="B156" i="1"/>
  <c r="C156" i="1"/>
  <c r="D156" i="1" s="1"/>
  <c r="U154" i="1"/>
  <c r="V154" i="1"/>
  <c r="Q154" i="1"/>
  <c r="O154" i="1"/>
  <c r="P154" i="1"/>
  <c r="R154" i="1"/>
  <c r="S154" i="1"/>
  <c r="T154" i="1"/>
  <c r="W153" i="1"/>
  <c r="Y153" i="1"/>
  <c r="Z153" i="1"/>
  <c r="X153" i="1"/>
  <c r="N155" i="1"/>
  <c r="M154" i="1"/>
  <c r="H154" i="1"/>
  <c r="G154" i="1"/>
  <c r="F154" i="1"/>
  <c r="L154" i="1"/>
  <c r="A157" i="1"/>
  <c r="J156" i="1" l="1"/>
  <c r="K156" i="1"/>
  <c r="E156" i="1"/>
  <c r="I156" i="1"/>
  <c r="B157" i="1"/>
  <c r="C157" i="1"/>
  <c r="D157" i="1" s="1"/>
  <c r="V155" i="1"/>
  <c r="U155" i="1"/>
  <c r="P155" i="1"/>
  <c r="R155" i="1"/>
  <c r="Q155" i="1"/>
  <c r="T155" i="1"/>
  <c r="S155" i="1"/>
  <c r="O155" i="1"/>
  <c r="Y154" i="1"/>
  <c r="X154" i="1"/>
  <c r="W154" i="1"/>
  <c r="Z154" i="1"/>
  <c r="M155" i="1"/>
  <c r="F155" i="1"/>
  <c r="H155" i="1"/>
  <c r="L155" i="1"/>
  <c r="G155" i="1"/>
  <c r="N156" i="1"/>
  <c r="A158" i="1"/>
  <c r="J157" i="1" l="1"/>
  <c r="K157" i="1"/>
  <c r="E157" i="1"/>
  <c r="I157" i="1"/>
  <c r="C158" i="1"/>
  <c r="D158" i="1" s="1"/>
  <c r="B158" i="1"/>
  <c r="U156" i="1"/>
  <c r="V156" i="1"/>
  <c r="P156" i="1"/>
  <c r="Q156" i="1"/>
  <c r="R156" i="1"/>
  <c r="O156" i="1"/>
  <c r="S156" i="1"/>
  <c r="T156" i="1"/>
  <c r="Y155" i="1"/>
  <c r="X155" i="1"/>
  <c r="W155" i="1"/>
  <c r="Z155" i="1"/>
  <c r="N157" i="1"/>
  <c r="L156" i="1"/>
  <c r="F156" i="1"/>
  <c r="G156" i="1"/>
  <c r="M156" i="1"/>
  <c r="H156" i="1"/>
  <c r="A159" i="1"/>
  <c r="J158" i="1" l="1"/>
  <c r="K158" i="1"/>
  <c r="E158" i="1"/>
  <c r="I158" i="1"/>
  <c r="C159" i="1"/>
  <c r="D159" i="1" s="1"/>
  <c r="B159" i="1"/>
  <c r="N158" i="1"/>
  <c r="V157" i="1"/>
  <c r="U157" i="1"/>
  <c r="R157" i="1"/>
  <c r="Q157" i="1"/>
  <c r="P157" i="1"/>
  <c r="T157" i="1"/>
  <c r="S157" i="1"/>
  <c r="O157" i="1"/>
  <c r="X156" i="1"/>
  <c r="Y156" i="1"/>
  <c r="Z156" i="1"/>
  <c r="W156" i="1"/>
  <c r="L157" i="1"/>
  <c r="H157" i="1"/>
  <c r="F157" i="1"/>
  <c r="G157" i="1"/>
  <c r="M157" i="1"/>
  <c r="A160" i="1"/>
  <c r="J159" i="1" l="1"/>
  <c r="K159" i="1"/>
  <c r="E159" i="1"/>
  <c r="I159" i="1"/>
  <c r="B160" i="1"/>
  <c r="C160" i="1"/>
  <c r="D160" i="1" s="1"/>
  <c r="U158" i="1"/>
  <c r="V158" i="1"/>
  <c r="O158" i="1"/>
  <c r="Q158" i="1"/>
  <c r="R158" i="1"/>
  <c r="P158" i="1"/>
  <c r="S158" i="1"/>
  <c r="T158" i="1"/>
  <c r="Y157" i="1"/>
  <c r="X157" i="1"/>
  <c r="Z157" i="1"/>
  <c r="W157" i="1"/>
  <c r="M158" i="1"/>
  <c r="H158" i="1"/>
  <c r="F158" i="1"/>
  <c r="L158" i="1"/>
  <c r="G158" i="1"/>
  <c r="N159" i="1"/>
  <c r="A161" i="1"/>
  <c r="J160" i="1" l="1"/>
  <c r="K160" i="1"/>
  <c r="E160" i="1"/>
  <c r="I160" i="1"/>
  <c r="C161" i="1"/>
  <c r="D161" i="1" s="1"/>
  <c r="B161" i="1"/>
  <c r="M159" i="1"/>
  <c r="F159" i="1"/>
  <c r="L159" i="1"/>
  <c r="G159" i="1"/>
  <c r="H159" i="1"/>
  <c r="V159" i="1"/>
  <c r="U159" i="1"/>
  <c r="R159" i="1"/>
  <c r="Q159" i="1"/>
  <c r="P159" i="1"/>
  <c r="T159" i="1"/>
  <c r="S159" i="1"/>
  <c r="O159" i="1"/>
  <c r="X158" i="1"/>
  <c r="Y158" i="1"/>
  <c r="W158" i="1"/>
  <c r="Z158" i="1"/>
  <c r="N160" i="1"/>
  <c r="A162" i="1"/>
  <c r="J161" i="1" l="1"/>
  <c r="K161" i="1"/>
  <c r="E161" i="1"/>
  <c r="I161" i="1"/>
  <c r="C162" i="1"/>
  <c r="D162" i="1" s="1"/>
  <c r="B162" i="1"/>
  <c r="L160" i="1"/>
  <c r="M160" i="1"/>
  <c r="H160" i="1"/>
  <c r="F160" i="1"/>
  <c r="G160" i="1"/>
  <c r="U160" i="1"/>
  <c r="V160" i="1"/>
  <c r="T160" i="1"/>
  <c r="O160" i="1"/>
  <c r="P160" i="1"/>
  <c r="S160" i="1"/>
  <c r="Q160" i="1"/>
  <c r="R160" i="1"/>
  <c r="Z159" i="1"/>
  <c r="W159" i="1"/>
  <c r="X159" i="1"/>
  <c r="Y159" i="1"/>
  <c r="N161" i="1"/>
  <c r="A163" i="1"/>
  <c r="J162" i="1" l="1"/>
  <c r="K162" i="1"/>
  <c r="E162" i="1"/>
  <c r="I162" i="1"/>
  <c r="C163" i="1"/>
  <c r="D163" i="1" s="1"/>
  <c r="B163" i="1"/>
  <c r="N162" i="1"/>
  <c r="G161" i="1"/>
  <c r="F161" i="1"/>
  <c r="L161" i="1"/>
  <c r="M161" i="1"/>
  <c r="H161" i="1"/>
  <c r="V161" i="1"/>
  <c r="U161" i="1"/>
  <c r="P161" i="1"/>
  <c r="O161" i="1"/>
  <c r="R161" i="1"/>
  <c r="Q161" i="1"/>
  <c r="T161" i="1"/>
  <c r="S161" i="1"/>
  <c r="W160" i="1"/>
  <c r="Y160" i="1"/>
  <c r="X160" i="1"/>
  <c r="Z160" i="1"/>
  <c r="A164" i="1"/>
  <c r="J163" i="1" l="1"/>
  <c r="K163" i="1"/>
  <c r="E163" i="1"/>
  <c r="I163" i="1"/>
  <c r="C164" i="1"/>
  <c r="D164" i="1" s="1"/>
  <c r="B164" i="1"/>
  <c r="U162" i="1"/>
  <c r="V162" i="1"/>
  <c r="S162" i="1"/>
  <c r="O162" i="1"/>
  <c r="P162" i="1"/>
  <c r="T162" i="1"/>
  <c r="Q162" i="1"/>
  <c r="R162" i="1"/>
  <c r="Y161" i="1"/>
  <c r="Z161" i="1"/>
  <c r="W161" i="1"/>
  <c r="X161" i="1"/>
  <c r="M162" i="1"/>
  <c r="G162" i="1"/>
  <c r="L162" i="1"/>
  <c r="H162" i="1"/>
  <c r="F162" i="1"/>
  <c r="N163" i="1"/>
  <c r="A165" i="1"/>
  <c r="J164" i="1" l="1"/>
  <c r="K164" i="1"/>
  <c r="E164" i="1"/>
  <c r="I164" i="1"/>
  <c r="B165" i="1"/>
  <c r="C165" i="1"/>
  <c r="D165" i="1" s="1"/>
  <c r="L163" i="1"/>
  <c r="F163" i="1"/>
  <c r="M163" i="1"/>
  <c r="H163" i="1"/>
  <c r="G163" i="1"/>
  <c r="P163" i="1"/>
  <c r="O163" i="1"/>
  <c r="R163" i="1"/>
  <c r="Q163" i="1"/>
  <c r="T163" i="1"/>
  <c r="S163" i="1"/>
  <c r="U163" i="1"/>
  <c r="V163" i="1"/>
  <c r="X162" i="1"/>
  <c r="W162" i="1"/>
  <c r="Y162" i="1"/>
  <c r="Z162" i="1"/>
  <c r="N164" i="1"/>
  <c r="A166" i="1"/>
  <c r="J165" i="1" l="1"/>
  <c r="K165" i="1"/>
  <c r="E165" i="1"/>
  <c r="I165" i="1"/>
  <c r="B166" i="1"/>
  <c r="C166" i="1"/>
  <c r="D166" i="1" s="1"/>
  <c r="G164" i="1"/>
  <c r="L164" i="1"/>
  <c r="H164" i="1"/>
  <c r="F164" i="1"/>
  <c r="M164" i="1"/>
  <c r="N165" i="1"/>
  <c r="U164" i="1"/>
  <c r="V164" i="1"/>
  <c r="O164" i="1"/>
  <c r="P164" i="1"/>
  <c r="S164" i="1"/>
  <c r="Q164" i="1"/>
  <c r="R164" i="1"/>
  <c r="T164" i="1"/>
  <c r="Y163" i="1"/>
  <c r="W163" i="1"/>
  <c r="X163" i="1"/>
  <c r="Z163" i="1"/>
  <c r="A167" i="1"/>
  <c r="J166" i="1" l="1"/>
  <c r="K166" i="1"/>
  <c r="E166" i="1"/>
  <c r="I166" i="1"/>
  <c r="C167" i="1"/>
  <c r="D167" i="1" s="1"/>
  <c r="B167" i="1"/>
  <c r="M165" i="1"/>
  <c r="F165" i="1"/>
  <c r="L165" i="1"/>
  <c r="G165" i="1"/>
  <c r="H165" i="1"/>
  <c r="V165" i="1"/>
  <c r="U165" i="1"/>
  <c r="T165" i="1"/>
  <c r="P165" i="1"/>
  <c r="O165" i="1"/>
  <c r="R165" i="1"/>
  <c r="Q165" i="1"/>
  <c r="S165" i="1"/>
  <c r="Z164" i="1"/>
  <c r="X164" i="1"/>
  <c r="Y164" i="1"/>
  <c r="W164" i="1"/>
  <c r="N166" i="1"/>
  <c r="A168" i="1"/>
  <c r="J167" i="1" l="1"/>
  <c r="K167" i="1"/>
  <c r="E167" i="1"/>
  <c r="I167" i="1"/>
  <c r="B168" i="1"/>
  <c r="C168" i="1"/>
  <c r="D168" i="1" s="1"/>
  <c r="U166" i="1"/>
  <c r="V166" i="1"/>
  <c r="S166" i="1"/>
  <c r="O166" i="1"/>
  <c r="P166" i="1"/>
  <c r="Q166" i="1"/>
  <c r="R166" i="1"/>
  <c r="T166" i="1"/>
  <c r="Y165" i="1"/>
  <c r="Z165" i="1"/>
  <c r="W165" i="1"/>
  <c r="X165" i="1"/>
  <c r="G166" i="1"/>
  <c r="M166" i="1"/>
  <c r="L166" i="1"/>
  <c r="F166" i="1"/>
  <c r="H166" i="1"/>
  <c r="N167" i="1"/>
  <c r="A169" i="1"/>
  <c r="J168" i="1" l="1"/>
  <c r="K168" i="1"/>
  <c r="E168" i="1"/>
  <c r="I168" i="1"/>
  <c r="B169" i="1"/>
  <c r="C169" i="1"/>
  <c r="D169" i="1" s="1"/>
  <c r="N168" i="1"/>
  <c r="L167" i="1"/>
  <c r="M167" i="1"/>
  <c r="F167" i="1"/>
  <c r="G167" i="1"/>
  <c r="H167" i="1"/>
  <c r="V167" i="1"/>
  <c r="U167" i="1"/>
  <c r="S167" i="1"/>
  <c r="P167" i="1"/>
  <c r="O167" i="1"/>
  <c r="R167" i="1"/>
  <c r="Q167" i="1"/>
  <c r="T167" i="1"/>
  <c r="Y166" i="1"/>
  <c r="X166" i="1"/>
  <c r="Z166" i="1"/>
  <c r="W166" i="1"/>
  <c r="A170" i="1"/>
  <c r="J169" i="1" l="1"/>
  <c r="K169" i="1"/>
  <c r="E169" i="1"/>
  <c r="I169" i="1"/>
  <c r="B170" i="1"/>
  <c r="C170" i="1"/>
  <c r="D170" i="1" s="1"/>
  <c r="G168" i="1"/>
  <c r="M168" i="1"/>
  <c r="F168" i="1"/>
  <c r="H168" i="1"/>
  <c r="L168" i="1"/>
  <c r="U168" i="1"/>
  <c r="V168" i="1"/>
  <c r="S168" i="1"/>
  <c r="O168" i="1"/>
  <c r="P168" i="1"/>
  <c r="T168" i="1"/>
  <c r="Q168" i="1"/>
  <c r="R168" i="1"/>
  <c r="Z167" i="1"/>
  <c r="Y167" i="1"/>
  <c r="X167" i="1"/>
  <c r="W167" i="1"/>
  <c r="N169" i="1"/>
  <c r="A171" i="1"/>
  <c r="J170" i="1" l="1"/>
  <c r="K170" i="1"/>
  <c r="E170" i="1"/>
  <c r="I170" i="1"/>
  <c r="B171" i="1"/>
  <c r="C171" i="1"/>
  <c r="D171" i="1" s="1"/>
  <c r="V169" i="1"/>
  <c r="U169" i="1"/>
  <c r="T169" i="1"/>
  <c r="P169" i="1"/>
  <c r="O169" i="1"/>
  <c r="R169" i="1"/>
  <c r="Q169" i="1"/>
  <c r="S169" i="1"/>
  <c r="Z168" i="1"/>
  <c r="X168" i="1"/>
  <c r="Y168" i="1"/>
  <c r="W168" i="1"/>
  <c r="N170" i="1"/>
  <c r="M169" i="1"/>
  <c r="F169" i="1"/>
  <c r="G169" i="1"/>
  <c r="H169" i="1"/>
  <c r="L169" i="1"/>
  <c r="A172" i="1"/>
  <c r="J171" i="1" l="1"/>
  <c r="K171" i="1"/>
  <c r="E171" i="1"/>
  <c r="I171" i="1"/>
  <c r="B172" i="1"/>
  <c r="C172" i="1"/>
  <c r="D172" i="1" s="1"/>
  <c r="M170" i="1"/>
  <c r="L170" i="1"/>
  <c r="F170" i="1"/>
  <c r="H170" i="1"/>
  <c r="G170" i="1"/>
  <c r="U170" i="1"/>
  <c r="V170" i="1"/>
  <c r="T170" i="1"/>
  <c r="O170" i="1"/>
  <c r="P170" i="1"/>
  <c r="Q170" i="1"/>
  <c r="R170" i="1"/>
  <c r="S170" i="1"/>
  <c r="X169" i="1"/>
  <c r="W169" i="1"/>
  <c r="Z169" i="1"/>
  <c r="Y169" i="1"/>
  <c r="N171" i="1"/>
  <c r="A173" i="1"/>
  <c r="J172" i="1" l="1"/>
  <c r="K172" i="1"/>
  <c r="E172" i="1"/>
  <c r="I172" i="1"/>
  <c r="C173" i="1"/>
  <c r="D173" i="1" s="1"/>
  <c r="B173" i="1"/>
  <c r="F171" i="1"/>
  <c r="H171" i="1"/>
  <c r="M171" i="1"/>
  <c r="G171" i="1"/>
  <c r="L171" i="1"/>
  <c r="N172" i="1"/>
  <c r="V171" i="1"/>
  <c r="U171" i="1"/>
  <c r="T171" i="1"/>
  <c r="P171" i="1"/>
  <c r="O171" i="1"/>
  <c r="S171" i="1"/>
  <c r="R171" i="1"/>
  <c r="Q171" i="1"/>
  <c r="X170" i="1"/>
  <c r="Y170" i="1"/>
  <c r="W170" i="1"/>
  <c r="Z170" i="1"/>
  <c r="A174" i="1"/>
  <c r="J173" i="1" l="1"/>
  <c r="K173" i="1"/>
  <c r="E173" i="1"/>
  <c r="I173" i="1"/>
  <c r="B174" i="1"/>
  <c r="C174" i="1"/>
  <c r="D174" i="1" s="1"/>
  <c r="M172" i="1"/>
  <c r="L172" i="1"/>
  <c r="F172" i="1"/>
  <c r="G172" i="1"/>
  <c r="H172" i="1"/>
  <c r="U172" i="1"/>
  <c r="V172" i="1"/>
  <c r="T172" i="1"/>
  <c r="O172" i="1"/>
  <c r="P172" i="1"/>
  <c r="S172" i="1"/>
  <c r="Q172" i="1"/>
  <c r="R172" i="1"/>
  <c r="W171" i="1"/>
  <c r="Y171" i="1"/>
  <c r="X171" i="1"/>
  <c r="Z171" i="1"/>
  <c r="N173" i="1"/>
  <c r="A175" i="1"/>
  <c r="J174" i="1" l="1"/>
  <c r="K174" i="1"/>
  <c r="E174" i="1"/>
  <c r="I174" i="1"/>
  <c r="B175" i="1"/>
  <c r="C175" i="1"/>
  <c r="D175" i="1" s="1"/>
  <c r="G173" i="1"/>
  <c r="L173" i="1"/>
  <c r="H173" i="1"/>
  <c r="F173" i="1"/>
  <c r="M173" i="1"/>
  <c r="N174" i="1"/>
  <c r="V173" i="1"/>
  <c r="U173" i="1"/>
  <c r="S173" i="1"/>
  <c r="P173" i="1"/>
  <c r="O173" i="1"/>
  <c r="R173" i="1"/>
  <c r="Q173" i="1"/>
  <c r="T173" i="1"/>
  <c r="W172" i="1"/>
  <c r="Y172" i="1"/>
  <c r="X172" i="1"/>
  <c r="Z172" i="1"/>
  <c r="A176" i="1"/>
  <c r="J175" i="1" l="1"/>
  <c r="K175" i="1"/>
  <c r="E175" i="1"/>
  <c r="I175" i="1"/>
  <c r="C176" i="1"/>
  <c r="D176" i="1" s="1"/>
  <c r="B176" i="1"/>
  <c r="U174" i="1"/>
  <c r="V174" i="1"/>
  <c r="T174" i="1"/>
  <c r="O174" i="1"/>
  <c r="P174" i="1"/>
  <c r="Q174" i="1"/>
  <c r="R174" i="1"/>
  <c r="S174" i="1"/>
  <c r="W173" i="1"/>
  <c r="Y173" i="1"/>
  <c r="X173" i="1"/>
  <c r="Z173" i="1"/>
  <c r="N175" i="1"/>
  <c r="F174" i="1"/>
  <c r="G174" i="1"/>
  <c r="M174" i="1"/>
  <c r="L174" i="1"/>
  <c r="H174" i="1"/>
  <c r="A177" i="1"/>
  <c r="J176" i="1" l="1"/>
  <c r="K176" i="1"/>
  <c r="E176" i="1"/>
  <c r="I176" i="1"/>
  <c r="C177" i="1"/>
  <c r="D177" i="1" s="1"/>
  <c r="B177" i="1"/>
  <c r="L175" i="1"/>
  <c r="M175" i="1"/>
  <c r="H175" i="1"/>
  <c r="F175" i="1"/>
  <c r="G175" i="1"/>
  <c r="N176" i="1"/>
  <c r="V175" i="1"/>
  <c r="U175" i="1"/>
  <c r="S175" i="1"/>
  <c r="P175" i="1"/>
  <c r="O175" i="1"/>
  <c r="R175" i="1"/>
  <c r="Q175" i="1"/>
  <c r="T175" i="1"/>
  <c r="W174" i="1"/>
  <c r="Y174" i="1"/>
  <c r="X174" i="1"/>
  <c r="Z174" i="1"/>
  <c r="A178" i="1"/>
  <c r="J177" i="1" l="1"/>
  <c r="K177" i="1"/>
  <c r="E177" i="1"/>
  <c r="I177" i="1"/>
  <c r="C178" i="1"/>
  <c r="D178" i="1" s="1"/>
  <c r="B178" i="1"/>
  <c r="N177" i="1"/>
  <c r="L176" i="1"/>
  <c r="G176" i="1"/>
  <c r="F176" i="1"/>
  <c r="H176" i="1"/>
  <c r="M176" i="1"/>
  <c r="U176" i="1"/>
  <c r="V176" i="1"/>
  <c r="S176" i="1"/>
  <c r="O176" i="1"/>
  <c r="P176" i="1"/>
  <c r="Q176" i="1"/>
  <c r="R176" i="1"/>
  <c r="T176" i="1"/>
  <c r="Y175" i="1"/>
  <c r="X175" i="1"/>
  <c r="W175" i="1"/>
  <c r="Z175" i="1"/>
  <c r="A179" i="1"/>
  <c r="J178" i="1" l="1"/>
  <c r="K178" i="1"/>
  <c r="E178" i="1"/>
  <c r="I178" i="1"/>
  <c r="C179" i="1"/>
  <c r="D179" i="1" s="1"/>
  <c r="B179" i="1"/>
  <c r="V177" i="1"/>
  <c r="U177" i="1"/>
  <c r="S177" i="1"/>
  <c r="P177" i="1"/>
  <c r="O177" i="1"/>
  <c r="R177" i="1"/>
  <c r="Q177" i="1"/>
  <c r="T177" i="1"/>
  <c r="Y176" i="1"/>
  <c r="W176" i="1"/>
  <c r="Z176" i="1"/>
  <c r="X176" i="1"/>
  <c r="L177" i="1"/>
  <c r="M177" i="1"/>
  <c r="F177" i="1"/>
  <c r="G177" i="1"/>
  <c r="H177" i="1"/>
  <c r="N178" i="1"/>
  <c r="A180" i="1"/>
  <c r="J179" i="1" l="1"/>
  <c r="K179" i="1"/>
  <c r="E179" i="1"/>
  <c r="I179" i="1"/>
  <c r="C180" i="1"/>
  <c r="D180" i="1" s="1"/>
  <c r="B180" i="1"/>
  <c r="L178" i="1"/>
  <c r="M178" i="1"/>
  <c r="F178" i="1"/>
  <c r="G178" i="1"/>
  <c r="H178" i="1"/>
  <c r="U178" i="1"/>
  <c r="V178" i="1"/>
  <c r="T178" i="1"/>
  <c r="O178" i="1"/>
  <c r="P178" i="1"/>
  <c r="S178" i="1"/>
  <c r="Q178" i="1"/>
  <c r="R178" i="1"/>
  <c r="X177" i="1"/>
  <c r="Z177" i="1"/>
  <c r="Y177" i="1"/>
  <c r="W177" i="1"/>
  <c r="N179" i="1"/>
  <c r="A181" i="1"/>
  <c r="J180" i="1" l="1"/>
  <c r="K180" i="1"/>
  <c r="E180" i="1"/>
  <c r="I180" i="1"/>
  <c r="C181" i="1"/>
  <c r="D181" i="1" s="1"/>
  <c r="B181" i="1"/>
  <c r="M179" i="1"/>
  <c r="G179" i="1"/>
  <c r="F179" i="1"/>
  <c r="H179" i="1"/>
  <c r="L179" i="1"/>
  <c r="V179" i="1"/>
  <c r="U179" i="1"/>
  <c r="P179" i="1"/>
  <c r="O179" i="1"/>
  <c r="S179" i="1"/>
  <c r="R179" i="1"/>
  <c r="Q179" i="1"/>
  <c r="T179" i="1"/>
  <c r="W178" i="1"/>
  <c r="X178" i="1"/>
  <c r="Y178" i="1"/>
  <c r="Z178" i="1"/>
  <c r="N180" i="1"/>
  <c r="A182" i="1"/>
  <c r="J181" i="1" l="1"/>
  <c r="K181" i="1"/>
  <c r="E181" i="1"/>
  <c r="I181" i="1"/>
  <c r="B182" i="1"/>
  <c r="C182" i="1"/>
  <c r="D182" i="1" s="1"/>
  <c r="U180" i="1"/>
  <c r="V180" i="1"/>
  <c r="O180" i="1"/>
  <c r="P180" i="1"/>
  <c r="S180" i="1"/>
  <c r="Q180" i="1"/>
  <c r="R180" i="1"/>
  <c r="T180" i="1"/>
  <c r="Z179" i="1"/>
  <c r="X179" i="1"/>
  <c r="Y179" i="1"/>
  <c r="W179" i="1"/>
  <c r="M180" i="1"/>
  <c r="H180" i="1"/>
  <c r="F180" i="1"/>
  <c r="G180" i="1"/>
  <c r="L180" i="1"/>
  <c r="N181" i="1"/>
  <c r="A183" i="1"/>
  <c r="J182" i="1" l="1"/>
  <c r="K182" i="1"/>
  <c r="E182" i="1"/>
  <c r="I182" i="1"/>
  <c r="C183" i="1"/>
  <c r="D183" i="1" s="1"/>
  <c r="B183" i="1"/>
  <c r="M181" i="1"/>
  <c r="G181" i="1"/>
  <c r="H181" i="1"/>
  <c r="L181" i="1"/>
  <c r="F181" i="1"/>
  <c r="V181" i="1"/>
  <c r="U181" i="1"/>
  <c r="P181" i="1"/>
  <c r="O181" i="1"/>
  <c r="R181" i="1"/>
  <c r="Q181" i="1"/>
  <c r="T181" i="1"/>
  <c r="S181" i="1"/>
  <c r="W180" i="1"/>
  <c r="X180" i="1"/>
  <c r="Y180" i="1"/>
  <c r="Z180" i="1"/>
  <c r="N182" i="1"/>
  <c r="A184" i="1"/>
  <c r="J183" i="1" l="1"/>
  <c r="K183" i="1"/>
  <c r="E183" i="1"/>
  <c r="I183" i="1"/>
  <c r="C184" i="1"/>
  <c r="D184" i="1" s="1"/>
  <c r="B184" i="1"/>
  <c r="N183" i="1"/>
  <c r="H182" i="1"/>
  <c r="M182" i="1"/>
  <c r="F182" i="1"/>
  <c r="G182" i="1"/>
  <c r="L182" i="1"/>
  <c r="U182" i="1"/>
  <c r="V182" i="1"/>
  <c r="O182" i="1"/>
  <c r="P182" i="1"/>
  <c r="T182" i="1"/>
  <c r="Q182" i="1"/>
  <c r="R182" i="1"/>
  <c r="S182" i="1"/>
  <c r="X181" i="1"/>
  <c r="Y181" i="1"/>
  <c r="Z181" i="1"/>
  <c r="W181" i="1"/>
  <c r="A185" i="1"/>
  <c r="J184" i="1" l="1"/>
  <c r="K184" i="1"/>
  <c r="E184" i="1"/>
  <c r="I184" i="1"/>
  <c r="C185" i="1"/>
  <c r="D185" i="1" s="1"/>
  <c r="B185" i="1"/>
  <c r="P183" i="1"/>
  <c r="O183" i="1"/>
  <c r="R183" i="1"/>
  <c r="Q183" i="1"/>
  <c r="T183" i="1"/>
  <c r="S183" i="1"/>
  <c r="V183" i="1"/>
  <c r="U183" i="1"/>
  <c r="Z182" i="1"/>
  <c r="W182" i="1"/>
  <c r="X182" i="1"/>
  <c r="Y182" i="1"/>
  <c r="H183" i="1"/>
  <c r="M183" i="1"/>
  <c r="L183" i="1"/>
  <c r="F183" i="1"/>
  <c r="G183" i="1"/>
  <c r="N184" i="1"/>
  <c r="A186" i="1"/>
  <c r="J185" i="1" l="1"/>
  <c r="K185" i="1"/>
  <c r="E185" i="1"/>
  <c r="I185" i="1"/>
  <c r="B186" i="1"/>
  <c r="C186" i="1"/>
  <c r="D186" i="1" s="1"/>
  <c r="H184" i="1"/>
  <c r="G184" i="1"/>
  <c r="M184" i="1"/>
  <c r="F184" i="1"/>
  <c r="L184" i="1"/>
  <c r="O184" i="1"/>
  <c r="P184" i="1"/>
  <c r="U184" i="1"/>
  <c r="Q184" i="1"/>
  <c r="R184" i="1"/>
  <c r="S184" i="1"/>
  <c r="T184" i="1"/>
  <c r="V184" i="1"/>
  <c r="Y183" i="1"/>
  <c r="X183" i="1"/>
  <c r="Z183" i="1"/>
  <c r="W183" i="1"/>
  <c r="N185" i="1"/>
  <c r="A187" i="1"/>
  <c r="J186" i="1" l="1"/>
  <c r="K186" i="1"/>
  <c r="E186" i="1"/>
  <c r="I186" i="1"/>
  <c r="C187" i="1"/>
  <c r="D187" i="1" s="1"/>
  <c r="N186" i="1"/>
  <c r="F185" i="1"/>
  <c r="L185" i="1"/>
  <c r="G185" i="1"/>
  <c r="M185" i="1"/>
  <c r="H185" i="1"/>
  <c r="P185" i="1"/>
  <c r="O185" i="1"/>
  <c r="R185" i="1"/>
  <c r="Q185" i="1"/>
  <c r="V185" i="1"/>
  <c r="T185" i="1"/>
  <c r="S185" i="1"/>
  <c r="U185" i="1"/>
  <c r="Z184" i="1"/>
  <c r="Y184" i="1"/>
  <c r="W184" i="1"/>
  <c r="X184" i="1"/>
  <c r="A188" i="1"/>
  <c r="J187" i="1" l="1"/>
  <c r="K187" i="1"/>
  <c r="E187" i="1"/>
  <c r="I187" i="1"/>
  <c r="C188" i="1"/>
  <c r="D188" i="1" s="1"/>
  <c r="N187" i="1"/>
  <c r="G186" i="1"/>
  <c r="L186" i="1"/>
  <c r="H186" i="1"/>
  <c r="M186" i="1"/>
  <c r="F186" i="1"/>
  <c r="O186" i="1"/>
  <c r="P186" i="1"/>
  <c r="Q186" i="1"/>
  <c r="R186" i="1"/>
  <c r="U186" i="1"/>
  <c r="S186" i="1"/>
  <c r="T186" i="1"/>
  <c r="V186" i="1"/>
  <c r="Z185" i="1"/>
  <c r="X185" i="1"/>
  <c r="Y185" i="1"/>
  <c r="W185" i="1"/>
  <c r="A189" i="1"/>
  <c r="J188" i="1" l="1"/>
  <c r="K188" i="1"/>
  <c r="E188" i="1"/>
  <c r="I188" i="1"/>
  <c r="C189" i="1"/>
  <c r="D189" i="1" s="1"/>
  <c r="N188" i="1"/>
  <c r="F187" i="1"/>
  <c r="M187" i="1"/>
  <c r="G187" i="1"/>
  <c r="H187" i="1"/>
  <c r="L187" i="1"/>
  <c r="P187" i="1"/>
  <c r="O187" i="1"/>
  <c r="R187" i="1"/>
  <c r="Q187" i="1"/>
  <c r="U187" i="1"/>
  <c r="T187" i="1"/>
  <c r="S187" i="1"/>
  <c r="V187" i="1"/>
  <c r="Z186" i="1"/>
  <c r="Y187" i="1"/>
  <c r="X186" i="1"/>
  <c r="Z187" i="1"/>
  <c r="Y186" i="1"/>
  <c r="W187" i="1"/>
  <c r="X187" i="1"/>
  <c r="W186" i="1"/>
  <c r="A190" i="1"/>
  <c r="J189" i="1" l="1"/>
  <c r="K189" i="1"/>
  <c r="E189" i="1"/>
  <c r="I189" i="1"/>
  <c r="C190" i="1"/>
  <c r="D190" i="1" s="1"/>
  <c r="M188" i="1"/>
  <c r="F188" i="1"/>
  <c r="G188" i="1"/>
  <c r="L188" i="1"/>
  <c r="H188" i="1"/>
  <c r="O188" i="1"/>
  <c r="P188" i="1"/>
  <c r="V188" i="1"/>
  <c r="Q188" i="1"/>
  <c r="R188" i="1"/>
  <c r="S188" i="1"/>
  <c r="T188" i="1"/>
  <c r="U188" i="1"/>
  <c r="X188" i="1"/>
  <c r="Z188" i="1"/>
  <c r="W188" i="1"/>
  <c r="Y188" i="1"/>
  <c r="N189" i="1"/>
  <c r="A191" i="1"/>
  <c r="J190" i="1" l="1"/>
  <c r="K190" i="1"/>
  <c r="E190" i="1"/>
  <c r="I190" i="1"/>
  <c r="C191" i="1"/>
  <c r="D191" i="1" s="1"/>
  <c r="N190" i="1"/>
  <c r="H189" i="1"/>
  <c r="F189" i="1"/>
  <c r="M189" i="1"/>
  <c r="G189" i="1"/>
  <c r="L189" i="1"/>
  <c r="P189" i="1"/>
  <c r="O189" i="1"/>
  <c r="V189" i="1"/>
  <c r="R189" i="1"/>
  <c r="Q189" i="1"/>
  <c r="T189" i="1"/>
  <c r="S189" i="1"/>
  <c r="U189" i="1"/>
  <c r="W189" i="1"/>
  <c r="Z189" i="1"/>
  <c r="X189" i="1"/>
  <c r="Y189" i="1"/>
  <c r="A192" i="1"/>
  <c r="J191" i="1" l="1"/>
  <c r="K191" i="1"/>
  <c r="E191" i="1"/>
  <c r="I191" i="1"/>
  <c r="C192" i="1"/>
  <c r="D192" i="1" s="1"/>
  <c r="G190" i="1"/>
  <c r="M190" i="1"/>
  <c r="F190" i="1"/>
  <c r="L190" i="1"/>
  <c r="H190" i="1"/>
  <c r="O190" i="1"/>
  <c r="P190" i="1"/>
  <c r="Q190" i="1"/>
  <c r="R190" i="1"/>
  <c r="U190" i="1"/>
  <c r="S190" i="1"/>
  <c r="T190" i="1"/>
  <c r="V190" i="1"/>
  <c r="Z190" i="1"/>
  <c r="X190" i="1"/>
  <c r="Y190" i="1"/>
  <c r="W190" i="1"/>
  <c r="N191" i="1"/>
  <c r="A193" i="1"/>
  <c r="J192" i="1" l="1"/>
  <c r="K192" i="1"/>
  <c r="E192" i="1"/>
  <c r="I192" i="1"/>
  <c r="C193" i="1"/>
  <c r="D193" i="1" s="1"/>
  <c r="L191" i="1"/>
  <c r="H191" i="1"/>
  <c r="M191" i="1"/>
  <c r="G191" i="1"/>
  <c r="F191" i="1"/>
  <c r="N192" i="1"/>
  <c r="P191" i="1"/>
  <c r="O191" i="1"/>
  <c r="V191" i="1"/>
  <c r="R191" i="1"/>
  <c r="Q191" i="1"/>
  <c r="T191" i="1"/>
  <c r="S191" i="1"/>
  <c r="U191" i="1"/>
  <c r="Y191" i="1"/>
  <c r="W191" i="1"/>
  <c r="X191" i="1"/>
  <c r="Z191" i="1"/>
  <c r="A194" i="1"/>
  <c r="J193" i="1" l="1"/>
  <c r="K193" i="1"/>
  <c r="E193" i="1"/>
  <c r="I193" i="1"/>
  <c r="C194" i="1"/>
  <c r="D194" i="1" s="1"/>
  <c r="O192" i="1"/>
  <c r="P192" i="1"/>
  <c r="Q192" i="1"/>
  <c r="R192" i="1"/>
  <c r="S192" i="1"/>
  <c r="T192" i="1"/>
  <c r="U192" i="1"/>
  <c r="V192" i="1"/>
  <c r="Y192" i="1"/>
  <c r="X192" i="1"/>
  <c r="Z192" i="1"/>
  <c r="W192" i="1"/>
  <c r="F192" i="1"/>
  <c r="G192" i="1"/>
  <c r="L192" i="1"/>
  <c r="M192" i="1"/>
  <c r="H192" i="1"/>
  <c r="N193" i="1"/>
  <c r="A195" i="1"/>
  <c r="J194" i="1" l="1"/>
  <c r="K194" i="1"/>
  <c r="E194" i="1"/>
  <c r="I194" i="1"/>
  <c r="C195" i="1"/>
  <c r="D195" i="1" s="1"/>
  <c r="N194" i="1"/>
  <c r="H193" i="1"/>
  <c r="L193" i="1"/>
  <c r="F193" i="1"/>
  <c r="M193" i="1"/>
  <c r="G193" i="1"/>
  <c r="P193" i="1"/>
  <c r="O193" i="1"/>
  <c r="U193" i="1"/>
  <c r="R193" i="1"/>
  <c r="Q193" i="1"/>
  <c r="T193" i="1"/>
  <c r="S193" i="1"/>
  <c r="V193" i="1"/>
  <c r="X193" i="1"/>
  <c r="Y193" i="1"/>
  <c r="W193" i="1"/>
  <c r="Z193" i="1"/>
  <c r="A196" i="1"/>
  <c r="J195" i="1" l="1"/>
  <c r="K195" i="1"/>
  <c r="E195" i="1"/>
  <c r="I195" i="1"/>
  <c r="C196" i="1"/>
  <c r="D196" i="1" s="1"/>
  <c r="M194" i="1"/>
  <c r="L194" i="1"/>
  <c r="F194" i="1"/>
  <c r="G194" i="1"/>
  <c r="H194" i="1"/>
  <c r="O194" i="1"/>
  <c r="P194" i="1"/>
  <c r="U194" i="1"/>
  <c r="Q194" i="1"/>
  <c r="R194" i="1"/>
  <c r="S194" i="1"/>
  <c r="T194" i="1"/>
  <c r="V194" i="1"/>
  <c r="X194" i="1"/>
  <c r="Y194" i="1"/>
  <c r="W194" i="1"/>
  <c r="Z194" i="1"/>
  <c r="N195" i="1"/>
  <c r="A197" i="1"/>
  <c r="J196" i="1" l="1"/>
  <c r="K196" i="1"/>
  <c r="E196" i="1"/>
  <c r="I196" i="1"/>
  <c r="C197" i="1"/>
  <c r="D197" i="1" s="1"/>
  <c r="H195" i="1"/>
  <c r="F195" i="1"/>
  <c r="M195" i="1"/>
  <c r="L195" i="1"/>
  <c r="G195" i="1"/>
  <c r="N196" i="1"/>
  <c r="R195" i="1"/>
  <c r="Q195" i="1"/>
  <c r="T195" i="1"/>
  <c r="S195" i="1"/>
  <c r="P195" i="1"/>
  <c r="V195" i="1"/>
  <c r="U195" i="1"/>
  <c r="O195" i="1"/>
  <c r="X195" i="1"/>
  <c r="Z195" i="1"/>
  <c r="Y195" i="1"/>
  <c r="W195" i="1"/>
  <c r="A198" i="1"/>
  <c r="J197" i="1" l="1"/>
  <c r="K197" i="1"/>
  <c r="E197" i="1"/>
  <c r="I197" i="1"/>
  <c r="C198" i="1"/>
  <c r="D198" i="1" s="1"/>
  <c r="S196" i="1"/>
  <c r="T196" i="1"/>
  <c r="U196" i="1"/>
  <c r="V196" i="1"/>
  <c r="O196" i="1"/>
  <c r="P196" i="1"/>
  <c r="Q196" i="1"/>
  <c r="R196" i="1"/>
  <c r="Z196" i="1"/>
  <c r="Y196" i="1"/>
  <c r="X196" i="1"/>
  <c r="W196" i="1"/>
  <c r="N197" i="1"/>
  <c r="M196" i="1"/>
  <c r="G196" i="1"/>
  <c r="F196" i="1"/>
  <c r="H196" i="1"/>
  <c r="L196" i="1"/>
  <c r="J198" i="1" l="1"/>
  <c r="K198" i="1"/>
  <c r="E198" i="1"/>
  <c r="I198" i="1"/>
  <c r="F197" i="1"/>
  <c r="G197" i="1"/>
  <c r="H197" i="1"/>
  <c r="M197" i="1"/>
  <c r="L197" i="1"/>
  <c r="P197" i="1"/>
  <c r="O197" i="1"/>
  <c r="S197" i="1"/>
  <c r="V197" i="1"/>
  <c r="R197" i="1"/>
  <c r="Q197" i="1"/>
  <c r="T197" i="1"/>
  <c r="U197" i="1"/>
  <c r="W197" i="1"/>
  <c r="X197" i="1"/>
  <c r="Y197" i="1"/>
  <c r="Z197" i="1"/>
  <c r="N198" i="1"/>
  <c r="O198" i="1" l="1"/>
  <c r="O4" i="1" s="1"/>
  <c r="P198" i="1"/>
  <c r="P4" i="1" s="1"/>
  <c r="V198" i="1"/>
  <c r="V4" i="1" s="1"/>
  <c r="Q198" i="1"/>
  <c r="Q4" i="1" s="1"/>
  <c r="R198" i="1"/>
  <c r="R4" i="1" s="1"/>
  <c r="U198" i="1"/>
  <c r="U4" i="1" s="1"/>
  <c r="S198" i="1"/>
  <c r="S4" i="1" s="1"/>
  <c r="T198" i="1"/>
  <c r="T4" i="1" s="1"/>
  <c r="Z198" i="1"/>
  <c r="Z4" i="1" s="1"/>
  <c r="Y198" i="1"/>
  <c r="Y4" i="1" s="1"/>
  <c r="X198" i="1"/>
  <c r="X4" i="1" s="1"/>
  <c r="W198" i="1"/>
  <c r="W4" i="1" s="1"/>
  <c r="N4" i="1"/>
  <c r="G198" i="1"/>
  <c r="L198" i="1"/>
  <c r="F198" i="1"/>
  <c r="M198" i="1"/>
  <c r="H198" i="1"/>
</calcChain>
</file>

<file path=xl/sharedStrings.xml><?xml version="1.0" encoding="utf-8"?>
<sst xmlns="http://schemas.openxmlformats.org/spreadsheetml/2006/main" count="3216" uniqueCount="243">
  <si>
    <t>STT</t>
  </si>
  <si>
    <t>Máy</t>
  </si>
  <si>
    <t>SP</t>
  </si>
  <si>
    <t>NL</t>
  </si>
  <si>
    <t>Tên</t>
  </si>
  <si>
    <t>OD</t>
  </si>
  <si>
    <t>ID</t>
  </si>
  <si>
    <t>Hình dạng</t>
  </si>
  <si>
    <t>Tiêu chuẩn</t>
  </si>
  <si>
    <t>Dài</t>
  </si>
  <si>
    <t>Lot</t>
  </si>
  <si>
    <t>Ca 1</t>
  </si>
  <si>
    <t>NL SD</t>
  </si>
  <si>
    <t>Oke</t>
  </si>
  <si>
    <t>CXL</t>
  </si>
  <si>
    <t>PP</t>
  </si>
  <si>
    <t>Ca 2</t>
  </si>
  <si>
    <t>NCC</t>
  </si>
  <si>
    <t>Kho (CT)</t>
  </si>
  <si>
    <t>File name</t>
  </si>
  <si>
    <t>File type</t>
  </si>
  <si>
    <t>File</t>
  </si>
  <si>
    <t>Sheet</t>
  </si>
  <si>
    <t>Start column</t>
  </si>
  <si>
    <t>Tổng 2 ca</t>
  </si>
  <si>
    <t>TL</t>
  </si>
  <si>
    <t>Định mức</t>
  </si>
  <si>
    <t>sx1 new</t>
  </si>
  <si>
    <t>xlsm</t>
  </si>
  <si>
    <t>21.07</t>
  </si>
  <si>
    <t>BẢNG DỮ LIỆU KIỂM TRA TRƯỚC KHI UPLOAD PHẦN MỀM (NGÀY:21.07)</t>
  </si>
  <si>
    <t>C01</t>
  </si>
  <si>
    <t>SM04</t>
  </si>
  <si>
    <t>A6061-T6</t>
  </si>
  <si>
    <t>GW</t>
  </si>
  <si>
    <t>h9</t>
  </si>
  <si>
    <t>C02</t>
  </si>
  <si>
    <t>3201</t>
  </si>
  <si>
    <t>C2700</t>
  </si>
  <si>
    <t>YH</t>
  </si>
  <si>
    <t>C03</t>
  </si>
  <si>
    <t>C04</t>
  </si>
  <si>
    <t>12L14</t>
  </si>
  <si>
    <t>LT</t>
  </si>
  <si>
    <t>C05</t>
  </si>
  <si>
    <t>SC6</t>
  </si>
  <si>
    <t>TV</t>
  </si>
  <si>
    <t>C06</t>
  </si>
  <si>
    <t>C3604</t>
  </si>
  <si>
    <t>GH</t>
  </si>
  <si>
    <t>C07</t>
  </si>
  <si>
    <t>SC5</t>
  </si>
  <si>
    <t>C08</t>
  </si>
  <si>
    <t>C09</t>
  </si>
  <si>
    <t>131100</t>
  </si>
  <si>
    <t>A6063-T5</t>
  </si>
  <si>
    <t>C10</t>
  </si>
  <si>
    <t>C11</t>
  </si>
  <si>
    <t>C12</t>
  </si>
  <si>
    <t>000003</t>
  </si>
  <si>
    <t>C12B</t>
  </si>
  <si>
    <t>SM02</t>
  </si>
  <si>
    <t>C14</t>
  </si>
  <si>
    <t>H2739</t>
  </si>
  <si>
    <t>h11</t>
  </si>
  <si>
    <t>C15</t>
  </si>
  <si>
    <t>A2 3000</t>
  </si>
  <si>
    <t>SUS303Cu</t>
  </si>
  <si>
    <t>ME</t>
  </si>
  <si>
    <t>C16</t>
  </si>
  <si>
    <t>0604</t>
  </si>
  <si>
    <t>C17</t>
  </si>
  <si>
    <t>C18</t>
  </si>
  <si>
    <t>C19</t>
  </si>
  <si>
    <t>Y18800</t>
  </si>
  <si>
    <t>C20</t>
  </si>
  <si>
    <t>0902</t>
  </si>
  <si>
    <t>SUS430F</t>
  </si>
  <si>
    <t>C21</t>
  </si>
  <si>
    <t>S10</t>
  </si>
  <si>
    <t>C22</t>
  </si>
  <si>
    <t>STV22</t>
  </si>
  <si>
    <t>C23</t>
  </si>
  <si>
    <t>184Z0</t>
  </si>
  <si>
    <t>SUS303</t>
  </si>
  <si>
    <t>h7</t>
  </si>
  <si>
    <t>C24</t>
  </si>
  <si>
    <t>598Z0</t>
  </si>
  <si>
    <t>SUS304</t>
  </si>
  <si>
    <t>GA</t>
  </si>
  <si>
    <t>C25</t>
  </si>
  <si>
    <t>C26</t>
  </si>
  <si>
    <t>SC1</t>
  </si>
  <si>
    <t>C27</t>
  </si>
  <si>
    <t>F3104</t>
  </si>
  <si>
    <t>C28</t>
  </si>
  <si>
    <t>F3 105A</t>
  </si>
  <si>
    <t>C29</t>
  </si>
  <si>
    <t>C30</t>
  </si>
  <si>
    <t>C31</t>
  </si>
  <si>
    <t>9B04</t>
  </si>
  <si>
    <t>C3602</t>
  </si>
  <si>
    <t>C32</t>
  </si>
  <si>
    <t>F3251B</t>
  </si>
  <si>
    <t>C33</t>
  </si>
  <si>
    <t>E16963</t>
  </si>
  <si>
    <t>C34</t>
  </si>
  <si>
    <t>L1008</t>
  </si>
  <si>
    <t>C35</t>
  </si>
  <si>
    <t>C36</t>
  </si>
  <si>
    <t>C37</t>
  </si>
  <si>
    <t>H2170</t>
  </si>
  <si>
    <t>C38</t>
  </si>
  <si>
    <t>C39</t>
  </si>
  <si>
    <t>4B03</t>
  </si>
  <si>
    <t>C40</t>
  </si>
  <si>
    <t>L152832</t>
  </si>
  <si>
    <t>C41</t>
  </si>
  <si>
    <t>C42</t>
  </si>
  <si>
    <t>L151822</t>
  </si>
  <si>
    <t>C43</t>
  </si>
  <si>
    <t>5B00</t>
  </si>
  <si>
    <t>C44</t>
  </si>
  <si>
    <t>G1 0300</t>
  </si>
  <si>
    <t>C45</t>
  </si>
  <si>
    <t>P6</t>
  </si>
  <si>
    <t>C46</t>
  </si>
  <si>
    <t>NA1781</t>
  </si>
  <si>
    <t>C47</t>
  </si>
  <si>
    <t>C48</t>
  </si>
  <si>
    <t>C49</t>
  </si>
  <si>
    <t>FB535</t>
  </si>
  <si>
    <t>C50</t>
  </si>
  <si>
    <t>Y116S</t>
  </si>
  <si>
    <t>C51</t>
  </si>
  <si>
    <t>H2140</t>
  </si>
  <si>
    <t>C52</t>
  </si>
  <si>
    <t>A2 5550</t>
  </si>
  <si>
    <t>IB</t>
  </si>
  <si>
    <t>C53</t>
  </si>
  <si>
    <t>S36000</t>
  </si>
  <si>
    <t>C54</t>
  </si>
  <si>
    <t>C55</t>
  </si>
  <si>
    <t>Oc Dong</t>
  </si>
  <si>
    <t>C56</t>
  </si>
  <si>
    <t>C57</t>
  </si>
  <si>
    <t>C58</t>
  </si>
  <si>
    <t>P9</t>
  </si>
  <si>
    <t>C59</t>
  </si>
  <si>
    <t>PL8</t>
  </si>
  <si>
    <t>C60</t>
  </si>
  <si>
    <t>C61</t>
  </si>
  <si>
    <t>Y17034</t>
  </si>
  <si>
    <t>A2011-T3</t>
  </si>
  <si>
    <t>SS</t>
  </si>
  <si>
    <t>C62</t>
  </si>
  <si>
    <t>C63</t>
  </si>
  <si>
    <t>C64</t>
  </si>
  <si>
    <t>B25 - 0000</t>
  </si>
  <si>
    <t>C65</t>
  </si>
  <si>
    <t>Y16800</t>
  </si>
  <si>
    <t>C66</t>
  </si>
  <si>
    <t>C67</t>
  </si>
  <si>
    <t>C68</t>
  </si>
  <si>
    <t>H2213</t>
  </si>
  <si>
    <t>C69</t>
  </si>
  <si>
    <t>C70</t>
  </si>
  <si>
    <t>C71</t>
  </si>
  <si>
    <t>GN5-9100</t>
  </si>
  <si>
    <t>S18C</t>
  </si>
  <si>
    <t>C72</t>
  </si>
  <si>
    <t>K2SD2</t>
  </si>
  <si>
    <t>C73</t>
  </si>
  <si>
    <t>C74</t>
  </si>
  <si>
    <t>H2 233B</t>
  </si>
  <si>
    <t>C75</t>
  </si>
  <si>
    <t>C76</t>
  </si>
  <si>
    <t>H2 233</t>
  </si>
  <si>
    <t>C77</t>
  </si>
  <si>
    <t>STV23</t>
  </si>
  <si>
    <t>CNC01</t>
  </si>
  <si>
    <t>STV21</t>
  </si>
  <si>
    <t>CNC02</t>
  </si>
  <si>
    <t>NA1785</t>
  </si>
  <si>
    <t>CNC03</t>
  </si>
  <si>
    <t>1694</t>
  </si>
  <si>
    <t>CNC04</t>
  </si>
  <si>
    <t>H14</t>
  </si>
  <si>
    <t>CNC05</t>
  </si>
  <si>
    <t>HA1A</t>
  </si>
  <si>
    <t>CNC06</t>
  </si>
  <si>
    <t>3V0060130</t>
  </si>
  <si>
    <t>CNC07</t>
  </si>
  <si>
    <t>HA6</t>
  </si>
  <si>
    <t>CNC08</t>
  </si>
  <si>
    <t>STV HPR</t>
  </si>
  <si>
    <t>CNC09</t>
  </si>
  <si>
    <t>HA14</t>
  </si>
  <si>
    <t>CNC10</t>
  </si>
  <si>
    <t>S6</t>
  </si>
  <si>
    <t>CNC11</t>
  </si>
  <si>
    <t>LS3</t>
  </si>
  <si>
    <t>CNC12</t>
  </si>
  <si>
    <t>STV25</t>
  </si>
  <si>
    <t>CNC12B</t>
  </si>
  <si>
    <t>93303</t>
  </si>
  <si>
    <t>CNC14</t>
  </si>
  <si>
    <t>4XT01350B02</t>
  </si>
  <si>
    <t>WZ</t>
  </si>
  <si>
    <t>CNC15</t>
  </si>
  <si>
    <t>3V0071800</t>
  </si>
  <si>
    <t>CNC16</t>
  </si>
  <si>
    <t>F3398</t>
  </si>
  <si>
    <t>A5056</t>
  </si>
  <si>
    <t>CNC17</t>
  </si>
  <si>
    <t>A2 27000</t>
  </si>
  <si>
    <t>CNC18</t>
  </si>
  <si>
    <t>3V0152410</t>
  </si>
  <si>
    <t>CNC19</t>
  </si>
  <si>
    <t>A2 40000</t>
  </si>
  <si>
    <t>CNC20</t>
  </si>
  <si>
    <t>H8</t>
  </si>
  <si>
    <t>CNC21</t>
  </si>
  <si>
    <t>3V0005000</t>
  </si>
  <si>
    <t>CNC22</t>
  </si>
  <si>
    <t/>
  </si>
  <si>
    <t>D</t>
  </si>
  <si>
    <t>D17</t>
  </si>
  <si>
    <t>A17</t>
  </si>
  <si>
    <t>B17</t>
  </si>
  <si>
    <t>E16</t>
  </si>
  <si>
    <t>J17</t>
  </si>
  <si>
    <t>F17</t>
  </si>
  <si>
    <t>E17</t>
  </si>
  <si>
    <t>B16</t>
  </si>
  <si>
    <t>A16</t>
  </si>
  <si>
    <t>A15</t>
  </si>
  <si>
    <t>A14</t>
  </si>
  <si>
    <t>A13</t>
  </si>
  <si>
    <t>A11</t>
  </si>
  <si>
    <t>B15</t>
  </si>
  <si>
    <t>B14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</si>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</sst>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auto="1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auto="1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NumberFormat="1" applyBorder="1" applyAlignment="1">
      <alignment horizontal="center"/>
    </xf>
    <xf numFmtId="164" fontId="0" fillId="0" borderId="5" xfId="1" applyNumberFormat="1" applyFont="1" applyBorder="1" applyAlignment="1">
      <alignment horizontal="right"/>
    </xf>
    <xf numFmtId="0" fontId="0" fillId="0" borderId="4" xfId="0" applyBorder="1"/>
    <xf numFmtId="164" fontId="0" fillId="0" borderId="4" xfId="1" applyNumberFormat="1" applyFont="1" applyBorder="1" applyAlignment="1">
      <alignment horizontal="right"/>
    </xf>
    <xf numFmtId="0" fontId="0" fillId="2" borderId="0" xfId="0" applyFill="1" applyAlignment="1">
      <alignment horizontal="center"/>
    </xf>
    <xf numFmtId="43" fontId="0" fillId="0" borderId="9" xfId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6" xfId="0" applyNumberFormat="1" applyBorder="1" applyAlignment="1">
      <alignment horizontal="center"/>
    </xf>
    <xf numFmtId="43" fontId="0" fillId="0" borderId="17" xfId="1" applyFont="1" applyBorder="1" applyAlignment="1">
      <alignment horizontal="right"/>
    </xf>
    <xf numFmtId="164" fontId="0" fillId="0" borderId="18" xfId="1" applyNumberFormat="1" applyFont="1" applyBorder="1" applyAlignment="1">
      <alignment horizontal="right"/>
    </xf>
    <xf numFmtId="43" fontId="0" fillId="0" borderId="19" xfId="0" applyNumberFormat="1" applyBorder="1"/>
    <xf numFmtId="164" fontId="0" fillId="0" borderId="5" xfId="0" applyNumberFormat="1" applyBorder="1"/>
    <xf numFmtId="43" fontId="0" fillId="0" borderId="5" xfId="0" applyNumberFormat="1" applyBorder="1"/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 wrapText="1"/>
    </xf>
    <xf numFmtId="43" fontId="0" fillId="0" borderId="14" xfId="1" applyFont="1" applyBorder="1" applyAlignment="1">
      <alignment horizontal="left" vertical="top"/>
    </xf>
    <xf numFmtId="0" fontId="0" fillId="0" borderId="20" xfId="0" applyBorder="1" applyAlignment="1">
      <alignment vertical="top"/>
    </xf>
    <xf numFmtId="43" fontId="0" fillId="0" borderId="21" xfId="1" applyFont="1" applyBorder="1" applyAlignment="1">
      <alignment horizontal="right"/>
    </xf>
    <xf numFmtId="164" fontId="0" fillId="0" borderId="22" xfId="1" applyNumberFormat="1" applyFont="1" applyBorder="1" applyAlignment="1">
      <alignment horizontal="right"/>
    </xf>
    <xf numFmtId="0" fontId="0" fillId="0" borderId="14" xfId="0" applyBorder="1" applyAlignment="1">
      <alignment vertical="top"/>
    </xf>
    <xf numFmtId="0" fontId="0" fillId="0" borderId="17" xfId="0" applyNumberFormat="1" applyBorder="1" applyAlignment="1">
      <alignment horizontal="center"/>
    </xf>
    <xf numFmtId="0" fontId="0" fillId="0" borderId="9" xfId="0" applyBorder="1"/>
    <xf numFmtId="0" fontId="0" fillId="0" borderId="20" xfId="0" applyNumberFormat="1" applyBorder="1" applyAlignment="1">
      <alignment horizontal="center"/>
    </xf>
    <xf numFmtId="0" fontId="0" fillId="0" borderId="15" xfId="0" applyBorder="1" applyAlignment="1">
      <alignment vertical="top"/>
    </xf>
    <xf numFmtId="0" fontId="0" fillId="0" borderId="18" xfId="0" applyNumberFormat="1" applyBorder="1" applyAlignment="1">
      <alignment horizontal="center"/>
    </xf>
    <xf numFmtId="0" fontId="0" fillId="0" borderId="12" xfId="0" applyBorder="1"/>
    <xf numFmtId="0" fontId="4" fillId="0" borderId="0" xfId="0" applyFont="1"/>
    <xf numFmtId="0" fontId="6" fillId="0" borderId="0" xfId="0" applyFont="1"/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43" fontId="6" fillId="0" borderId="10" xfId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3" fontId="6" fillId="0" borderId="8" xfId="1" applyFont="1" applyBorder="1" applyAlignment="1">
      <alignment horizontal="center" vertical="center"/>
    </xf>
    <xf numFmtId="0" fontId="0" fillId="0" borderId="24" xfId="0" applyBorder="1" applyAlignment="1">
      <alignment horizontal="center" vertical="top" wrapText="1"/>
    </xf>
    <xf numFmtId="164" fontId="0" fillId="0" borderId="2" xfId="1" applyNumberFormat="1" applyFont="1" applyBorder="1" applyAlignment="1">
      <alignment horizontal="left" vertical="top"/>
    </xf>
    <xf numFmtId="164" fontId="0" fillId="0" borderId="15" xfId="1" applyNumberFormat="1" applyFont="1" applyBorder="1" applyAlignment="1">
      <alignment horizontal="left" vertical="top"/>
    </xf>
    <xf numFmtId="0" fontId="0" fillId="2" borderId="0" xfId="0" quotePrefix="1" applyFill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43" fontId="5" fillId="0" borderId="10" xfId="1" applyFont="1" applyBorder="1" applyAlignment="1">
      <alignment horizontal="right" vertical="center"/>
    </xf>
    <xf numFmtId="43" fontId="5" fillId="0" borderId="1" xfId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98"/>
  <sheetViews>
    <sheetView tabSelected="1" workbookViewId="0">
      <selection activeCell="L10" sqref="L10"/>
    </sheetView>
  </sheetViews>
  <sheetFormatPr defaultRowHeight="15" x14ac:dyDescent="0.25"/>
  <cols>
    <col min="1" max="1" width="4" bestFit="1" customWidth="1"/>
    <col min="2" max="2" width="7.85546875" bestFit="1" customWidth="1"/>
    <col min="3" max="3" width="13" style="2" customWidth="1"/>
    <col min="4" max="4" width="10.7109375" style="32" customWidth="1"/>
    <col min="5" max="5" width="8.140625" customWidth="1"/>
    <col min="6" max="6" width="6" customWidth="1"/>
    <col min="7" max="7" width="5" customWidth="1"/>
    <col min="8" max="8" width="5.5703125" customWidth="1"/>
    <col min="9" max="9" width="6.7109375" customWidth="1"/>
    <col min="10" max="10" width="4" customWidth="1"/>
    <col min="11" max="11" width="4.28515625" style="36" customWidth="1"/>
    <col min="12" max="13" width="6.7109375" style="36" customWidth="1"/>
    <col min="14" max="14" width="5.28515625" customWidth="1"/>
    <col min="15" max="15" width="9.5703125" style="11" customWidth="1"/>
    <col min="16" max="16" width="9.7109375" style="4" customWidth="1"/>
    <col min="17" max="17" width="8.42578125" style="4" customWidth="1"/>
    <col min="18" max="18" width="9.5703125" style="4" customWidth="1"/>
    <col min="19" max="19" width="8.7109375" style="11" customWidth="1"/>
    <col min="20" max="21" width="8.7109375" style="12" customWidth="1"/>
    <col min="22" max="22" width="8.7109375" style="13" customWidth="1"/>
    <col min="23" max="23" width="9.5703125" bestFit="1" customWidth="1"/>
    <col min="25" max="25" width="7.5703125" customWidth="1"/>
  </cols>
  <sheetData>
    <row r="1" spans="1:26" s="37" customFormat="1" ht="19.5" x14ac:dyDescent="0.3">
      <c r="A1" s="51" t="str">
        <f>CONCATENATE("BẢNG DỮ LIỆU KIỂM TRA TRƯỚC KHI UPLOAD PHẦN MỀM"," (NGÀY:" &amp; Info!B5&amp;")")</f>
        <v>BẢNG DỮ LIỆU KIỂM TRA TRƯỚC KHI UPLOAD PHẦN MỀM (NGÀY:21.07)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s="38" customFormat="1" ht="15.75" customHeight="1" x14ac:dyDescent="0.25">
      <c r="A2" s="55" t="s">
        <v>0</v>
      </c>
      <c r="B2" s="55" t="s">
        <v>1</v>
      </c>
      <c r="C2" s="58" t="s">
        <v>2</v>
      </c>
      <c r="D2" s="54" t="s">
        <v>3</v>
      </c>
      <c r="E2" s="55"/>
      <c r="F2" s="55"/>
      <c r="G2" s="55"/>
      <c r="H2" s="55"/>
      <c r="I2" s="55"/>
      <c r="J2" s="55"/>
      <c r="K2" s="56"/>
      <c r="L2" s="56"/>
      <c r="M2" s="57"/>
      <c r="N2" s="59"/>
      <c r="O2" s="60" t="s">
        <v>11</v>
      </c>
      <c r="P2" s="61"/>
      <c r="Q2" s="62"/>
      <c r="R2" s="62"/>
      <c r="S2" s="60" t="s">
        <v>16</v>
      </c>
      <c r="T2" s="61"/>
      <c r="U2" s="62"/>
      <c r="V2" s="63"/>
      <c r="W2" s="64" t="s">
        <v>24</v>
      </c>
      <c r="X2" s="65"/>
      <c r="Y2" s="52"/>
      <c r="Z2" s="53"/>
    </row>
    <row r="3" spans="1:26" s="38" customFormat="1" ht="39.75" customHeight="1" x14ac:dyDescent="0.25">
      <c r="A3" s="55"/>
      <c r="B3" s="55"/>
      <c r="C3" s="58"/>
      <c r="D3" s="39" t="s">
        <v>4</v>
      </c>
      <c r="E3" s="40" t="s">
        <v>17</v>
      </c>
      <c r="F3" s="40" t="s">
        <v>5</v>
      </c>
      <c r="G3" s="40" t="s">
        <v>6</v>
      </c>
      <c r="H3" s="41" t="s">
        <v>7</v>
      </c>
      <c r="I3" s="41" t="s">
        <v>8</v>
      </c>
      <c r="J3" s="40" t="s">
        <v>9</v>
      </c>
      <c r="K3" s="42" t="s">
        <v>10</v>
      </c>
      <c r="L3" s="42" t="s">
        <v>25</v>
      </c>
      <c r="M3" s="50" t="s">
        <v>26</v>
      </c>
      <c r="N3" s="59" t="s">
        <v>18</v>
      </c>
      <c r="O3" s="43" t="s">
        <v>12</v>
      </c>
      <c r="P3" s="40" t="s">
        <v>13</v>
      </c>
      <c r="Q3" s="40" t="s">
        <v>14</v>
      </c>
      <c r="R3" s="44" t="s">
        <v>15</v>
      </c>
      <c r="S3" s="43" t="s">
        <v>12</v>
      </c>
      <c r="T3" s="40" t="s">
        <v>13</v>
      </c>
      <c r="U3" s="40" t="s">
        <v>14</v>
      </c>
      <c r="V3" s="42" t="s">
        <v>15</v>
      </c>
      <c r="W3" s="45" t="s">
        <v>12</v>
      </c>
      <c r="X3" s="40" t="s">
        <v>13</v>
      </c>
      <c r="Y3" s="40" t="s">
        <v>14</v>
      </c>
      <c r="Z3" s="40" t="s">
        <v>15</v>
      </c>
    </row>
    <row r="4" spans="1:26" s="27" customFormat="1" ht="30.75" customHeight="1" x14ac:dyDescent="0.25">
      <c r="A4" s="21"/>
      <c r="B4" s="22"/>
      <c r="C4" s="25"/>
      <c r="D4" s="30"/>
      <c r="E4" s="24"/>
      <c r="F4" s="24"/>
      <c r="G4" s="24"/>
      <c r="H4" s="23"/>
      <c r="I4" s="23"/>
      <c r="J4" s="24"/>
      <c r="K4" s="34"/>
      <c r="L4" s="34"/>
      <c r="M4" s="34"/>
      <c r="N4" s="46">
        <f ca="1">COUNT(N5:N1000)- COUNTIFS(N5:N1000,0)</f>
        <v>72</v>
      </c>
      <c r="O4" s="26">
        <f ca="1">IFERROR(SUM(O5:O1000),0)</f>
        <v>532.5</v>
      </c>
      <c r="P4" s="47">
        <f t="shared" ref="P4:Z4" ca="1" si="0">IFERROR(SUM(P5:P1000),0)</f>
        <v>82866</v>
      </c>
      <c r="Q4" s="47">
        <f t="shared" ca="1" si="0"/>
        <v>5155</v>
      </c>
      <c r="R4" s="48">
        <f t="shared" ca="1" si="0"/>
        <v>2264</v>
      </c>
      <c r="S4" s="26">
        <f t="shared" ca="1" si="0"/>
        <v>454.5</v>
      </c>
      <c r="T4" s="47">
        <f t="shared" ca="1" si="0"/>
        <v>69947</v>
      </c>
      <c r="U4" s="47">
        <f t="shared" ca="1" si="0"/>
        <v>7457</v>
      </c>
      <c r="V4" s="48">
        <f t="shared" ca="1" si="0"/>
        <v>645</v>
      </c>
      <c r="W4" s="26">
        <f t="shared" ca="1" si="0"/>
        <v>987</v>
      </c>
      <c r="X4" s="47">
        <f t="shared" ca="1" si="0"/>
        <v>152813</v>
      </c>
      <c r="Y4" s="47">
        <f t="shared" ca="1" si="0"/>
        <v>12612</v>
      </c>
      <c r="Z4" s="47">
        <f t="shared" ca="1" si="0"/>
        <v>2909</v>
      </c>
    </row>
    <row r="5" spans="1:26" x14ac:dyDescent="0.25">
      <c r="A5" s="20">
        <v>1</v>
      </c>
      <c r="B5" s="5" t="str">
        <f ca="1">IFERROR( IF(A5="","", VLOOKUP(A5,INDIRECT("'[" &amp;Info!$B$4&amp;"]"&amp;Info!$B$5&amp;"'!$A$6:$B$1000"),2,0)),"")</f>
        <v>C01</v>
      </c>
      <c r="C5" s="14" t="str">
        <f ca="1">IFERROR( IF(A5="","", VLOOKUP(A5,INDIRECT("'[" &amp;Info!$B$4&amp;"]"&amp;Info!$B$5&amp;"'!$A$6:$D$1000"),3,0)),"")</f>
        <v>SM04</v>
      </c>
      <c r="D5" s="31" t="str">
        <f ca="1">IF(C5="","", VLOOKUP(A5,INDIRECT("'[" &amp;Info!$B$4&amp;"]"&amp;Info!$B$5&amp;"'!$A$6:$T$1000"),20,0))</f>
        <v>A6061-T6</v>
      </c>
      <c r="E5" s="6" t="str">
        <f ca="1">IF(D5="","", VLOOKUP(A5,INDIRECT("'[" &amp;Info!$B$4&amp;"]"&amp;Info!$B$5&amp;"'!$A$6:$U$1000"),21,0))</f>
        <v>GW</v>
      </c>
      <c r="F5" s="6">
        <f ca="1">IF(D5="","", VLOOKUP(A5,INDIRECT("'[" &amp;Info!$B$4&amp;"]"&amp;Info!$B$5&amp;"'!$A$6:$V$1000"),22,0))</f>
        <v>17</v>
      </c>
      <c r="G5" s="6">
        <f ca="1">IF(D5="","", VLOOKUP(A5,INDIRECT("'[" &amp;Info!$B$4&amp;"]"&amp;Info!$B$5&amp;"'!$A$6:$W$1000"),23,0))</f>
        <v>0</v>
      </c>
      <c r="H5" s="6" t="str">
        <f ca="1">IF(D5="","", VLOOKUP(A5,INDIRECT("'[" &amp;Info!$B$4&amp;"]"&amp;Info!$B$5&amp;"'!$A$6:$X$1000"),24,0))</f>
        <v>D</v>
      </c>
      <c r="I5" s="6" t="str">
        <f ca="1">LOWER( IF(D5="","", VLOOKUP(A5,INDIRECT("'[" &amp;Info!$B$4&amp;"]"&amp;Info!$B$5&amp;"'!$A$6:$y$1000"),25,0)))</f>
        <v>h9</v>
      </c>
      <c r="J5" s="6">
        <f ca="1">IF(D5="","", VLOOKUP(A5,INDIRECT("'[" &amp;Info!$B$4&amp;"]"&amp;Info!$B$5&amp;"'!$A$6:$Z$1000"),26,0))</f>
        <v>3</v>
      </c>
      <c r="K5" s="35" t="str">
        <f ca="1">IF(D5="","", VLOOKUP(A5,INDIRECT("'[" &amp;Info!$B$4&amp;"]"&amp;Info!$B$5&amp;"'!$A$6:$AA$1000"),27,0))</f>
        <v>D17</v>
      </c>
      <c r="L5" s="35">
        <f ca="1">IF(D5="","", VLOOKUP(A5,INDIRECT("'[" &amp;Info!$B$4&amp;"]"&amp;Info!$B$5&amp;"'!$A$6:$H$1000"),8,0))</f>
        <v>10.1</v>
      </c>
      <c r="M5" s="35">
        <f ca="1">IF(D5="","", VLOOKUP(A5,INDIRECT("'[" &amp;Info!$B$4&amp;"]"&amp;Info!$B$5&amp;"'!$A$6:$F$1000"),6,0))</f>
        <v>70</v>
      </c>
      <c r="N5" s="33">
        <f ca="1">IF(C5="","", VLOOKUP(A5,INDIRECT("'[" &amp;Info!$B$4&amp;"]"&amp;Info!$B$5&amp;"'!$A$6:$Au$1000"),47,0))</f>
        <v>12</v>
      </c>
      <c r="O5" s="28">
        <f ca="1">IF(N5="","",IF(N5=0,0,VLOOKUP(A5,INDIRECT("'[" &amp;Info!$B$4&amp;"]"&amp;Info!$B$5&amp;"'!$A$6:$AH$1000"),34,0)))</f>
        <v>13</v>
      </c>
      <c r="P5" s="9">
        <f ca="1">IF(N5="","",IF(N5=0,0,VLOOKUP(A5,INDIRECT("'[" &amp;Info!$B$4&amp;"]"&amp;Info!$B$5&amp;"'!$A$6:$AW$1000"),49,0)))</f>
        <v>910</v>
      </c>
      <c r="Q5" s="9">
        <f ca="1">IF(N5="","",IF(N5=0,0, VLOOKUP(A5,INDIRECT("'[" &amp;Info!$B$4&amp;"]"&amp;Info!$B$5&amp;"'!$A$6:$AX$1000"),50,0)))</f>
        <v>0</v>
      </c>
      <c r="R5" s="29">
        <f ca="1">IF(N5="","",IF(N5=0,0, VLOOKUP(A5,INDIRECT("'[" &amp;Info!$B$4&amp;"]"&amp;Info!$B$5&amp;"'!$A$6:$AY$1000"),51,0)))</f>
        <v>0</v>
      </c>
      <c r="S5" s="15">
        <f ca="1">IF(N5="","",IF(N5=0,0,VLOOKUP(A5,INDIRECT("'[" &amp;Info!$B$4&amp;"]"&amp;Info!$B$5&amp;"'!$A$6:$Ai$1000"),35,0)))</f>
        <v>10</v>
      </c>
      <c r="T5" s="7">
        <f ca="1">IF(N5="","",IF(N5=0,0, VLOOKUP(A5,INDIRECT("'[" &amp;Info!$B$4&amp;"]"&amp;Info!$B$5&amp;"'!$A$6:$Az$1000"),52,0)))</f>
        <v>683</v>
      </c>
      <c r="U5" s="7">
        <f ca="1">IF(N5="","",IF(N5=0,0, VLOOKUP(A5,INDIRECT("'[" &amp;Info!$B$4&amp;"]"&amp;Info!$B$5&amp;"'!$A$6:$BA$1000"),53,0)))</f>
        <v>0</v>
      </c>
      <c r="V5" s="16">
        <f ca="1">IF(N5="","",IF(N5=0,0, VLOOKUP(A5,INDIRECT("'[" &amp;Info!$B$4&amp;"]"&amp;Info!$B$5&amp;"'!$A$6:$BB$1000"),54,0)))</f>
        <v>0</v>
      </c>
      <c r="W5" s="17">
        <f ca="1">IF(N6="","",O5+S5)</f>
        <v>23</v>
      </c>
      <c r="X5" s="18">
        <f ca="1">IF(N6="","",P5+T5)</f>
        <v>1593</v>
      </c>
      <c r="Y5" s="19">
        <f ca="1">IF(N6="","",Q5+U5)</f>
        <v>0</v>
      </c>
      <c r="Z5" s="18">
        <f ca="1">IF(N6="","",R5+V5)</f>
        <v>0</v>
      </c>
    </row>
    <row r="6" spans="1:26" x14ac:dyDescent="0.25">
      <c r="A6" s="8">
        <f ca="1">IFERROR( VLOOKUP(A5+1,INDIRECT("'[" &amp;Info!$B$4&amp;"]"&amp;Info!$B$5&amp;"'!$A$6:$A$1000"),1,0),"")</f>
        <v>2</v>
      </c>
      <c r="B6" s="5" t="str">
        <f ca="1">IFERROR( IF(A6="","", VLOOKUP(A6,INDIRECT("'[" &amp;Info!$B$4&amp;"]"&amp;Info!$B$5&amp;"'!$A$6:$B$1000"),2,0)),"")</f>
        <v>C02</v>
      </c>
      <c r="C6" s="14" t="str">
        <f ca="1">IFERROR( IF(A6="","", VLOOKUP(A6,INDIRECT("'[" &amp;Info!$B$4&amp;"]"&amp;Info!$B$5&amp;"'!$A$6:$D$1000"),3,0)),"")</f>
        <v>3201</v>
      </c>
      <c r="D6" s="31" t="str">
        <f ca="1">IF(C6="","", VLOOKUP(A6,INDIRECT("'[" &amp;Info!$B$4&amp;"]"&amp;Info!$B$5&amp;"'!$A$6:$T$1000"),20,0))</f>
        <v>C2700</v>
      </c>
      <c r="E6" s="6" t="str">
        <f ca="1">IF(D6="","", VLOOKUP(A6,INDIRECT("'[" &amp;Info!$B$4&amp;"]"&amp;Info!$B$5&amp;"'!$A$6:$U$1000"),21,0))</f>
        <v>YH</v>
      </c>
      <c r="F6" s="6" t="str">
        <f ca="1">IF(D6="","", VLOOKUP(A6,INDIRECT("'[" &amp;Info!$B$4&amp;"]"&amp;Info!$B$5&amp;"'!$A$6:$U$1000"),21,0))</f>
        <v>YH</v>
      </c>
      <c r="G6" s="6">
        <f ca="1">IF(D6="","", VLOOKUP(A6,INDIRECT("'[" &amp;Info!$B$4&amp;"]"&amp;Info!$B$5&amp;"'!$A$6:$V$1000"),22,0))</f>
        <v>5.5</v>
      </c>
      <c r="H6" s="6">
        <f ca="1">IF(D6="","", VLOOKUP(A6,INDIRECT("'[" &amp;Info!$B$4&amp;"]"&amp;Info!$B$5&amp;"'!$A$6:$W$1000"),23,0))</f>
        <v>0</v>
      </c>
      <c r="I6" s="6" t="str">
        <f ca="1">LOWER( IF(D6="","", VLOOKUP(A6,INDIRECT("'[" &amp;Info!$B$4&amp;"]"&amp;Info!$B$5&amp;"'!$A$6:$y$1000"),25,0)))</f>
        <v>h9</v>
      </c>
      <c r="J6" s="6">
        <f ca="1">IF(D6="","", VLOOKUP(A6,INDIRECT("'[" &amp;Info!$B$4&amp;"]"&amp;Info!$B$5&amp;"'!$A$6:$Z$1000"),26,0))</f>
        <v>3</v>
      </c>
      <c r="K6" s="35" t="str">
        <f ca="1">IF(D6="","", VLOOKUP(A6,INDIRECT("'[" &amp;Info!$B$4&amp;"]"&amp;Info!$B$5&amp;"'!$A$6:$AA$1000"),27,0))</f>
        <v>A17</v>
      </c>
      <c r="L6" s="35">
        <f ca="1">IF(D6="","", VLOOKUP(A6,INDIRECT("'[" &amp;Info!$B$4&amp;"]"&amp;Info!$B$5&amp;"'!$A$6:$H$1000"),8,0))</f>
        <v>1.0760000000000001</v>
      </c>
      <c r="M6" s="35">
        <f ca="1">IF(D6="","", VLOOKUP(A6,INDIRECT("'[" &amp;Info!$B$4&amp;"]"&amp;Info!$B$5&amp;"'!$A$6:$F$1000"),6,0))</f>
        <v>167</v>
      </c>
      <c r="N6" s="33">
        <f ca="1">IF(C6="","", VLOOKUP(A6,INDIRECT("'[" &amp;Info!$B$4&amp;"]"&amp;Info!$B$5&amp;"'!$A$6:$Au$1000"),47,0))</f>
        <v>12</v>
      </c>
      <c r="O6" s="28">
        <f ca="1">IF(N6="","",IF(N6=0,0,VLOOKUP(A6,INDIRECT("'[" &amp;Info!$B$4&amp;"]"&amp;Info!$B$5&amp;"'!$A$6:$AH$1000"),34,0)))</f>
        <v>5</v>
      </c>
      <c r="P6" s="9">
        <f ca="1">IF(N6="","",IF(N6=0,0,VLOOKUP(A6,INDIRECT("'[" &amp;Info!$B$4&amp;"]"&amp;Info!$B$5&amp;"'!$A$6:$AW$1000"),49,0)))</f>
        <v>747</v>
      </c>
      <c r="Q6" s="9">
        <f ca="1">IF(N6="","",IF(N6=0,0, VLOOKUP(A6,INDIRECT("'[" &amp;Info!$B$4&amp;"]"&amp;Info!$B$5&amp;"'!$A$6:$AX$1000"),50,0)))</f>
        <v>0</v>
      </c>
      <c r="R6" s="29">
        <f ca="1">IF(N6="","",IF(N6=0,0, VLOOKUP(A6,INDIRECT("'[" &amp;Info!$B$4&amp;"]"&amp;Info!$B$5&amp;"'!$A$6:$AY$1000"),51,0)))</f>
        <v>0</v>
      </c>
      <c r="S6" s="15">
        <f ca="1">IF(N6="","",IF(N6=0,0,VLOOKUP(A6,INDIRECT("'[" &amp;Info!$B$4&amp;"]"&amp;Info!$B$5&amp;"'!$A$6:$Ai$1000"),35,0)))</f>
        <v>5</v>
      </c>
      <c r="T6" s="7">
        <f ca="1">IF(N6="","",IF(N6=0,0, VLOOKUP(A6,INDIRECT("'[" &amp;Info!$B$4&amp;"]"&amp;Info!$B$5&amp;"'!$A$6:$Az$1000"),52,0)))</f>
        <v>284</v>
      </c>
      <c r="U6" s="7">
        <f ca="1">IF(N6="","",IF(N6=0,0, VLOOKUP(A6,INDIRECT("'[" &amp;Info!$B$4&amp;"]"&amp;Info!$B$5&amp;"'!$A$6:$BA$1000"),53,0)))</f>
        <v>0</v>
      </c>
      <c r="V6" s="16">
        <f ca="1">IF(N6="","",IF(N6=0,0, VLOOKUP(A6,INDIRECT("'[" &amp;Info!$B$4&amp;"]"&amp;Info!$B$5&amp;"'!$A$6:$BB$1000"),54,0)))</f>
        <v>0</v>
      </c>
      <c r="W6" s="17">
        <f t="shared" ref="W6:W69" ca="1" si="1">IF(N7="","",O6+S6)</f>
        <v>10</v>
      </c>
      <c r="X6" s="18">
        <f t="shared" ref="X6:X69" ca="1" si="2">IF(N7="","",P6+T6)</f>
        <v>1031</v>
      </c>
      <c r="Y6" s="19">
        <f t="shared" ref="Y6:Y69" ca="1" si="3">IF(N7="","",Q6+U6)</f>
        <v>0</v>
      </c>
      <c r="Z6" s="18">
        <f t="shared" ref="Z6:Z69" ca="1" si="4">IF(N7="","",R6+V6)</f>
        <v>0</v>
      </c>
    </row>
    <row r="7" spans="1:26" x14ac:dyDescent="0.25">
      <c r="A7" s="8">
        <f ca="1">IFERROR( VLOOKUP(A6+1,INDIRECT("'[" &amp;Info!$B$4&amp;"]"&amp;Info!$B$5&amp;"'!$A$6:$A$1000"),1,0),"")</f>
        <v>3</v>
      </c>
      <c r="B7" s="5" t="str">
        <f ca="1">IFERROR( IF(A7="","", VLOOKUP(A7,INDIRECT("'[" &amp;Info!$B$4&amp;"]"&amp;Info!$B$5&amp;"'!$A$6:$B$1000"),2,0)),"")</f>
        <v>C03</v>
      </c>
      <c r="C7" s="14" t="str">
        <f ca="1">IFERROR( IF(A7="","", VLOOKUP(A7,INDIRECT("'[" &amp;Info!$B$4&amp;"]"&amp;Info!$B$5&amp;"'!$A$6:$D$1000"),3,0)),"")</f>
        <v>SM04</v>
      </c>
      <c r="D7" s="31" t="str">
        <f ca="1">IF(C7="","", VLOOKUP(A7,INDIRECT("'[" &amp;Info!$B$4&amp;"]"&amp;Info!$B$5&amp;"'!$A$6:$T$1000"),20,0))</f>
        <v>A6061-T6</v>
      </c>
      <c r="E7" s="6" t="str">
        <f ca="1">IF(D7="","", VLOOKUP(A7,INDIRECT("'[" &amp;Info!$B$4&amp;"]"&amp;Info!$B$5&amp;"'!$A$6:$U$1000"),21,0))</f>
        <v>GW</v>
      </c>
      <c r="F7" s="6" t="str">
        <f ca="1">IF(D7="","", VLOOKUP(A7,INDIRECT("'[" &amp;Info!$B$4&amp;"]"&amp;Info!$B$5&amp;"'!$A$6:$U$1000"),21,0))</f>
        <v>GW</v>
      </c>
      <c r="G7" s="6">
        <f ca="1">IF(D7="","", VLOOKUP(A7,INDIRECT("'[" &amp;Info!$B$4&amp;"]"&amp;Info!$B$5&amp;"'!$A$6:$V$1000"),22,0))</f>
        <v>17</v>
      </c>
      <c r="H7" s="6">
        <f ca="1">IF(D7="","", VLOOKUP(A7,INDIRECT("'[" &amp;Info!$B$4&amp;"]"&amp;Info!$B$5&amp;"'!$A$6:$W$1000"),23,0))</f>
        <v>0</v>
      </c>
      <c r="I7" s="6" t="str">
        <f ca="1">LOWER( IF(D7="","", VLOOKUP(A7,INDIRECT("'[" &amp;Info!$B$4&amp;"]"&amp;Info!$B$5&amp;"'!$A$6:$y$1000"),25,0)))</f>
        <v>h9</v>
      </c>
      <c r="J7" s="6">
        <f ca="1">IF(D7="","", VLOOKUP(A7,INDIRECT("'[" &amp;Info!$B$4&amp;"]"&amp;Info!$B$5&amp;"'!$A$6:$Z$1000"),26,0))</f>
        <v>3</v>
      </c>
      <c r="K7" s="35" t="str">
        <f ca="1">IF(D7="","", VLOOKUP(A7,INDIRECT("'[" &amp;Info!$B$4&amp;"]"&amp;Info!$B$5&amp;"'!$A$6:$AA$1000"),27,0))</f>
        <v>D17</v>
      </c>
      <c r="L7" s="35">
        <f ca="1">IF(D7="","", VLOOKUP(A7,INDIRECT("'[" &amp;Info!$B$4&amp;"]"&amp;Info!$B$5&amp;"'!$A$6:$H$1000"),8,0))</f>
        <v>10.1</v>
      </c>
      <c r="M7" s="35">
        <f ca="1">IF(D7="","", VLOOKUP(A7,INDIRECT("'[" &amp;Info!$B$4&amp;"]"&amp;Info!$B$5&amp;"'!$A$6:$F$1000"),6,0))</f>
        <v>70</v>
      </c>
      <c r="N7" s="33">
        <f ca="1">IF(C7="","", VLOOKUP(A7,INDIRECT("'[" &amp;Info!$B$4&amp;"]"&amp;Info!$B$5&amp;"'!$A$6:$Au$1000"),47,0))</f>
        <v>12</v>
      </c>
      <c r="O7" s="28">
        <f ca="1">IF(N7="","",IF(N7=0,0,VLOOKUP(A7,INDIRECT("'[" &amp;Info!$B$4&amp;"]"&amp;Info!$B$5&amp;"'!$A$6:$AH$1000"),34,0)))</f>
        <v>14</v>
      </c>
      <c r="P7" s="9">
        <f ca="1">IF(N7="","",IF(N7=0,0,VLOOKUP(A7,INDIRECT("'[" &amp;Info!$B$4&amp;"]"&amp;Info!$B$5&amp;"'!$A$6:$AW$1000"),49,0)))</f>
        <v>831</v>
      </c>
      <c r="Q7" s="9">
        <f ca="1">IF(N7="","",IF(N7=0,0, VLOOKUP(A7,INDIRECT("'[" &amp;Info!$B$4&amp;"]"&amp;Info!$B$5&amp;"'!$A$6:$AX$1000"),50,0)))</f>
        <v>0</v>
      </c>
      <c r="R7" s="29">
        <f ca="1">IF(N7="","",IF(N7=0,0, VLOOKUP(A7,INDIRECT("'[" &amp;Info!$B$4&amp;"]"&amp;Info!$B$5&amp;"'!$A$6:$AY$1000"),51,0)))</f>
        <v>0</v>
      </c>
      <c r="S7" s="15">
        <f ca="1">IF(N7="","",IF(N7=0,0,VLOOKUP(A7,INDIRECT("'[" &amp;Info!$B$4&amp;"]"&amp;Info!$B$5&amp;"'!$A$6:$Ai$1000"),35,0)))</f>
        <v>0</v>
      </c>
      <c r="T7" s="7">
        <f ca="1">IF(N7="","",IF(N7=0,0, VLOOKUP(A7,INDIRECT("'[" &amp;Info!$B$4&amp;"]"&amp;Info!$B$5&amp;"'!$A$6:$Az$1000"),52,0)))</f>
        <v>0</v>
      </c>
      <c r="U7" s="7">
        <f ca="1">IF(N7="","",IF(N7=0,0, VLOOKUP(A7,INDIRECT("'[" &amp;Info!$B$4&amp;"]"&amp;Info!$B$5&amp;"'!$A$6:$BA$1000"),53,0)))</f>
        <v>0</v>
      </c>
      <c r="V7" s="16">
        <f ca="1">IF(N7="","",IF(N7=0,0, VLOOKUP(A7,INDIRECT("'[" &amp;Info!$B$4&amp;"]"&amp;Info!$B$5&amp;"'!$A$6:$BB$1000"),54,0)))</f>
        <v>0</v>
      </c>
      <c r="W7" s="17">
        <f t="shared" ca="1" si="1"/>
        <v>14</v>
      </c>
      <c r="X7" s="18">
        <f t="shared" ca="1" si="2"/>
        <v>831</v>
      </c>
      <c r="Y7" s="19">
        <f t="shared" ca="1" si="3"/>
        <v>0</v>
      </c>
      <c r="Z7" s="18">
        <f t="shared" ca="1" si="4"/>
        <v>0</v>
      </c>
    </row>
    <row r="8" spans="1:26" x14ac:dyDescent="0.25">
      <c r="A8" s="8">
        <f ca="1">IFERROR( VLOOKUP(A7+1,INDIRECT("'[" &amp;Info!$B$4&amp;"]"&amp;Info!$B$5&amp;"'!$A$6:$A$1000"),1,0),"")</f>
        <v>4</v>
      </c>
      <c r="B8" s="5" t="str">
        <f ca="1">IFERROR( IF(A8="","", VLOOKUP(A8,INDIRECT("'[" &amp;Info!$B$4&amp;"]"&amp;Info!$B$5&amp;"'!$A$6:$B$1000"),2,0)),"")</f>
        <v>C04</v>
      </c>
      <c r="C8" s="14">
        <f ca="1">IFERROR( IF(A8="","", VLOOKUP(A8,INDIRECT("'[" &amp;Info!$B$4&amp;"]"&amp;Info!$B$5&amp;"'!$A$6:$D$1000"),3,0)),"")</f>
        <v>1501</v>
      </c>
      <c r="D8" s="31" t="str">
        <f ca="1">IF(C8="","", VLOOKUP(A8,INDIRECT("'[" &amp;Info!$B$4&amp;"]"&amp;Info!$B$5&amp;"'!$A$6:$T$1000"),20,0))</f>
        <v>12L14</v>
      </c>
      <c r="E8" s="6" t="str">
        <f ca="1">IF(D8="","", VLOOKUP(A8,INDIRECT("'[" &amp;Info!$B$4&amp;"]"&amp;Info!$B$5&amp;"'!$A$6:$U$1000"),21,0))</f>
        <v>LT</v>
      </c>
      <c r="F8" s="6" t="str">
        <f ca="1">IF(D8="","", VLOOKUP(A8,INDIRECT("'[" &amp;Info!$B$4&amp;"]"&amp;Info!$B$5&amp;"'!$A$6:$U$1000"),21,0))</f>
        <v>LT</v>
      </c>
      <c r="G8" s="6">
        <f ca="1">IF(D8="","", VLOOKUP(A8,INDIRECT("'[" &amp;Info!$B$4&amp;"]"&amp;Info!$B$5&amp;"'!$A$6:$V$1000"),22,0))</f>
        <v>11</v>
      </c>
      <c r="H8" s="6">
        <f ca="1">IF(D8="","", VLOOKUP(A8,INDIRECT("'[" &amp;Info!$B$4&amp;"]"&amp;Info!$B$5&amp;"'!$A$6:$W$1000"),23,0))</f>
        <v>0</v>
      </c>
      <c r="I8" s="6" t="str">
        <f ca="1">LOWER( IF(D8="","", VLOOKUP(A8,INDIRECT("'[" &amp;Info!$B$4&amp;"]"&amp;Info!$B$5&amp;"'!$A$6:$y$1000"),25,0)))</f>
        <v>h9</v>
      </c>
      <c r="J8" s="6">
        <f ca="1">IF(D8="","", VLOOKUP(A8,INDIRECT("'[" &amp;Info!$B$4&amp;"]"&amp;Info!$B$5&amp;"'!$A$6:$Z$1000"),26,0))</f>
        <v>3</v>
      </c>
      <c r="K8" s="35" t="str">
        <f ca="1">IF(D8="","", VLOOKUP(A8,INDIRECT("'[" &amp;Info!$B$4&amp;"]"&amp;Info!$B$5&amp;"'!$A$6:$AA$1000"),27,0))</f>
        <v>A17</v>
      </c>
      <c r="L8" s="35">
        <f ca="1">IF(D8="","", VLOOKUP(A8,INDIRECT("'[" &amp;Info!$B$4&amp;"]"&amp;Info!$B$5&amp;"'!$A$6:$H$1000"),8,0))</f>
        <v>2.02</v>
      </c>
      <c r="M8" s="35">
        <f ca="1">IF(D8="","", VLOOKUP(A8,INDIRECT("'[" &amp;Info!$B$4&amp;"]"&amp;Info!$B$5&amp;"'!$A$6:$F$1000"),6,0))</f>
        <v>0</v>
      </c>
      <c r="N8" s="33">
        <f ca="1">IF(C8="","", VLOOKUP(A8,INDIRECT("'[" &amp;Info!$B$4&amp;"]"&amp;Info!$B$5&amp;"'!$A$6:$Au$1000"),47,0))</f>
        <v>0</v>
      </c>
      <c r="O8" s="28">
        <f ca="1">IF(N8="","",IF(N8=0,0,VLOOKUP(A8,INDIRECT("'[" &amp;Info!$B$4&amp;"]"&amp;Info!$B$5&amp;"'!$A$6:$AH$1000"),34,0)))</f>
        <v>0</v>
      </c>
      <c r="P8" s="9">
        <f ca="1">IF(N8="","",IF(N8=0,0,VLOOKUP(A8,INDIRECT("'[" &amp;Info!$B$4&amp;"]"&amp;Info!$B$5&amp;"'!$A$6:$AW$1000"),49,0)))</f>
        <v>0</v>
      </c>
      <c r="Q8" s="9">
        <f ca="1">IF(N8="","",IF(N8=0,0, VLOOKUP(A8,INDIRECT("'[" &amp;Info!$B$4&amp;"]"&amp;Info!$B$5&amp;"'!$A$6:$AX$1000"),50,0)))</f>
        <v>0</v>
      </c>
      <c r="R8" s="29">
        <f ca="1">IF(N8="","",IF(N8=0,0, VLOOKUP(A8,INDIRECT("'[" &amp;Info!$B$4&amp;"]"&amp;Info!$B$5&amp;"'!$A$6:$AY$1000"),51,0)))</f>
        <v>0</v>
      </c>
      <c r="S8" s="15">
        <f ca="1">IF(N8="","",IF(N8=0,0,VLOOKUP(A8,INDIRECT("'[" &amp;Info!$B$4&amp;"]"&amp;Info!$B$5&amp;"'!$A$6:$Ai$1000"),35,0)))</f>
        <v>0</v>
      </c>
      <c r="T8" s="7">
        <f ca="1">IF(N8="","",IF(N8=0,0, VLOOKUP(A8,INDIRECT("'[" &amp;Info!$B$4&amp;"]"&amp;Info!$B$5&amp;"'!$A$6:$Az$1000"),52,0)))</f>
        <v>0</v>
      </c>
      <c r="U8" s="7">
        <f ca="1">IF(N8="","",IF(N8=0,0, VLOOKUP(A8,INDIRECT("'[" &amp;Info!$B$4&amp;"]"&amp;Info!$B$5&amp;"'!$A$6:$BA$1000"),53,0)))</f>
        <v>0</v>
      </c>
      <c r="V8" s="16">
        <f ca="1">IF(N8="","",IF(N8=0,0, VLOOKUP(A8,INDIRECT("'[" &amp;Info!$B$4&amp;"]"&amp;Info!$B$5&amp;"'!$A$6:$BB$1000"),54,0)))</f>
        <v>0</v>
      </c>
      <c r="W8" s="17">
        <f t="shared" ca="1" si="1"/>
        <v>0</v>
      </c>
      <c r="X8" s="18">
        <f t="shared" ca="1" si="2"/>
        <v>0</v>
      </c>
      <c r="Y8" s="19">
        <f t="shared" ca="1" si="3"/>
        <v>0</v>
      </c>
      <c r="Z8" s="18">
        <f t="shared" ca="1" si="4"/>
        <v>0</v>
      </c>
    </row>
    <row r="9" spans="1:26" x14ac:dyDescent="0.25">
      <c r="A9" s="8">
        <f ca="1">IFERROR( VLOOKUP(A8+1,INDIRECT("'[" &amp;Info!$B$4&amp;"]"&amp;Info!$B$5&amp;"'!$A$6:$A$1000"),1,0),"")</f>
        <v>5</v>
      </c>
      <c r="B9" s="5" t="str">
        <f ca="1">IFERROR( IF(A9="","", VLOOKUP(A9,INDIRECT("'[" &amp;Info!$B$4&amp;"]"&amp;Info!$B$5&amp;"'!$A$6:$B$1000"),2,0)),"")</f>
        <v>C05</v>
      </c>
      <c r="C9" s="14" t="str">
        <f ca="1">IFERROR( IF(A9="","", VLOOKUP(A9,INDIRECT("'[" &amp;Info!$B$4&amp;"]"&amp;Info!$B$5&amp;"'!$A$6:$D$1000"),3,0)),"")</f>
        <v>SC6</v>
      </c>
      <c r="D9" s="31" t="str">
        <f ca="1">IF(C9="","", VLOOKUP(A9,INDIRECT("'[" &amp;Info!$B$4&amp;"]"&amp;Info!$B$5&amp;"'!$A$6:$T$1000"),20,0))</f>
        <v>12L14</v>
      </c>
      <c r="E9" s="6" t="str">
        <f ca="1">IF(D9="","", VLOOKUP(A9,INDIRECT("'[" &amp;Info!$B$4&amp;"]"&amp;Info!$B$5&amp;"'!$A$6:$U$1000"),21,0))</f>
        <v>TV</v>
      </c>
      <c r="F9" s="6" t="str">
        <f ca="1">IF(D9="","", VLOOKUP(A9,INDIRECT("'[" &amp;Info!$B$4&amp;"]"&amp;Info!$B$5&amp;"'!$A$6:$U$1000"),21,0))</f>
        <v>TV</v>
      </c>
      <c r="G9" s="6">
        <f ca="1">IF(D9="","", VLOOKUP(A9,INDIRECT("'[" &amp;Info!$B$4&amp;"]"&amp;Info!$B$5&amp;"'!$A$6:$V$1000"),22,0))</f>
        <v>5.97</v>
      </c>
      <c r="H9" s="6">
        <f ca="1">IF(D9="","", VLOOKUP(A9,INDIRECT("'[" &amp;Info!$B$4&amp;"]"&amp;Info!$B$5&amp;"'!$A$6:$W$1000"),23,0))</f>
        <v>0</v>
      </c>
      <c r="I9" s="6" t="str">
        <f ca="1">LOWER( IF(D9="","", VLOOKUP(A9,INDIRECT("'[" &amp;Info!$B$4&amp;"]"&amp;Info!$B$5&amp;"'!$A$6:$y$1000"),25,0)))</f>
        <v>h9</v>
      </c>
      <c r="J9" s="6">
        <f ca="1">IF(D9="","", VLOOKUP(A9,INDIRECT("'[" &amp;Info!$B$4&amp;"]"&amp;Info!$B$5&amp;"'!$A$6:$Z$1000"),26,0))</f>
        <v>3</v>
      </c>
      <c r="K9" s="35" t="str">
        <f ca="1">IF(D9="","", VLOOKUP(A9,INDIRECT("'[" &amp;Info!$B$4&amp;"]"&amp;Info!$B$5&amp;"'!$A$6:$AA$1000"),27,0))</f>
        <v>A17</v>
      </c>
      <c r="L9" s="35">
        <f ca="1">IF(D9="","", VLOOKUP(A9,INDIRECT("'[" &amp;Info!$B$4&amp;"]"&amp;Info!$B$5&amp;"'!$A$6:$H$1000"),8,0))</f>
        <v>4.6500000000000004</v>
      </c>
      <c r="M9" s="35">
        <f ca="1">IF(D9="","", VLOOKUP(A9,INDIRECT("'[" &amp;Info!$B$4&amp;"]"&amp;Info!$B$5&amp;"'!$A$6:$F$1000"),6,0))</f>
        <v>38</v>
      </c>
      <c r="N9" s="33">
        <f ca="1">IF(C9="","", VLOOKUP(A9,INDIRECT("'[" &amp;Info!$B$4&amp;"]"&amp;Info!$B$5&amp;"'!$A$6:$Au$1000"),47,0))</f>
        <v>12</v>
      </c>
      <c r="O9" s="28">
        <f ca="1">IF(N9="","",IF(N9=0,0,VLOOKUP(A9,INDIRECT("'[" &amp;Info!$B$4&amp;"]"&amp;Info!$B$5&amp;"'!$A$6:$AH$1000"),34,0)))</f>
        <v>1</v>
      </c>
      <c r="P9" s="9">
        <f ca="1">IF(N9="","",IF(N9=0,0,VLOOKUP(A9,INDIRECT("'[" &amp;Info!$B$4&amp;"]"&amp;Info!$B$5&amp;"'!$A$6:$AW$1000"),49,0)))</f>
        <v>0</v>
      </c>
      <c r="Q9" s="9">
        <f ca="1">IF(N9="","",IF(N9=0,0, VLOOKUP(A9,INDIRECT("'[" &amp;Info!$B$4&amp;"]"&amp;Info!$B$5&amp;"'!$A$6:$AX$1000"),50,0)))</f>
        <v>0</v>
      </c>
      <c r="R9" s="29">
        <f ca="1">IF(N9="","",IF(N9=0,0, VLOOKUP(A9,INDIRECT("'[" &amp;Info!$B$4&amp;"]"&amp;Info!$B$5&amp;"'!$A$6:$AY$1000"),51,0)))</f>
        <v>204</v>
      </c>
      <c r="S9" s="15">
        <f ca="1">IF(N9="","",IF(N9=0,0,VLOOKUP(A9,INDIRECT("'[" &amp;Info!$B$4&amp;"]"&amp;Info!$B$5&amp;"'!$A$6:$Ai$1000"),35,0)))</f>
        <v>0</v>
      </c>
      <c r="T9" s="7">
        <f ca="1">IF(N9="","",IF(N9=0,0, VLOOKUP(A9,INDIRECT("'[" &amp;Info!$B$4&amp;"]"&amp;Info!$B$5&amp;"'!$A$6:$Az$1000"),52,0)))</f>
        <v>0</v>
      </c>
      <c r="U9" s="7">
        <f ca="1">IF(N9="","",IF(N9=0,0, VLOOKUP(A9,INDIRECT("'[" &amp;Info!$B$4&amp;"]"&amp;Info!$B$5&amp;"'!$A$6:$BA$1000"),53,0)))</f>
        <v>0</v>
      </c>
      <c r="V9" s="16">
        <f ca="1">IF(N9="","",IF(N9=0,0, VLOOKUP(A9,INDIRECT("'[" &amp;Info!$B$4&amp;"]"&amp;Info!$B$5&amp;"'!$A$6:$BB$1000"),54,0)))</f>
        <v>0</v>
      </c>
      <c r="W9" s="17">
        <f t="shared" ca="1" si="1"/>
        <v>1</v>
      </c>
      <c r="X9" s="18">
        <f t="shared" ca="1" si="2"/>
        <v>0</v>
      </c>
      <c r="Y9" s="19">
        <f t="shared" ca="1" si="3"/>
        <v>0</v>
      </c>
      <c r="Z9" s="18">
        <f t="shared" ca="1" si="4"/>
        <v>204</v>
      </c>
    </row>
    <row r="10" spans="1:26" x14ac:dyDescent="0.25">
      <c r="A10" s="8">
        <f ca="1">IFERROR( VLOOKUP(A9+1,INDIRECT("'[" &amp;Info!$B$4&amp;"]"&amp;Info!$B$5&amp;"'!$A$6:$A$1000"),1,0),"")</f>
        <v>6</v>
      </c>
      <c r="B10" s="5" t="str">
        <f ca="1">IFERROR( IF(A10="","", VLOOKUP(A10,INDIRECT("'[" &amp;Info!$B$4&amp;"]"&amp;Info!$B$5&amp;"'!$A$6:$B$1000"),2,0)),"")</f>
        <v>C06</v>
      </c>
      <c r="C10" s="14">
        <f ca="1">IFERROR( IF(A10="","", VLOOKUP(A10,INDIRECT("'[" &amp;Info!$B$4&amp;"]"&amp;Info!$B$5&amp;"'!$A$6:$D$1000"),3,0)),"")</f>
        <v>10620</v>
      </c>
      <c r="D10" s="31" t="str">
        <f ca="1">IF(C10="","", VLOOKUP(A10,INDIRECT("'[" &amp;Info!$B$4&amp;"]"&amp;Info!$B$5&amp;"'!$A$6:$T$1000"),20,0))</f>
        <v>C3604</v>
      </c>
      <c r="E10" s="6" t="str">
        <f ca="1">IF(D10="","", VLOOKUP(A10,INDIRECT("'[" &amp;Info!$B$4&amp;"]"&amp;Info!$B$5&amp;"'!$A$6:$U$1000"),21,0))</f>
        <v>GH</v>
      </c>
      <c r="F10" s="6" t="str">
        <f ca="1">IF(D10="","", VLOOKUP(A10,INDIRECT("'[" &amp;Info!$B$4&amp;"]"&amp;Info!$B$5&amp;"'!$A$6:$U$1000"),21,0))</f>
        <v>GH</v>
      </c>
      <c r="G10" s="6">
        <f ca="1">IF(D10="","", VLOOKUP(A10,INDIRECT("'[" &amp;Info!$B$4&amp;"]"&amp;Info!$B$5&amp;"'!$A$6:$V$1000"),22,0))</f>
        <v>10</v>
      </c>
      <c r="H10" s="6">
        <f ca="1">IF(D10="","", VLOOKUP(A10,INDIRECT("'[" &amp;Info!$B$4&amp;"]"&amp;Info!$B$5&amp;"'!$A$6:$W$1000"),23,0))</f>
        <v>0</v>
      </c>
      <c r="I10" s="6" t="str">
        <f ca="1">LOWER( IF(D10="","", VLOOKUP(A10,INDIRECT("'[" &amp;Info!$B$4&amp;"]"&amp;Info!$B$5&amp;"'!$A$6:$y$1000"),25,0)))</f>
        <v>h9</v>
      </c>
      <c r="J10" s="6">
        <f ca="1">IF(D10="","", VLOOKUP(A10,INDIRECT("'[" &amp;Info!$B$4&amp;"]"&amp;Info!$B$5&amp;"'!$A$6:$Z$1000"),26,0))</f>
        <v>2.5</v>
      </c>
      <c r="K10" s="35" t="str">
        <f ca="1">IF(D10="","", VLOOKUP(A10,INDIRECT("'[" &amp;Info!$B$4&amp;"]"&amp;Info!$B$5&amp;"'!$A$6:$AA$1000"),27,0))</f>
        <v>B17</v>
      </c>
      <c r="L10" s="35">
        <f ca="1">IF(D10="","", VLOOKUP(A10,INDIRECT("'[" &amp;Info!$B$4&amp;"]"&amp;Info!$B$5&amp;"'!$A$6:$H$1000"),8,0))</f>
        <v>7.4</v>
      </c>
      <c r="M10" s="35">
        <f ca="1">IF(D10="","", VLOOKUP(A10,INDIRECT("'[" &amp;Info!$B$4&amp;"]"&amp;Info!$B$5&amp;"'!$A$6:$F$1000"),6,0))</f>
        <v>104</v>
      </c>
      <c r="N10" s="33">
        <f ca="1">IF(C10="","", VLOOKUP(A10,INDIRECT("'[" &amp;Info!$B$4&amp;"]"&amp;Info!$B$5&amp;"'!$A$6:$Au$1000"),47,0))</f>
        <v>0</v>
      </c>
      <c r="O10" s="28">
        <f ca="1">IF(N10="","",IF(N10=0,0,VLOOKUP(A10,INDIRECT("'[" &amp;Info!$B$4&amp;"]"&amp;Info!$B$5&amp;"'!$A$6:$AH$1000"),34,0)))</f>
        <v>0</v>
      </c>
      <c r="P10" s="9">
        <f ca="1">IF(N10="","",IF(N10=0,0,VLOOKUP(A10,INDIRECT("'[" &amp;Info!$B$4&amp;"]"&amp;Info!$B$5&amp;"'!$A$6:$AW$1000"),49,0)))</f>
        <v>0</v>
      </c>
      <c r="Q10" s="9">
        <f ca="1">IF(N10="","",IF(N10=0,0, VLOOKUP(A10,INDIRECT("'[" &amp;Info!$B$4&amp;"]"&amp;Info!$B$5&amp;"'!$A$6:$AX$1000"),50,0)))</f>
        <v>0</v>
      </c>
      <c r="R10" s="29">
        <f ca="1">IF(N10="","",IF(N10=0,0, VLOOKUP(A10,INDIRECT("'[" &amp;Info!$B$4&amp;"]"&amp;Info!$B$5&amp;"'!$A$6:$AY$1000"),51,0)))</f>
        <v>0</v>
      </c>
      <c r="S10" s="15">
        <f ca="1">IF(N10="","",IF(N10=0,0,VLOOKUP(A10,INDIRECT("'[" &amp;Info!$B$4&amp;"]"&amp;Info!$B$5&amp;"'!$A$6:$Ai$1000"),35,0)))</f>
        <v>0</v>
      </c>
      <c r="T10" s="7">
        <f ca="1">IF(N10="","",IF(N10=0,0, VLOOKUP(A10,INDIRECT("'[" &amp;Info!$B$4&amp;"]"&amp;Info!$B$5&amp;"'!$A$6:$Az$1000"),52,0)))</f>
        <v>0</v>
      </c>
      <c r="U10" s="7">
        <f ca="1">IF(N10="","",IF(N10=0,0, VLOOKUP(A10,INDIRECT("'[" &amp;Info!$B$4&amp;"]"&amp;Info!$B$5&amp;"'!$A$6:$BA$1000"),53,0)))</f>
        <v>0</v>
      </c>
      <c r="V10" s="16">
        <f ca="1">IF(N10="","",IF(N10=0,0, VLOOKUP(A10,INDIRECT("'[" &amp;Info!$B$4&amp;"]"&amp;Info!$B$5&amp;"'!$A$6:$BB$1000"),54,0)))</f>
        <v>0</v>
      </c>
      <c r="W10" s="17">
        <f t="shared" ca="1" si="1"/>
        <v>0</v>
      </c>
      <c r="X10" s="18">
        <f t="shared" ca="1" si="2"/>
        <v>0</v>
      </c>
      <c r="Y10" s="19">
        <f t="shared" ca="1" si="3"/>
        <v>0</v>
      </c>
      <c r="Z10" s="18">
        <f t="shared" ca="1" si="4"/>
        <v>0</v>
      </c>
    </row>
    <row r="11" spans="1:26" x14ac:dyDescent="0.25">
      <c r="A11" s="8">
        <f ca="1">IFERROR( VLOOKUP(A10+1,INDIRECT("'[" &amp;Info!$B$4&amp;"]"&amp;Info!$B$5&amp;"'!$A$6:$A$1000"),1,0),"")</f>
        <v>7</v>
      </c>
      <c r="B11" s="5" t="str">
        <f ca="1">IFERROR( IF(A11="","", VLOOKUP(A11,INDIRECT("'[" &amp;Info!$B$4&amp;"]"&amp;Info!$B$5&amp;"'!$A$6:$B$1000"),2,0)),"")</f>
        <v>C07</v>
      </c>
      <c r="C11" s="14" t="str">
        <f ca="1">IFERROR( IF(A11="","", VLOOKUP(A11,INDIRECT("'[" &amp;Info!$B$4&amp;"]"&amp;Info!$B$5&amp;"'!$A$6:$D$1000"),3,0)),"")</f>
        <v>SC5</v>
      </c>
      <c r="D11" s="31" t="str">
        <f ca="1">IF(C11="","", VLOOKUP(A11,INDIRECT("'[" &amp;Info!$B$4&amp;"]"&amp;Info!$B$5&amp;"'!$A$6:$T$1000"),20,0))</f>
        <v>12L14</v>
      </c>
      <c r="E11" s="6" t="str">
        <f ca="1">IF(D11="","", VLOOKUP(A11,INDIRECT("'[" &amp;Info!$B$4&amp;"]"&amp;Info!$B$5&amp;"'!$A$6:$U$1000"),21,0))</f>
        <v>LT</v>
      </c>
      <c r="F11" s="6" t="str">
        <f ca="1">IF(D11="","", VLOOKUP(A11,INDIRECT("'[" &amp;Info!$B$4&amp;"]"&amp;Info!$B$5&amp;"'!$A$6:$U$1000"),21,0))</f>
        <v>LT</v>
      </c>
      <c r="G11" s="6">
        <f ca="1">IF(D11="","", VLOOKUP(A11,INDIRECT("'[" &amp;Info!$B$4&amp;"]"&amp;Info!$B$5&amp;"'!$A$6:$V$1000"),22,0))</f>
        <v>6</v>
      </c>
      <c r="H11" s="6">
        <f ca="1">IF(D11="","", VLOOKUP(A11,INDIRECT("'[" &amp;Info!$B$4&amp;"]"&amp;Info!$B$5&amp;"'!$A$6:$W$1000"),23,0))</f>
        <v>0</v>
      </c>
      <c r="I11" s="6" t="str">
        <f ca="1">LOWER( IF(D11="","", VLOOKUP(A11,INDIRECT("'[" &amp;Info!$B$4&amp;"]"&amp;Info!$B$5&amp;"'!$A$6:$y$1000"),25,0)))</f>
        <v>h9</v>
      </c>
      <c r="J11" s="6">
        <f ca="1">IF(D11="","", VLOOKUP(A11,INDIRECT("'[" &amp;Info!$B$4&amp;"]"&amp;Info!$B$5&amp;"'!$A$6:$Z$1000"),26,0))</f>
        <v>3</v>
      </c>
      <c r="K11" s="35" t="str">
        <f ca="1">IF(D11="","", VLOOKUP(A11,INDIRECT("'[" &amp;Info!$B$4&amp;"]"&amp;Info!$B$5&amp;"'!$A$6:$AA$1000"),27,0))</f>
        <v>A17</v>
      </c>
      <c r="L11" s="35">
        <f ca="1">IF(D11="","", VLOOKUP(A11,INDIRECT("'[" &amp;Info!$B$4&amp;"]"&amp;Info!$B$5&amp;"'!$A$6:$H$1000"),8,0))</f>
        <v>4.55</v>
      </c>
      <c r="M11" s="35">
        <f ca="1">IF(D11="","", VLOOKUP(A11,INDIRECT("'[" &amp;Info!$B$4&amp;"]"&amp;Info!$B$5&amp;"'!$A$6:$F$1000"),6,0))</f>
        <v>48</v>
      </c>
      <c r="N11" s="33">
        <f ca="1">IF(C11="","", VLOOKUP(A11,INDIRECT("'[" &amp;Info!$B$4&amp;"]"&amp;Info!$B$5&amp;"'!$A$6:$Au$1000"),47,0))</f>
        <v>0</v>
      </c>
      <c r="O11" s="28">
        <f ca="1">IF(N11="","",IF(N11=0,0,VLOOKUP(A11,INDIRECT("'[" &amp;Info!$B$4&amp;"]"&amp;Info!$B$5&amp;"'!$A$6:$AH$1000"),34,0)))</f>
        <v>0</v>
      </c>
      <c r="P11" s="9">
        <f ca="1">IF(N11="","",IF(N11=0,0,VLOOKUP(A11,INDIRECT("'[" &amp;Info!$B$4&amp;"]"&amp;Info!$B$5&amp;"'!$A$6:$AW$1000"),49,0)))</f>
        <v>0</v>
      </c>
      <c r="Q11" s="9">
        <f ca="1">IF(N11="","",IF(N11=0,0, VLOOKUP(A11,INDIRECT("'[" &amp;Info!$B$4&amp;"]"&amp;Info!$B$5&amp;"'!$A$6:$AX$1000"),50,0)))</f>
        <v>0</v>
      </c>
      <c r="R11" s="29">
        <f ca="1">IF(N11="","",IF(N11=0,0, VLOOKUP(A11,INDIRECT("'[" &amp;Info!$B$4&amp;"]"&amp;Info!$B$5&amp;"'!$A$6:$AY$1000"),51,0)))</f>
        <v>0</v>
      </c>
      <c r="S11" s="15">
        <f ca="1">IF(N11="","",IF(N11=0,0,VLOOKUP(A11,INDIRECT("'[" &amp;Info!$B$4&amp;"]"&amp;Info!$B$5&amp;"'!$A$6:$Ai$1000"),35,0)))</f>
        <v>0</v>
      </c>
      <c r="T11" s="7">
        <f ca="1">IF(N11="","",IF(N11=0,0, VLOOKUP(A11,INDIRECT("'[" &amp;Info!$B$4&amp;"]"&amp;Info!$B$5&amp;"'!$A$6:$Az$1000"),52,0)))</f>
        <v>0</v>
      </c>
      <c r="U11" s="7">
        <f ca="1">IF(N11="","",IF(N11=0,0, VLOOKUP(A11,INDIRECT("'[" &amp;Info!$B$4&amp;"]"&amp;Info!$B$5&amp;"'!$A$6:$BA$1000"),53,0)))</f>
        <v>0</v>
      </c>
      <c r="V11" s="16">
        <f ca="1">IF(N11="","",IF(N11=0,0, VLOOKUP(A11,INDIRECT("'[" &amp;Info!$B$4&amp;"]"&amp;Info!$B$5&amp;"'!$A$6:$BB$1000"),54,0)))</f>
        <v>0</v>
      </c>
      <c r="W11" s="17">
        <f t="shared" ca="1" si="1"/>
        <v>0</v>
      </c>
      <c r="X11" s="18">
        <f t="shared" ca="1" si="2"/>
        <v>0</v>
      </c>
      <c r="Y11" s="19">
        <f t="shared" ca="1" si="3"/>
        <v>0</v>
      </c>
      <c r="Z11" s="18">
        <f t="shared" ca="1" si="4"/>
        <v>0</v>
      </c>
    </row>
    <row r="12" spans="1:26" x14ac:dyDescent="0.25">
      <c r="A12" s="8">
        <f ca="1">IFERROR( VLOOKUP(A11+1,INDIRECT("'[" &amp;Info!$B$4&amp;"]"&amp;Info!$B$5&amp;"'!$A$6:$A$1000"),1,0),"")</f>
        <v>8</v>
      </c>
      <c r="B12" s="5" t="str">
        <f ca="1">IFERROR( IF(A12="","", VLOOKUP(A12,INDIRECT("'[" &amp;Info!$B$4&amp;"]"&amp;Info!$B$5&amp;"'!$A$6:$B$1000"),2,0)),"")</f>
        <v>C08</v>
      </c>
      <c r="C12" s="14">
        <f ca="1">IFERROR( IF(A12="","", VLOOKUP(A12,INDIRECT("'[" &amp;Info!$B$4&amp;"]"&amp;Info!$B$5&amp;"'!$A$6:$D$1000"),3,0)),"")</f>
        <v>15106</v>
      </c>
      <c r="D12" s="31" t="str">
        <f ca="1">IF(C12="","", VLOOKUP(A12,INDIRECT("'[" &amp;Info!$B$4&amp;"]"&amp;Info!$B$5&amp;"'!$A$6:$T$1000"),20,0))</f>
        <v>C3604</v>
      </c>
      <c r="E12" s="6" t="str">
        <f ca="1">IF(D12="","", VLOOKUP(A12,INDIRECT("'[" &amp;Info!$B$4&amp;"]"&amp;Info!$B$5&amp;"'!$A$6:$U$1000"),21,0))</f>
        <v>YH</v>
      </c>
      <c r="F12" s="6" t="str">
        <f ca="1">IF(D12="","", VLOOKUP(A12,INDIRECT("'[" &amp;Info!$B$4&amp;"]"&amp;Info!$B$5&amp;"'!$A$6:$U$1000"),21,0))</f>
        <v>YH</v>
      </c>
      <c r="G12" s="6">
        <f ca="1">IF(D12="","", VLOOKUP(A12,INDIRECT("'[" &amp;Info!$B$4&amp;"]"&amp;Info!$B$5&amp;"'!$A$6:$V$1000"),22,0))</f>
        <v>14</v>
      </c>
      <c r="H12" s="6">
        <f ca="1">IF(D12="","", VLOOKUP(A12,INDIRECT("'[" &amp;Info!$B$4&amp;"]"&amp;Info!$B$5&amp;"'!$A$6:$W$1000"),23,0))</f>
        <v>0</v>
      </c>
      <c r="I12" s="6" t="str">
        <f ca="1">LOWER( IF(D12="","", VLOOKUP(A12,INDIRECT("'[" &amp;Info!$B$4&amp;"]"&amp;Info!$B$5&amp;"'!$A$6:$y$1000"),25,0)))</f>
        <v>h9</v>
      </c>
      <c r="J12" s="6">
        <f ca="1">IF(D12="","", VLOOKUP(A12,INDIRECT("'[" &amp;Info!$B$4&amp;"]"&amp;Info!$B$5&amp;"'!$A$6:$Z$1000"),26,0))</f>
        <v>3</v>
      </c>
      <c r="K12" s="35" t="str">
        <f ca="1">IF(D12="","", VLOOKUP(A12,INDIRECT("'[" &amp;Info!$B$4&amp;"]"&amp;Info!$B$5&amp;"'!$A$6:$AA$1000"),27,0))</f>
        <v>E16</v>
      </c>
      <c r="L12" s="35">
        <f ca="1">IF(D12="","", VLOOKUP(A12,INDIRECT("'[" &amp;Info!$B$4&amp;"]"&amp;Info!$B$5&amp;"'!$A$6:$H$1000"),8,0))</f>
        <v>2.84</v>
      </c>
      <c r="M12" s="35">
        <f ca="1">IF(D12="","", VLOOKUP(A12,INDIRECT("'[" &amp;Info!$B$4&amp;"]"&amp;Info!$B$5&amp;"'!$A$6:$F$1000"),6,0))</f>
        <v>491</v>
      </c>
      <c r="N12" s="33">
        <f ca="1">IF(C12="","", VLOOKUP(A12,INDIRECT("'[" &amp;Info!$B$4&amp;"]"&amp;Info!$B$5&amp;"'!$A$6:$Au$1000"),47,0))</f>
        <v>7</v>
      </c>
      <c r="O12" s="28">
        <f ca="1">IF(N12="","",IF(N12=0,0,VLOOKUP(A12,INDIRECT("'[" &amp;Info!$B$4&amp;"]"&amp;Info!$B$5&amp;"'!$A$6:$AH$1000"),34,0)))</f>
        <v>3</v>
      </c>
      <c r="P12" s="9">
        <f ca="1">IF(N12="","",IF(N12=0,0,VLOOKUP(A12,INDIRECT("'[" &amp;Info!$B$4&amp;"]"&amp;Info!$B$5&amp;"'!$A$6:$AW$1000"),49,0)))</f>
        <v>1098</v>
      </c>
      <c r="Q12" s="9">
        <f ca="1">IF(N12="","",IF(N12=0,0, VLOOKUP(A12,INDIRECT("'[" &amp;Info!$B$4&amp;"]"&amp;Info!$B$5&amp;"'!$A$6:$AX$1000"),50,0)))</f>
        <v>200</v>
      </c>
      <c r="R12" s="29">
        <f ca="1">IF(N12="","",IF(N12=0,0, VLOOKUP(A12,INDIRECT("'[" &amp;Info!$B$4&amp;"]"&amp;Info!$B$5&amp;"'!$A$6:$AY$1000"),51,0)))</f>
        <v>0</v>
      </c>
      <c r="S12" s="15">
        <f ca="1">IF(N12="","",IF(N12=0,0,VLOOKUP(A12,INDIRECT("'[" &amp;Info!$B$4&amp;"]"&amp;Info!$B$5&amp;"'!$A$6:$Ai$1000"),35,0)))</f>
        <v>3</v>
      </c>
      <c r="T12" s="7">
        <f ca="1">IF(N12="","",IF(N12=0,0, VLOOKUP(A12,INDIRECT("'[" &amp;Info!$B$4&amp;"]"&amp;Info!$B$5&amp;"'!$A$6:$Az$1000"),52,0)))</f>
        <v>1241</v>
      </c>
      <c r="U12" s="7">
        <f ca="1">IF(N12="","",IF(N12=0,0, VLOOKUP(A12,INDIRECT("'[" &amp;Info!$B$4&amp;"]"&amp;Info!$B$5&amp;"'!$A$6:$BA$1000"),53,0)))</f>
        <v>68</v>
      </c>
      <c r="V12" s="16">
        <f ca="1">IF(N12="","",IF(N12=0,0, VLOOKUP(A12,INDIRECT("'[" &amp;Info!$B$4&amp;"]"&amp;Info!$B$5&amp;"'!$A$6:$BB$1000"),54,0)))</f>
        <v>425</v>
      </c>
      <c r="W12" s="17">
        <f t="shared" ca="1" si="1"/>
        <v>6</v>
      </c>
      <c r="X12" s="18">
        <f t="shared" ca="1" si="2"/>
        <v>2339</v>
      </c>
      <c r="Y12" s="19">
        <f t="shared" ca="1" si="3"/>
        <v>268</v>
      </c>
      <c r="Z12" s="18">
        <f t="shared" ca="1" si="4"/>
        <v>425</v>
      </c>
    </row>
    <row r="13" spans="1:26" x14ac:dyDescent="0.25">
      <c r="A13" s="8">
        <f ca="1">IFERROR( VLOOKUP(A12+1,INDIRECT("'[" &amp;Info!$B$4&amp;"]"&amp;Info!$B$5&amp;"'!$A$6:$A$1000"),1,0),"")</f>
        <v>9</v>
      </c>
      <c r="B13" s="5" t="str">
        <f ca="1">IFERROR( IF(A13="","", VLOOKUP(A13,INDIRECT("'[" &amp;Info!$B$4&amp;"]"&amp;Info!$B$5&amp;"'!$A$6:$B$1000"),2,0)),"")</f>
        <v>C09</v>
      </c>
      <c r="C13" s="14" t="str">
        <f ca="1">IFERROR( IF(A13="","", VLOOKUP(A13,INDIRECT("'[" &amp;Info!$B$4&amp;"]"&amp;Info!$B$5&amp;"'!$A$6:$D$1000"),3,0)),"")</f>
        <v>131100</v>
      </c>
      <c r="D13" s="31" t="str">
        <f ca="1">IF(C13="","", VLOOKUP(A13,INDIRECT("'[" &amp;Info!$B$4&amp;"]"&amp;Info!$B$5&amp;"'!$A$6:$T$1000"),20,0))</f>
        <v>A6063-T5</v>
      </c>
      <c r="E13" s="6" t="str">
        <f ca="1">IF(D13="","", VLOOKUP(A13,INDIRECT("'[" &amp;Info!$B$4&amp;"]"&amp;Info!$B$5&amp;"'!$A$6:$U$1000"),21,0))</f>
        <v>GW</v>
      </c>
      <c r="F13" s="6" t="str">
        <f ca="1">IF(D13="","", VLOOKUP(A13,INDIRECT("'[" &amp;Info!$B$4&amp;"]"&amp;Info!$B$5&amp;"'!$A$6:$U$1000"),21,0))</f>
        <v>GW</v>
      </c>
      <c r="G13" s="6">
        <f ca="1">IF(D13="","", VLOOKUP(A13,INDIRECT("'[" &amp;Info!$B$4&amp;"]"&amp;Info!$B$5&amp;"'!$A$6:$V$1000"),22,0))</f>
        <v>18.149999999999999</v>
      </c>
      <c r="H13" s="6">
        <f ca="1">IF(D13="","", VLOOKUP(A13,INDIRECT("'[" &amp;Info!$B$4&amp;"]"&amp;Info!$B$5&amp;"'!$A$6:$W$1000"),23,0))</f>
        <v>8.6</v>
      </c>
      <c r="I13" s="6" t="str">
        <f ca="1">LOWER( IF(D13="","", VLOOKUP(A13,INDIRECT("'[" &amp;Info!$B$4&amp;"]"&amp;Info!$B$5&amp;"'!$A$6:$y$1000"),25,0)))</f>
        <v>h9</v>
      </c>
      <c r="J13" s="6">
        <f ca="1">IF(D13="","", VLOOKUP(A13,INDIRECT("'[" &amp;Info!$B$4&amp;"]"&amp;Info!$B$5&amp;"'!$A$6:$Z$1000"),26,0))</f>
        <v>3</v>
      </c>
      <c r="K13" s="35" t="str">
        <f ca="1">IF(D13="","", VLOOKUP(A13,INDIRECT("'[" &amp;Info!$B$4&amp;"]"&amp;Info!$B$5&amp;"'!$A$6:$AA$1000"),27,0))</f>
        <v>J17</v>
      </c>
      <c r="L13" s="35">
        <f ca="1">IF(D13="","", VLOOKUP(A13,INDIRECT("'[" &amp;Info!$B$4&amp;"]"&amp;Info!$B$5&amp;"'!$A$6:$H$1000"),8,0))</f>
        <v>9.9</v>
      </c>
      <c r="M13" s="35">
        <f ca="1">IF(D13="","", VLOOKUP(A13,INDIRECT("'[" &amp;Info!$B$4&amp;"]"&amp;Info!$B$5&amp;"'!$A$6:$F$1000"),6,0))</f>
        <v>70</v>
      </c>
      <c r="N13" s="33">
        <f ca="1">IF(C13="","", VLOOKUP(A13,INDIRECT("'[" &amp;Info!$B$4&amp;"]"&amp;Info!$B$5&amp;"'!$A$6:$Au$1000"),47,0))</f>
        <v>12</v>
      </c>
      <c r="O13" s="28">
        <f ca="1">IF(N13="","",IF(N13=0,0,VLOOKUP(A13,INDIRECT("'[" &amp;Info!$B$4&amp;"]"&amp;Info!$B$5&amp;"'!$A$6:$AH$1000"),34,0)))</f>
        <v>2</v>
      </c>
      <c r="P13" s="9">
        <f ca="1">IF(N13="","",IF(N13=0,0,VLOOKUP(A13,INDIRECT("'[" &amp;Info!$B$4&amp;"]"&amp;Info!$B$5&amp;"'!$A$6:$AW$1000"),49,0)))</f>
        <v>323</v>
      </c>
      <c r="Q13" s="9">
        <f ca="1">IF(N13="","",IF(N13=0,0, VLOOKUP(A13,INDIRECT("'[" &amp;Info!$B$4&amp;"]"&amp;Info!$B$5&amp;"'!$A$6:$AX$1000"),50,0)))</f>
        <v>92</v>
      </c>
      <c r="R13" s="29">
        <f ca="1">IF(N13="","",IF(N13=0,0, VLOOKUP(A13,INDIRECT("'[" &amp;Info!$B$4&amp;"]"&amp;Info!$B$5&amp;"'!$A$6:$AY$1000"),51,0)))</f>
        <v>0</v>
      </c>
      <c r="S13" s="15">
        <f ca="1">IF(N13="","",IF(N13=0,0,VLOOKUP(A13,INDIRECT("'[" &amp;Info!$B$4&amp;"]"&amp;Info!$B$5&amp;"'!$A$6:$Ai$1000"),35,0)))</f>
        <v>0</v>
      </c>
      <c r="T13" s="7">
        <f ca="1">IF(N13="","",IF(N13=0,0, VLOOKUP(A13,INDIRECT("'[" &amp;Info!$B$4&amp;"]"&amp;Info!$B$5&amp;"'!$A$6:$Az$1000"),52,0)))</f>
        <v>0</v>
      </c>
      <c r="U13" s="7">
        <f ca="1">IF(N13="","",IF(N13=0,0, VLOOKUP(A13,INDIRECT("'[" &amp;Info!$B$4&amp;"]"&amp;Info!$B$5&amp;"'!$A$6:$BA$1000"),53,0)))</f>
        <v>0</v>
      </c>
      <c r="V13" s="16">
        <f ca="1">IF(N13="","",IF(N13=0,0, VLOOKUP(A13,INDIRECT("'[" &amp;Info!$B$4&amp;"]"&amp;Info!$B$5&amp;"'!$A$6:$BB$1000"),54,0)))</f>
        <v>0</v>
      </c>
      <c r="W13" s="17">
        <f t="shared" ca="1" si="1"/>
        <v>2</v>
      </c>
      <c r="X13" s="18">
        <f t="shared" ca="1" si="2"/>
        <v>323</v>
      </c>
      <c r="Y13" s="19">
        <f t="shared" ca="1" si="3"/>
        <v>92</v>
      </c>
      <c r="Z13" s="18">
        <f t="shared" ca="1" si="4"/>
        <v>0</v>
      </c>
    </row>
    <row r="14" spans="1:26" x14ac:dyDescent="0.25">
      <c r="A14" s="8">
        <f ca="1">IFERROR( VLOOKUP(A13+1,INDIRECT("'[" &amp;Info!$B$4&amp;"]"&amp;Info!$B$5&amp;"'!$A$6:$A$1000"),1,0),"")</f>
        <v>10</v>
      </c>
      <c r="B14" s="5" t="str">
        <f ca="1">IFERROR( IF(A14="","", VLOOKUP(A14,INDIRECT("'[" &amp;Info!$B$4&amp;"]"&amp;Info!$B$5&amp;"'!$A$6:$B$1000"),2,0)),"")</f>
        <v>C10</v>
      </c>
      <c r="C14" s="14" t="str">
        <f ca="1">IFERROR( IF(A14="","", VLOOKUP(A14,INDIRECT("'[" &amp;Info!$B$4&amp;"]"&amp;Info!$B$5&amp;"'!$A$6:$D$1000"),3,0)),"")</f>
        <v>131100</v>
      </c>
      <c r="D14" s="31" t="str">
        <f ca="1">IF(C14="","", VLOOKUP(A14,INDIRECT("'[" &amp;Info!$B$4&amp;"]"&amp;Info!$B$5&amp;"'!$A$6:$T$1000"),20,0))</f>
        <v>A6063-T5</v>
      </c>
      <c r="E14" s="6" t="str">
        <f ca="1">IF(D14="","", VLOOKUP(A14,INDIRECT("'[" &amp;Info!$B$4&amp;"]"&amp;Info!$B$5&amp;"'!$A$6:$U$1000"),21,0))</f>
        <v>GW</v>
      </c>
      <c r="F14" s="6" t="str">
        <f ca="1">IF(D14="","", VLOOKUP(A14,INDIRECT("'[" &amp;Info!$B$4&amp;"]"&amp;Info!$B$5&amp;"'!$A$6:$U$1000"),21,0))</f>
        <v>GW</v>
      </c>
      <c r="G14" s="6">
        <f ca="1">IF(D14="","", VLOOKUP(A14,INDIRECT("'[" &amp;Info!$B$4&amp;"]"&amp;Info!$B$5&amp;"'!$A$6:$V$1000"),22,0))</f>
        <v>18.149999999999999</v>
      </c>
      <c r="H14" s="6">
        <f ca="1">IF(D14="","", VLOOKUP(A14,INDIRECT("'[" &amp;Info!$B$4&amp;"]"&amp;Info!$B$5&amp;"'!$A$6:$W$1000"),23,0))</f>
        <v>8.6</v>
      </c>
      <c r="I14" s="6" t="str">
        <f ca="1">LOWER( IF(D14="","", VLOOKUP(A14,INDIRECT("'[" &amp;Info!$B$4&amp;"]"&amp;Info!$B$5&amp;"'!$A$6:$y$1000"),25,0)))</f>
        <v>h9</v>
      </c>
      <c r="J14" s="6">
        <f ca="1">IF(D14="","", VLOOKUP(A14,INDIRECT("'[" &amp;Info!$B$4&amp;"]"&amp;Info!$B$5&amp;"'!$A$6:$Z$1000"),26,0))</f>
        <v>3</v>
      </c>
      <c r="K14" s="35" t="str">
        <f ca="1">IF(D14="","", VLOOKUP(A14,INDIRECT("'[" &amp;Info!$B$4&amp;"]"&amp;Info!$B$5&amp;"'!$A$6:$AA$1000"),27,0))</f>
        <v>J17</v>
      </c>
      <c r="L14" s="35">
        <f ca="1">IF(D14="","", VLOOKUP(A14,INDIRECT("'[" &amp;Info!$B$4&amp;"]"&amp;Info!$B$5&amp;"'!$A$6:$H$1000"),8,0))</f>
        <v>9.9</v>
      </c>
      <c r="M14" s="35">
        <f ca="1">IF(D14="","", VLOOKUP(A14,INDIRECT("'[" &amp;Info!$B$4&amp;"]"&amp;Info!$B$5&amp;"'!$A$6:$F$1000"),6,0))</f>
        <v>70</v>
      </c>
      <c r="N14" s="33">
        <f ca="1">IF(C14="","", VLOOKUP(A14,INDIRECT("'[" &amp;Info!$B$4&amp;"]"&amp;Info!$B$5&amp;"'!$A$6:$Au$1000"),47,0))</f>
        <v>12</v>
      </c>
      <c r="O14" s="28">
        <f ca="1">IF(N14="","",IF(N14=0,0,VLOOKUP(A14,INDIRECT("'[" &amp;Info!$B$4&amp;"]"&amp;Info!$B$5&amp;"'!$A$6:$AH$1000"),34,0)))</f>
        <v>8</v>
      </c>
      <c r="P14" s="9">
        <f ca="1">IF(N14="","",IF(N14=0,0,VLOOKUP(A14,INDIRECT("'[" &amp;Info!$B$4&amp;"]"&amp;Info!$B$5&amp;"'!$A$6:$AW$1000"),49,0)))</f>
        <v>515</v>
      </c>
      <c r="Q14" s="9">
        <f ca="1">IF(N14="","",IF(N14=0,0, VLOOKUP(A14,INDIRECT("'[" &amp;Info!$B$4&amp;"]"&amp;Info!$B$5&amp;"'!$A$6:$AX$1000"),50,0)))</f>
        <v>0</v>
      </c>
      <c r="R14" s="29">
        <f ca="1">IF(N14="","",IF(N14=0,0, VLOOKUP(A14,INDIRECT("'[" &amp;Info!$B$4&amp;"]"&amp;Info!$B$5&amp;"'!$A$6:$AY$1000"),51,0)))</f>
        <v>119</v>
      </c>
      <c r="S14" s="15">
        <f ca="1">IF(N14="","",IF(N14=0,0,VLOOKUP(A14,INDIRECT("'[" &amp;Info!$B$4&amp;"]"&amp;Info!$B$5&amp;"'!$A$6:$Ai$1000"),35,0)))</f>
        <v>7</v>
      </c>
      <c r="T14" s="7">
        <f ca="1">IF(N14="","",IF(N14=0,0, VLOOKUP(A14,INDIRECT("'[" &amp;Info!$B$4&amp;"]"&amp;Info!$B$5&amp;"'!$A$6:$Az$1000"),52,0)))</f>
        <v>414</v>
      </c>
      <c r="U14" s="7">
        <f ca="1">IF(N14="","",IF(N14=0,0, VLOOKUP(A14,INDIRECT("'[" &amp;Info!$B$4&amp;"]"&amp;Info!$B$5&amp;"'!$A$6:$BA$1000"),53,0)))</f>
        <v>0</v>
      </c>
      <c r="V14" s="16">
        <f ca="1">IF(N14="","",IF(N14=0,0, VLOOKUP(A14,INDIRECT("'[" &amp;Info!$B$4&amp;"]"&amp;Info!$B$5&amp;"'!$A$6:$BB$1000"),54,0)))</f>
        <v>49</v>
      </c>
      <c r="W14" s="17">
        <f t="shared" ca="1" si="1"/>
        <v>15</v>
      </c>
      <c r="X14" s="18">
        <f t="shared" ca="1" si="2"/>
        <v>929</v>
      </c>
      <c r="Y14" s="19">
        <f t="shared" ca="1" si="3"/>
        <v>0</v>
      </c>
      <c r="Z14" s="18">
        <f t="shared" ca="1" si="4"/>
        <v>168</v>
      </c>
    </row>
    <row r="15" spans="1:26" x14ac:dyDescent="0.25">
      <c r="A15" s="8">
        <f ca="1">IFERROR( VLOOKUP(A14+1,INDIRECT("'[" &amp;Info!$B$4&amp;"]"&amp;Info!$B$5&amp;"'!$A$6:$A$1000"),1,0),"")</f>
        <v>11</v>
      </c>
      <c r="B15" s="5" t="str">
        <f ca="1">IFERROR( IF(A15="","", VLOOKUP(A15,INDIRECT("'[" &amp;Info!$B$4&amp;"]"&amp;Info!$B$5&amp;"'!$A$6:$B$1000"),2,0)),"")</f>
        <v>C11</v>
      </c>
      <c r="C15" s="14">
        <f ca="1">IFERROR( IF(A15="","", VLOOKUP(A15,INDIRECT("'[" &amp;Info!$B$4&amp;"]"&amp;Info!$B$5&amp;"'!$A$6:$D$1000"),3,0)),"")</f>
        <v>31100</v>
      </c>
      <c r="D15" s="31" t="str">
        <f ca="1">IF(C15="","", VLOOKUP(A15,INDIRECT("'[" &amp;Info!$B$4&amp;"]"&amp;Info!$B$5&amp;"'!$A$6:$T$1000"),20,0))</f>
        <v>A6063-T5</v>
      </c>
      <c r="E15" s="6" t="str">
        <f ca="1">IF(D15="","", VLOOKUP(A15,INDIRECT("'[" &amp;Info!$B$4&amp;"]"&amp;Info!$B$5&amp;"'!$A$6:$U$1000"),21,0))</f>
        <v>GW</v>
      </c>
      <c r="F15" s="6" t="str">
        <f ca="1">IF(D15="","", VLOOKUP(A15,INDIRECT("'[" &amp;Info!$B$4&amp;"]"&amp;Info!$B$5&amp;"'!$A$6:$U$1000"),21,0))</f>
        <v>GW</v>
      </c>
      <c r="G15" s="6">
        <f ca="1">IF(D15="","", VLOOKUP(A15,INDIRECT("'[" &amp;Info!$B$4&amp;"]"&amp;Info!$B$5&amp;"'!$A$6:$V$1000"),22,0))</f>
        <v>18.149999999999999</v>
      </c>
      <c r="H15" s="6">
        <f ca="1">IF(D15="","", VLOOKUP(A15,INDIRECT("'[" &amp;Info!$B$4&amp;"]"&amp;Info!$B$5&amp;"'!$A$6:$W$1000"),23,0))</f>
        <v>8.6</v>
      </c>
      <c r="I15" s="6" t="str">
        <f ca="1">LOWER( IF(D15="","", VLOOKUP(A15,INDIRECT("'[" &amp;Info!$B$4&amp;"]"&amp;Info!$B$5&amp;"'!$A$6:$y$1000"),25,0)))</f>
        <v>h9</v>
      </c>
      <c r="J15" s="6">
        <f ca="1">IF(D15="","", VLOOKUP(A15,INDIRECT("'[" &amp;Info!$B$4&amp;"]"&amp;Info!$B$5&amp;"'!$A$6:$Z$1000"),26,0))</f>
        <v>3</v>
      </c>
      <c r="K15" s="35" t="str">
        <f ca="1">IF(D15="","", VLOOKUP(A15,INDIRECT("'[" &amp;Info!$B$4&amp;"]"&amp;Info!$B$5&amp;"'!$A$6:$AA$1000"),27,0))</f>
        <v>J17</v>
      </c>
      <c r="L15" s="35">
        <f ca="1">IF(D15="","", VLOOKUP(A15,INDIRECT("'[" &amp;Info!$B$4&amp;"]"&amp;Info!$B$5&amp;"'!$A$6:$H$1000"),8,0))</f>
        <v>7.7</v>
      </c>
      <c r="M15" s="35">
        <f ca="1">IF(D15="","", VLOOKUP(A15,INDIRECT("'[" &amp;Info!$B$4&amp;"]"&amp;Info!$B$5&amp;"'!$A$6:$F$1000"),6,0))</f>
        <v>91</v>
      </c>
      <c r="N15" s="33">
        <f ca="1">IF(C15="","", VLOOKUP(A15,INDIRECT("'[" &amp;Info!$B$4&amp;"]"&amp;Info!$B$5&amp;"'!$A$6:$Au$1000"),47,0))</f>
        <v>12</v>
      </c>
      <c r="O15" s="28">
        <f ca="1">IF(N15="","",IF(N15=0,0,VLOOKUP(A15,INDIRECT("'[" &amp;Info!$B$4&amp;"]"&amp;Info!$B$5&amp;"'!$A$6:$AH$1000"),34,0)))</f>
        <v>7</v>
      </c>
      <c r="P15" s="9">
        <f ca="1">IF(N15="","",IF(N15=0,0,VLOOKUP(A15,INDIRECT("'[" &amp;Info!$B$4&amp;"]"&amp;Info!$B$5&amp;"'!$A$6:$AW$1000"),49,0)))</f>
        <v>662</v>
      </c>
      <c r="Q15" s="9">
        <f ca="1">IF(N15="","",IF(N15=0,0, VLOOKUP(A15,INDIRECT("'[" &amp;Info!$B$4&amp;"]"&amp;Info!$B$5&amp;"'!$A$6:$AX$1000"),50,0)))</f>
        <v>0</v>
      </c>
      <c r="R15" s="29">
        <f ca="1">IF(N15="","",IF(N15=0,0, VLOOKUP(A15,INDIRECT("'[" &amp;Info!$B$4&amp;"]"&amp;Info!$B$5&amp;"'!$A$6:$AY$1000"),51,0)))</f>
        <v>0</v>
      </c>
      <c r="S15" s="15">
        <f ca="1">IF(N15="","",IF(N15=0,0,VLOOKUP(A15,INDIRECT("'[" &amp;Info!$B$4&amp;"]"&amp;Info!$B$5&amp;"'!$A$6:$Ai$1000"),35,0)))</f>
        <v>6</v>
      </c>
      <c r="T15" s="7">
        <f ca="1">IF(N15="","",IF(N15=0,0, VLOOKUP(A15,INDIRECT("'[" &amp;Info!$B$4&amp;"]"&amp;Info!$B$5&amp;"'!$A$6:$Az$1000"),52,0)))</f>
        <v>545</v>
      </c>
      <c r="U15" s="7">
        <f ca="1">IF(N15="","",IF(N15=0,0, VLOOKUP(A15,INDIRECT("'[" &amp;Info!$B$4&amp;"]"&amp;Info!$B$5&amp;"'!$A$6:$BA$1000"),53,0)))</f>
        <v>0</v>
      </c>
      <c r="V15" s="16">
        <f ca="1">IF(N15="","",IF(N15=0,0, VLOOKUP(A15,INDIRECT("'[" &amp;Info!$B$4&amp;"]"&amp;Info!$B$5&amp;"'!$A$6:$BB$1000"),54,0)))</f>
        <v>0</v>
      </c>
      <c r="W15" s="17">
        <f t="shared" ca="1" si="1"/>
        <v>13</v>
      </c>
      <c r="X15" s="18">
        <f t="shared" ca="1" si="2"/>
        <v>1207</v>
      </c>
      <c r="Y15" s="19">
        <f t="shared" ca="1" si="3"/>
        <v>0</v>
      </c>
      <c r="Z15" s="18">
        <f t="shared" ca="1" si="4"/>
        <v>0</v>
      </c>
    </row>
    <row r="16" spans="1:26" x14ac:dyDescent="0.25">
      <c r="A16" s="8">
        <f ca="1">IFERROR( VLOOKUP(A15+1,INDIRECT("'[" &amp;Info!$B$4&amp;"]"&amp;Info!$B$5&amp;"'!$A$6:$A$1000"),1,0),"")</f>
        <v>12</v>
      </c>
      <c r="B16" s="5" t="str">
        <f ca="1">IFERROR( IF(A16="","", VLOOKUP(A16,INDIRECT("'[" &amp;Info!$B$4&amp;"]"&amp;Info!$B$5&amp;"'!$A$6:$B$1000"),2,0)),"")</f>
        <v>C12</v>
      </c>
      <c r="C16" s="14" t="str">
        <f ca="1">IFERROR( IF(A16="","", VLOOKUP(A16,INDIRECT("'[" &amp;Info!$B$4&amp;"]"&amp;Info!$B$5&amp;"'!$A$6:$D$1000"),3,0)),"")</f>
        <v>000003</v>
      </c>
      <c r="D16" s="31" t="str">
        <f ca="1">IF(C16="","", VLOOKUP(A16,INDIRECT("'[" &amp;Info!$B$4&amp;"]"&amp;Info!$B$5&amp;"'!$A$6:$T$1000"),20,0))</f>
        <v>12L14</v>
      </c>
      <c r="E16" s="6" t="str">
        <f ca="1">IF(D16="","", VLOOKUP(A16,INDIRECT("'[" &amp;Info!$B$4&amp;"]"&amp;Info!$B$5&amp;"'!$A$6:$U$1000"),21,0))</f>
        <v>LT</v>
      </c>
      <c r="F16" s="6" t="str">
        <f ca="1">IF(D16="","", VLOOKUP(A16,INDIRECT("'[" &amp;Info!$B$4&amp;"]"&amp;Info!$B$5&amp;"'!$A$6:$U$1000"),21,0))</f>
        <v>LT</v>
      </c>
      <c r="G16" s="6">
        <f ca="1">IF(D16="","", VLOOKUP(A16,INDIRECT("'[" &amp;Info!$B$4&amp;"]"&amp;Info!$B$5&amp;"'!$A$6:$V$1000"),22,0))</f>
        <v>12</v>
      </c>
      <c r="H16" s="6">
        <f ca="1">IF(D16="","", VLOOKUP(A16,INDIRECT("'[" &amp;Info!$B$4&amp;"]"&amp;Info!$B$5&amp;"'!$A$6:$W$1000"),23,0))</f>
        <v>0</v>
      </c>
      <c r="I16" s="6" t="str">
        <f ca="1">LOWER( IF(D16="","", VLOOKUP(A16,INDIRECT("'[" &amp;Info!$B$4&amp;"]"&amp;Info!$B$5&amp;"'!$A$6:$y$1000"),25,0)))</f>
        <v>h9</v>
      </c>
      <c r="J16" s="6">
        <f ca="1">IF(D16="","", VLOOKUP(A16,INDIRECT("'[" &amp;Info!$B$4&amp;"]"&amp;Info!$B$5&amp;"'!$A$6:$Z$1000"),26,0))</f>
        <v>3</v>
      </c>
      <c r="K16" s="35" t="str">
        <f ca="1">IF(D16="","", VLOOKUP(A16,INDIRECT("'[" &amp;Info!$B$4&amp;"]"&amp;Info!$B$5&amp;"'!$A$6:$AA$1000"),27,0))</f>
        <v>B17</v>
      </c>
      <c r="L16" s="35">
        <f ca="1">IF(D16="","", VLOOKUP(A16,INDIRECT("'[" &amp;Info!$B$4&amp;"]"&amp;Info!$B$5&amp;"'!$A$6:$H$1000"),8,0))</f>
        <v>9.4130000000000003</v>
      </c>
      <c r="M16" s="35">
        <f ca="1">IF(D16="","", VLOOKUP(A16,INDIRECT("'[" &amp;Info!$B$4&amp;"]"&amp;Info!$B$5&amp;"'!$A$6:$F$1000"),6,0))</f>
        <v>118</v>
      </c>
      <c r="N16" s="33">
        <f ca="1">IF(C16="","", VLOOKUP(A16,INDIRECT("'[" &amp;Info!$B$4&amp;"]"&amp;Info!$B$5&amp;"'!$A$6:$Au$1000"),47,0))</f>
        <v>12</v>
      </c>
      <c r="O16" s="28">
        <f ca="1">IF(N16="","",IF(N16=0,0,VLOOKUP(A16,INDIRECT("'[" &amp;Info!$B$4&amp;"]"&amp;Info!$B$5&amp;"'!$A$6:$AH$1000"),34,0)))</f>
        <v>10</v>
      </c>
      <c r="P16" s="9">
        <f ca="1">IF(N16="","",IF(N16=0,0,VLOOKUP(A16,INDIRECT("'[" &amp;Info!$B$4&amp;"]"&amp;Info!$B$5&amp;"'!$A$6:$AW$1000"),49,0)))</f>
        <v>1026</v>
      </c>
      <c r="Q16" s="9">
        <f ca="1">IF(N16="","",IF(N16=0,0, VLOOKUP(A16,INDIRECT("'[" &amp;Info!$B$4&amp;"]"&amp;Info!$B$5&amp;"'!$A$6:$AX$1000"),50,0)))</f>
        <v>53</v>
      </c>
      <c r="R16" s="29">
        <f ca="1">IF(N16="","",IF(N16=0,0, VLOOKUP(A16,INDIRECT("'[" &amp;Info!$B$4&amp;"]"&amp;Info!$B$5&amp;"'!$A$6:$AY$1000"),51,0)))</f>
        <v>0</v>
      </c>
      <c r="S16" s="15">
        <f ca="1">IF(N16="","",IF(N16=0,0,VLOOKUP(A16,INDIRECT("'[" &amp;Info!$B$4&amp;"]"&amp;Info!$B$5&amp;"'!$A$6:$Ai$1000"),35,0)))</f>
        <v>8</v>
      </c>
      <c r="T16" s="7">
        <f ca="1">IF(N16="","",IF(N16=0,0, VLOOKUP(A16,INDIRECT("'[" &amp;Info!$B$4&amp;"]"&amp;Info!$B$5&amp;"'!$A$6:$Az$1000"),52,0)))</f>
        <v>934</v>
      </c>
      <c r="U16" s="7">
        <f ca="1">IF(N16="","",IF(N16=0,0, VLOOKUP(A16,INDIRECT("'[" &amp;Info!$B$4&amp;"]"&amp;Info!$B$5&amp;"'!$A$6:$BA$1000"),53,0)))</f>
        <v>0</v>
      </c>
      <c r="V16" s="16">
        <f ca="1">IF(N16="","",IF(N16=0,0, VLOOKUP(A16,INDIRECT("'[" &amp;Info!$B$4&amp;"]"&amp;Info!$B$5&amp;"'!$A$6:$BB$1000"),54,0)))</f>
        <v>0</v>
      </c>
      <c r="W16" s="17">
        <f t="shared" ca="1" si="1"/>
        <v>18</v>
      </c>
      <c r="X16" s="18">
        <f t="shared" ca="1" si="2"/>
        <v>1960</v>
      </c>
      <c r="Y16" s="19">
        <f t="shared" ca="1" si="3"/>
        <v>53</v>
      </c>
      <c r="Z16" s="18">
        <f t="shared" ca="1" si="4"/>
        <v>0</v>
      </c>
    </row>
    <row r="17" spans="1:26" x14ac:dyDescent="0.25">
      <c r="A17" s="8">
        <f ca="1">IFERROR( VLOOKUP(A16+1,INDIRECT("'[" &amp;Info!$B$4&amp;"]"&amp;Info!$B$5&amp;"'!$A$6:$A$1000"),1,0),"")</f>
        <v>13</v>
      </c>
      <c r="B17" s="5" t="str">
        <f ca="1">IFERROR( IF(A17="","", VLOOKUP(A17,INDIRECT("'[" &amp;Info!$B$4&amp;"]"&amp;Info!$B$5&amp;"'!$A$6:$B$1000"),2,0)),"")</f>
        <v>C12B</v>
      </c>
      <c r="C17" s="14" t="str">
        <f ca="1">IFERROR( IF(A17="","", VLOOKUP(A17,INDIRECT("'[" &amp;Info!$B$4&amp;"]"&amp;Info!$B$5&amp;"'!$A$6:$D$1000"),3,0)),"")</f>
        <v>SM02</v>
      </c>
      <c r="D17" s="31" t="str">
        <f ca="1">IF(C17="","", VLOOKUP(A17,INDIRECT("'[" &amp;Info!$B$4&amp;"]"&amp;Info!$B$5&amp;"'!$A$6:$T$1000"),20,0))</f>
        <v>A6063-T5</v>
      </c>
      <c r="E17" s="6" t="str">
        <f ca="1">IF(D17="","", VLOOKUP(A17,INDIRECT("'[" &amp;Info!$B$4&amp;"]"&amp;Info!$B$5&amp;"'!$A$6:$U$1000"),21,0))</f>
        <v>GW</v>
      </c>
      <c r="F17" s="6" t="str">
        <f ca="1">IF(D17="","", VLOOKUP(A17,INDIRECT("'[" &amp;Info!$B$4&amp;"]"&amp;Info!$B$5&amp;"'!$A$6:$U$1000"),21,0))</f>
        <v>GW</v>
      </c>
      <c r="G17" s="6">
        <f ca="1">IF(D17="","", VLOOKUP(A17,INDIRECT("'[" &amp;Info!$B$4&amp;"]"&amp;Info!$B$5&amp;"'!$A$6:$V$1000"),22,0))</f>
        <v>15</v>
      </c>
      <c r="H17" s="6">
        <f ca="1">IF(D17="","", VLOOKUP(A17,INDIRECT("'[" &amp;Info!$B$4&amp;"]"&amp;Info!$B$5&amp;"'!$A$6:$W$1000"),23,0))</f>
        <v>8.6</v>
      </c>
      <c r="I17" s="6" t="str">
        <f ca="1">LOWER( IF(D17="","", VLOOKUP(A17,INDIRECT("'[" &amp;Info!$B$4&amp;"]"&amp;Info!$B$5&amp;"'!$A$6:$y$1000"),25,0)))</f>
        <v>h9</v>
      </c>
      <c r="J17" s="6">
        <f ca="1">IF(D17="","", VLOOKUP(A17,INDIRECT("'[" &amp;Info!$B$4&amp;"]"&amp;Info!$B$5&amp;"'!$A$6:$Z$1000"),26,0))</f>
        <v>3</v>
      </c>
      <c r="K17" s="35" t="str">
        <f ca="1">IF(D17="","", VLOOKUP(A17,INDIRECT("'[" &amp;Info!$B$4&amp;"]"&amp;Info!$B$5&amp;"'!$A$6:$AA$1000"),27,0))</f>
        <v>F17</v>
      </c>
      <c r="L17" s="35">
        <f ca="1">IF(D17="","", VLOOKUP(A17,INDIRECT("'[" &amp;Info!$B$4&amp;"]"&amp;Info!$B$5&amp;"'!$A$6:$H$1000"),8,0))</f>
        <v>3.03</v>
      </c>
      <c r="M17" s="35">
        <f ca="1">IF(D17="","", VLOOKUP(A17,INDIRECT("'[" &amp;Info!$B$4&amp;"]"&amp;Info!$B$5&amp;"'!$A$6:$F$1000"),6,0))</f>
        <v>168</v>
      </c>
      <c r="N17" s="33">
        <f ca="1">IF(C17="","", VLOOKUP(A17,INDIRECT("'[" &amp;Info!$B$4&amp;"]"&amp;Info!$B$5&amp;"'!$A$6:$Au$1000"),47,0))</f>
        <v>12</v>
      </c>
      <c r="O17" s="28">
        <f ca="1">IF(N17="","",IF(N17=0,0,VLOOKUP(A17,INDIRECT("'[" &amp;Info!$B$4&amp;"]"&amp;Info!$B$5&amp;"'!$A$6:$AH$1000"),34,0)))</f>
        <v>14</v>
      </c>
      <c r="P17" s="9">
        <f ca="1">IF(N17="","",IF(N17=0,0,VLOOKUP(A17,INDIRECT("'[" &amp;Info!$B$4&amp;"]"&amp;Info!$B$5&amp;"'!$A$6:$AW$1000"),49,0)))</f>
        <v>2112</v>
      </c>
      <c r="Q17" s="9">
        <f ca="1">IF(N17="","",IF(N17=0,0, VLOOKUP(A17,INDIRECT("'[" &amp;Info!$B$4&amp;"]"&amp;Info!$B$5&amp;"'!$A$6:$AX$1000"),50,0)))</f>
        <v>0</v>
      </c>
      <c r="R17" s="29">
        <f ca="1">IF(N17="","",IF(N17=0,0, VLOOKUP(A17,INDIRECT("'[" &amp;Info!$B$4&amp;"]"&amp;Info!$B$5&amp;"'!$A$6:$AY$1000"),51,0)))</f>
        <v>0</v>
      </c>
      <c r="S17" s="15">
        <f ca="1">IF(N17="","",IF(N17=0,0,VLOOKUP(A17,INDIRECT("'[" &amp;Info!$B$4&amp;"]"&amp;Info!$B$5&amp;"'!$A$6:$Ai$1000"),35,0)))</f>
        <v>14</v>
      </c>
      <c r="T17" s="7">
        <f ca="1">IF(N17="","",IF(N17=0,0, VLOOKUP(A17,INDIRECT("'[" &amp;Info!$B$4&amp;"]"&amp;Info!$B$5&amp;"'!$A$6:$Az$1000"),52,0)))</f>
        <v>2244</v>
      </c>
      <c r="U17" s="7">
        <f ca="1">IF(N17="","",IF(N17=0,0, VLOOKUP(A17,INDIRECT("'[" &amp;Info!$B$4&amp;"]"&amp;Info!$B$5&amp;"'!$A$6:$BA$1000"),53,0)))</f>
        <v>0</v>
      </c>
      <c r="V17" s="16">
        <f ca="1">IF(N17="","",IF(N17=0,0, VLOOKUP(A17,INDIRECT("'[" &amp;Info!$B$4&amp;"]"&amp;Info!$B$5&amp;"'!$A$6:$BB$1000"),54,0)))</f>
        <v>0</v>
      </c>
      <c r="W17" s="17">
        <f t="shared" ca="1" si="1"/>
        <v>28</v>
      </c>
      <c r="X17" s="18">
        <f t="shared" ca="1" si="2"/>
        <v>4356</v>
      </c>
      <c r="Y17" s="19">
        <f t="shared" ca="1" si="3"/>
        <v>0</v>
      </c>
      <c r="Z17" s="18">
        <f t="shared" ca="1" si="4"/>
        <v>0</v>
      </c>
    </row>
    <row r="18" spans="1:26" x14ac:dyDescent="0.25">
      <c r="A18" s="8">
        <f ca="1">IFERROR( VLOOKUP(A17+1,INDIRECT("'[" &amp;Info!$B$4&amp;"]"&amp;Info!$B$5&amp;"'!$A$6:$A$1000"),1,0),"")</f>
        <v>14</v>
      </c>
      <c r="B18" s="5" t="str">
        <f ca="1">IFERROR( IF(A18="","", VLOOKUP(A18,INDIRECT("'[" &amp;Info!$B$4&amp;"]"&amp;Info!$B$5&amp;"'!$A$6:$B$1000"),2,0)),"")</f>
        <v>C14</v>
      </c>
      <c r="C18" s="14" t="str">
        <f ca="1">IFERROR( IF(A18="","", VLOOKUP(A18,INDIRECT("'[" &amp;Info!$B$4&amp;"]"&amp;Info!$B$5&amp;"'!$A$6:$D$1000"),3,0)),"")</f>
        <v>H2739</v>
      </c>
      <c r="D18" s="31" t="str">
        <f ca="1">IF(C18="","", VLOOKUP(A18,INDIRECT("'[" &amp;Info!$B$4&amp;"]"&amp;Info!$B$5&amp;"'!$A$6:$T$1000"),20,0))</f>
        <v>C3604</v>
      </c>
      <c r="E18" s="6" t="str">
        <f ca="1">IF(D18="","", VLOOKUP(A18,INDIRECT("'[" &amp;Info!$B$4&amp;"]"&amp;Info!$B$5&amp;"'!$A$6:$U$1000"),21,0))</f>
        <v>GH</v>
      </c>
      <c r="F18" s="6" t="str">
        <f ca="1">IF(D18="","", VLOOKUP(A18,INDIRECT("'[" &amp;Info!$B$4&amp;"]"&amp;Info!$B$5&amp;"'!$A$6:$U$1000"),21,0))</f>
        <v>GH</v>
      </c>
      <c r="G18" s="6">
        <f ca="1">IF(D18="","", VLOOKUP(A18,INDIRECT("'[" &amp;Info!$B$4&amp;"]"&amp;Info!$B$5&amp;"'!$A$6:$V$1000"),22,0))</f>
        <v>10</v>
      </c>
      <c r="H18" s="6">
        <f ca="1">IF(D18="","", VLOOKUP(A18,INDIRECT("'[" &amp;Info!$B$4&amp;"]"&amp;Info!$B$5&amp;"'!$A$6:$W$1000"),23,0))</f>
        <v>0</v>
      </c>
      <c r="I18" s="6" t="str">
        <f ca="1">LOWER( IF(D18="","", VLOOKUP(A18,INDIRECT("'[" &amp;Info!$B$4&amp;"]"&amp;Info!$B$5&amp;"'!$A$6:$y$1000"),25,0)))</f>
        <v>h11</v>
      </c>
      <c r="J18" s="6">
        <f ca="1">IF(D18="","", VLOOKUP(A18,INDIRECT("'[" &amp;Info!$B$4&amp;"]"&amp;Info!$B$5&amp;"'!$A$6:$Z$1000"),26,0))</f>
        <v>2.5</v>
      </c>
      <c r="K18" s="35" t="str">
        <f ca="1">IF(D18="","", VLOOKUP(A18,INDIRECT("'[" &amp;Info!$B$4&amp;"]"&amp;Info!$B$5&amp;"'!$A$6:$AA$1000"),27,0))</f>
        <v>D17</v>
      </c>
      <c r="L18" s="35">
        <f ca="1">IF(D18="","", VLOOKUP(A18,INDIRECT("'[" &amp;Info!$B$4&amp;"]"&amp;Info!$B$5&amp;"'!$A$6:$H$1000"),8,0))</f>
        <v>5.86</v>
      </c>
      <c r="M18" s="35">
        <f ca="1">IF(D18="","", VLOOKUP(A18,INDIRECT("'[" &amp;Info!$B$4&amp;"]"&amp;Info!$B$5&amp;"'!$A$6:$F$1000"),6,0))</f>
        <v>80</v>
      </c>
      <c r="N18" s="33">
        <f ca="1">IF(C18="","", VLOOKUP(A18,INDIRECT("'[" &amp;Info!$B$4&amp;"]"&amp;Info!$B$5&amp;"'!$A$6:$Au$1000"),47,0))</f>
        <v>12</v>
      </c>
      <c r="O18" s="28">
        <f ca="1">IF(N18="","",IF(N18=0,0,VLOOKUP(A18,INDIRECT("'[" &amp;Info!$B$4&amp;"]"&amp;Info!$B$5&amp;"'!$A$6:$AH$1000"),34,0)))</f>
        <v>8</v>
      </c>
      <c r="P18" s="9">
        <f ca="1">IF(N18="","",IF(N18=0,0,VLOOKUP(A18,INDIRECT("'[" &amp;Info!$B$4&amp;"]"&amp;Info!$B$5&amp;"'!$A$6:$AW$1000"),49,0)))</f>
        <v>615</v>
      </c>
      <c r="Q18" s="9">
        <f ca="1">IF(N18="","",IF(N18=0,0, VLOOKUP(A18,INDIRECT("'[" &amp;Info!$B$4&amp;"]"&amp;Info!$B$5&amp;"'!$A$6:$AX$1000"),50,0)))</f>
        <v>0</v>
      </c>
      <c r="R18" s="29">
        <f ca="1">IF(N18="","",IF(N18=0,0, VLOOKUP(A18,INDIRECT("'[" &amp;Info!$B$4&amp;"]"&amp;Info!$B$5&amp;"'!$A$6:$AY$1000"),51,0)))</f>
        <v>0</v>
      </c>
      <c r="S18" s="15">
        <f ca="1">IF(N18="","",IF(N18=0,0,VLOOKUP(A18,INDIRECT("'[" &amp;Info!$B$4&amp;"]"&amp;Info!$B$5&amp;"'!$A$6:$Ai$1000"),35,0)))</f>
        <v>14</v>
      </c>
      <c r="T18" s="7">
        <f ca="1">IF(N18="","",IF(N18=0,0, VLOOKUP(A18,INDIRECT("'[" &amp;Info!$B$4&amp;"]"&amp;Info!$B$5&amp;"'!$A$6:$Az$1000"),52,0)))</f>
        <v>1133</v>
      </c>
      <c r="U18" s="7">
        <f ca="1">IF(N18="","",IF(N18=0,0, VLOOKUP(A18,INDIRECT("'[" &amp;Info!$B$4&amp;"]"&amp;Info!$B$5&amp;"'!$A$6:$BA$1000"),53,0)))</f>
        <v>0</v>
      </c>
      <c r="V18" s="16">
        <f ca="1">IF(N18="","",IF(N18=0,0, VLOOKUP(A18,INDIRECT("'[" &amp;Info!$B$4&amp;"]"&amp;Info!$B$5&amp;"'!$A$6:$BB$1000"),54,0)))</f>
        <v>0</v>
      </c>
      <c r="W18" s="17">
        <f t="shared" ca="1" si="1"/>
        <v>22</v>
      </c>
      <c r="X18" s="18">
        <f t="shared" ca="1" si="2"/>
        <v>1748</v>
      </c>
      <c r="Y18" s="19">
        <f t="shared" ca="1" si="3"/>
        <v>0</v>
      </c>
      <c r="Z18" s="18">
        <f t="shared" ca="1" si="4"/>
        <v>0</v>
      </c>
    </row>
    <row r="19" spans="1:26" x14ac:dyDescent="0.25">
      <c r="A19" s="8">
        <f ca="1">IFERROR( VLOOKUP(A18+1,INDIRECT("'[" &amp;Info!$B$4&amp;"]"&amp;Info!$B$5&amp;"'!$A$6:$A$1000"),1,0),"")</f>
        <v>15</v>
      </c>
      <c r="B19" s="5" t="str">
        <f ca="1">IFERROR( IF(A19="","", VLOOKUP(A19,INDIRECT("'[" &amp;Info!$B$4&amp;"]"&amp;Info!$B$5&amp;"'!$A$6:$B$1000"),2,0)),"")</f>
        <v>C15</v>
      </c>
      <c r="C19" s="14" t="str">
        <f ca="1">IFERROR( IF(A19="","", VLOOKUP(A19,INDIRECT("'[" &amp;Info!$B$4&amp;"]"&amp;Info!$B$5&amp;"'!$A$6:$D$1000"),3,0)),"")</f>
        <v>A2 3000</v>
      </c>
      <c r="D19" s="31" t="str">
        <f ca="1">IF(C19="","", VLOOKUP(A19,INDIRECT("'[" &amp;Info!$B$4&amp;"]"&amp;Info!$B$5&amp;"'!$A$6:$T$1000"),20,0))</f>
        <v>SUS303Cu</v>
      </c>
      <c r="E19" s="6" t="str">
        <f ca="1">IF(D19="","", VLOOKUP(A19,INDIRECT("'[" &amp;Info!$B$4&amp;"]"&amp;Info!$B$5&amp;"'!$A$6:$U$1000"),21,0))</f>
        <v>ME</v>
      </c>
      <c r="F19" s="6" t="str">
        <f ca="1">IF(D19="","", VLOOKUP(A19,INDIRECT("'[" &amp;Info!$B$4&amp;"]"&amp;Info!$B$5&amp;"'!$A$6:$U$1000"),21,0))</f>
        <v>ME</v>
      </c>
      <c r="G19" s="6">
        <f ca="1">IF(D19="","", VLOOKUP(A19,INDIRECT("'[" &amp;Info!$B$4&amp;"]"&amp;Info!$B$5&amp;"'!$A$6:$V$1000"),22,0))</f>
        <v>6</v>
      </c>
      <c r="H19" s="6">
        <f ca="1">IF(D19="","", VLOOKUP(A19,INDIRECT("'[" &amp;Info!$B$4&amp;"]"&amp;Info!$B$5&amp;"'!$A$6:$W$1000"),23,0))</f>
        <v>0</v>
      </c>
      <c r="I19" s="6" t="str">
        <f ca="1">LOWER( IF(D19="","", VLOOKUP(A19,INDIRECT("'[" &amp;Info!$B$4&amp;"]"&amp;Info!$B$5&amp;"'!$A$6:$y$1000"),25,0)))</f>
        <v>h9</v>
      </c>
      <c r="J19" s="6">
        <f ca="1">IF(D19="","", VLOOKUP(A19,INDIRECT("'[" &amp;Info!$B$4&amp;"]"&amp;Info!$B$5&amp;"'!$A$6:$Z$1000"),26,0))</f>
        <v>3</v>
      </c>
      <c r="K19" s="35" t="str">
        <f ca="1">IF(D19="","", VLOOKUP(A19,INDIRECT("'[" &amp;Info!$B$4&amp;"]"&amp;Info!$B$5&amp;"'!$A$6:$AA$1000"),27,0))</f>
        <v>A17</v>
      </c>
      <c r="L19" s="35">
        <f ca="1">IF(D19="","", VLOOKUP(A19,INDIRECT("'[" &amp;Info!$B$4&amp;"]"&amp;Info!$B$5&amp;"'!$A$6:$H$1000"),8,0))</f>
        <v>6.9</v>
      </c>
      <c r="M19" s="35">
        <f ca="1">IF(D19="","", VLOOKUP(A19,INDIRECT("'[" &amp;Info!$B$4&amp;"]"&amp;Info!$B$5&amp;"'!$A$6:$F$1000"),6,0))</f>
        <v>51</v>
      </c>
      <c r="N19" s="33">
        <f ca="1">IF(C19="","", VLOOKUP(A19,INDIRECT("'[" &amp;Info!$B$4&amp;"]"&amp;Info!$B$5&amp;"'!$A$6:$Au$1000"),47,0))</f>
        <v>0</v>
      </c>
      <c r="O19" s="28">
        <f ca="1">IF(N19="","",IF(N19=0,0,VLOOKUP(A19,INDIRECT("'[" &amp;Info!$B$4&amp;"]"&amp;Info!$B$5&amp;"'!$A$6:$AH$1000"),34,0)))</f>
        <v>0</v>
      </c>
      <c r="P19" s="9">
        <f ca="1">IF(N19="","",IF(N19=0,0,VLOOKUP(A19,INDIRECT("'[" &amp;Info!$B$4&amp;"]"&amp;Info!$B$5&amp;"'!$A$6:$AW$1000"),49,0)))</f>
        <v>0</v>
      </c>
      <c r="Q19" s="9">
        <f ca="1">IF(N19="","",IF(N19=0,0, VLOOKUP(A19,INDIRECT("'[" &amp;Info!$B$4&amp;"]"&amp;Info!$B$5&amp;"'!$A$6:$AX$1000"),50,0)))</f>
        <v>0</v>
      </c>
      <c r="R19" s="29">
        <f ca="1">IF(N19="","",IF(N19=0,0, VLOOKUP(A19,INDIRECT("'[" &amp;Info!$B$4&amp;"]"&amp;Info!$B$5&amp;"'!$A$6:$AY$1000"),51,0)))</f>
        <v>0</v>
      </c>
      <c r="S19" s="15">
        <f ca="1">IF(N19="","",IF(N19=0,0,VLOOKUP(A19,INDIRECT("'[" &amp;Info!$B$4&amp;"]"&amp;Info!$B$5&amp;"'!$A$6:$Ai$1000"),35,0)))</f>
        <v>0</v>
      </c>
      <c r="T19" s="7">
        <f ca="1">IF(N19="","",IF(N19=0,0, VLOOKUP(A19,INDIRECT("'[" &amp;Info!$B$4&amp;"]"&amp;Info!$B$5&amp;"'!$A$6:$Az$1000"),52,0)))</f>
        <v>0</v>
      </c>
      <c r="U19" s="7">
        <f ca="1">IF(N19="","",IF(N19=0,0, VLOOKUP(A19,INDIRECT("'[" &amp;Info!$B$4&amp;"]"&amp;Info!$B$5&amp;"'!$A$6:$BA$1000"),53,0)))</f>
        <v>0</v>
      </c>
      <c r="V19" s="16">
        <f ca="1">IF(N19="","",IF(N19=0,0, VLOOKUP(A19,INDIRECT("'[" &amp;Info!$B$4&amp;"]"&amp;Info!$B$5&amp;"'!$A$6:$BB$1000"),54,0)))</f>
        <v>0</v>
      </c>
      <c r="W19" s="17">
        <f t="shared" ca="1" si="1"/>
        <v>0</v>
      </c>
      <c r="X19" s="18">
        <f t="shared" ca="1" si="2"/>
        <v>0</v>
      </c>
      <c r="Y19" s="19">
        <f t="shared" ca="1" si="3"/>
        <v>0</v>
      </c>
      <c r="Z19" s="18">
        <f t="shared" ca="1" si="4"/>
        <v>0</v>
      </c>
    </row>
    <row r="20" spans="1:26" x14ac:dyDescent="0.25">
      <c r="A20" s="8">
        <f ca="1">IFERROR( VLOOKUP(A19+1,INDIRECT("'[" &amp;Info!$B$4&amp;"]"&amp;Info!$B$5&amp;"'!$A$6:$A$1000"),1,0),"")</f>
        <v>16</v>
      </c>
      <c r="B20" s="5" t="str">
        <f ca="1">IFERROR( IF(A20="","", VLOOKUP(A20,INDIRECT("'[" &amp;Info!$B$4&amp;"]"&amp;Info!$B$5&amp;"'!$A$6:$B$1000"),2,0)),"")</f>
        <v>C16</v>
      </c>
      <c r="C20" s="14" t="str">
        <f ca="1">IFERROR( IF(A20="","", VLOOKUP(A20,INDIRECT("'[" &amp;Info!$B$4&amp;"]"&amp;Info!$B$5&amp;"'!$A$6:$D$1000"),3,0)),"")</f>
        <v>0604</v>
      </c>
      <c r="D20" s="31" t="str">
        <f ca="1">IF(C20="","", VLOOKUP(A20,INDIRECT("'[" &amp;Info!$B$4&amp;"]"&amp;Info!$B$5&amp;"'!$A$6:$T$1000"),20,0))</f>
        <v>C3604</v>
      </c>
      <c r="E20" s="6" t="str">
        <f ca="1">IF(D20="","", VLOOKUP(A20,INDIRECT("'[" &amp;Info!$B$4&amp;"]"&amp;Info!$B$5&amp;"'!$A$6:$U$1000"),21,0))</f>
        <v>GH</v>
      </c>
      <c r="F20" s="6" t="str">
        <f ca="1">IF(D20="","", VLOOKUP(A20,INDIRECT("'[" &amp;Info!$B$4&amp;"]"&amp;Info!$B$5&amp;"'!$A$6:$U$1000"),21,0))</f>
        <v>GH</v>
      </c>
      <c r="G20" s="6">
        <f ca="1">IF(D20="","", VLOOKUP(A20,INDIRECT("'[" &amp;Info!$B$4&amp;"]"&amp;Info!$B$5&amp;"'!$A$6:$V$1000"),22,0))</f>
        <v>10</v>
      </c>
      <c r="H20" s="6">
        <f ca="1">IF(D20="","", VLOOKUP(A20,INDIRECT("'[" &amp;Info!$B$4&amp;"]"&amp;Info!$B$5&amp;"'!$A$6:$W$1000"),23,0))</f>
        <v>0</v>
      </c>
      <c r="I20" s="6" t="str">
        <f ca="1">LOWER( IF(D20="","", VLOOKUP(A20,INDIRECT("'[" &amp;Info!$B$4&amp;"]"&amp;Info!$B$5&amp;"'!$A$6:$y$1000"),25,0)))</f>
        <v>h9</v>
      </c>
      <c r="J20" s="6">
        <f ca="1">IF(D20="","", VLOOKUP(A20,INDIRECT("'[" &amp;Info!$B$4&amp;"]"&amp;Info!$B$5&amp;"'!$A$6:$Z$1000"),26,0))</f>
        <v>2.5</v>
      </c>
      <c r="K20" s="35" t="str">
        <f ca="1">IF(D20="","", VLOOKUP(A20,INDIRECT("'[" &amp;Info!$B$4&amp;"]"&amp;Info!$B$5&amp;"'!$A$6:$AA$1000"),27,0))</f>
        <v>D17</v>
      </c>
      <c r="L20" s="35">
        <f ca="1">IF(D20="","", VLOOKUP(A20,INDIRECT("'[" &amp;Info!$B$4&amp;"]"&amp;Info!$B$5&amp;"'!$A$6:$H$1000"),8,0))</f>
        <v>4.07</v>
      </c>
      <c r="M20" s="35">
        <f ca="1">IF(D20="","", VLOOKUP(A20,INDIRECT("'[" &amp;Info!$B$4&amp;"]"&amp;Info!$B$5&amp;"'!$A$6:$F$1000"),6,0))</f>
        <v>129</v>
      </c>
      <c r="N20" s="33">
        <f ca="1">IF(C20="","", VLOOKUP(A20,INDIRECT("'[" &amp;Info!$B$4&amp;"]"&amp;Info!$B$5&amp;"'!$A$6:$Au$1000"),47,0))</f>
        <v>0</v>
      </c>
      <c r="O20" s="28">
        <f ca="1">IF(N20="","",IF(N20=0,0,VLOOKUP(A20,INDIRECT("'[" &amp;Info!$B$4&amp;"]"&amp;Info!$B$5&amp;"'!$A$6:$AH$1000"),34,0)))</f>
        <v>0</v>
      </c>
      <c r="P20" s="9">
        <f ca="1">IF(N20="","",IF(N20=0,0,VLOOKUP(A20,INDIRECT("'[" &amp;Info!$B$4&amp;"]"&amp;Info!$B$5&amp;"'!$A$6:$AW$1000"),49,0)))</f>
        <v>0</v>
      </c>
      <c r="Q20" s="9">
        <f ca="1">IF(N20="","",IF(N20=0,0, VLOOKUP(A20,INDIRECT("'[" &amp;Info!$B$4&amp;"]"&amp;Info!$B$5&amp;"'!$A$6:$AX$1000"),50,0)))</f>
        <v>0</v>
      </c>
      <c r="R20" s="29">
        <f ca="1">IF(N20="","",IF(N20=0,0, VLOOKUP(A20,INDIRECT("'[" &amp;Info!$B$4&amp;"]"&amp;Info!$B$5&amp;"'!$A$6:$AY$1000"),51,0)))</f>
        <v>0</v>
      </c>
      <c r="S20" s="15">
        <f ca="1">IF(N20="","",IF(N20=0,0,VLOOKUP(A20,INDIRECT("'[" &amp;Info!$B$4&amp;"]"&amp;Info!$B$5&amp;"'!$A$6:$Ai$1000"),35,0)))</f>
        <v>0</v>
      </c>
      <c r="T20" s="7">
        <f ca="1">IF(N20="","",IF(N20=0,0, VLOOKUP(A20,INDIRECT("'[" &amp;Info!$B$4&amp;"]"&amp;Info!$B$5&amp;"'!$A$6:$Az$1000"),52,0)))</f>
        <v>0</v>
      </c>
      <c r="U20" s="7">
        <f ca="1">IF(N20="","",IF(N20=0,0, VLOOKUP(A20,INDIRECT("'[" &amp;Info!$B$4&amp;"]"&amp;Info!$B$5&amp;"'!$A$6:$BA$1000"),53,0)))</f>
        <v>0</v>
      </c>
      <c r="V20" s="16">
        <f ca="1">IF(N20="","",IF(N20=0,0, VLOOKUP(A20,INDIRECT("'[" &amp;Info!$B$4&amp;"]"&amp;Info!$B$5&amp;"'!$A$6:$BB$1000"),54,0)))</f>
        <v>0</v>
      </c>
      <c r="W20" s="17">
        <f t="shared" ca="1" si="1"/>
        <v>0</v>
      </c>
      <c r="X20" s="18">
        <f t="shared" ca="1" si="2"/>
        <v>0</v>
      </c>
      <c r="Y20" s="19">
        <f t="shared" ca="1" si="3"/>
        <v>0</v>
      </c>
      <c r="Z20" s="18">
        <f t="shared" ca="1" si="4"/>
        <v>0</v>
      </c>
    </row>
    <row r="21" spans="1:26" x14ac:dyDescent="0.25">
      <c r="A21" s="8">
        <f ca="1">IFERROR( VLOOKUP(A20+1,INDIRECT("'[" &amp;Info!$B$4&amp;"]"&amp;Info!$B$5&amp;"'!$A$6:$A$1000"),1,0),"")</f>
        <v>17</v>
      </c>
      <c r="B21" s="5" t="str">
        <f ca="1">IFERROR( IF(A21="","", VLOOKUP(A21,INDIRECT("'[" &amp;Info!$B$4&amp;"]"&amp;Info!$B$5&amp;"'!$A$6:$B$1000"),2,0)),"")</f>
        <v>C17</v>
      </c>
      <c r="C21" s="14" t="str">
        <f ca="1">IFERROR( IF(A21="","", VLOOKUP(A21,INDIRECT("'[" &amp;Info!$B$4&amp;"]"&amp;Info!$B$5&amp;"'!$A$6:$D$1000"),3,0)),"")</f>
        <v>131100</v>
      </c>
      <c r="D21" s="31" t="str">
        <f ca="1">IF(C21="","", VLOOKUP(A21,INDIRECT("'[" &amp;Info!$B$4&amp;"]"&amp;Info!$B$5&amp;"'!$A$6:$T$1000"),20,0))</f>
        <v>A6063-T5</v>
      </c>
      <c r="E21" s="6" t="str">
        <f ca="1">IF(D21="","", VLOOKUP(A21,INDIRECT("'[" &amp;Info!$B$4&amp;"]"&amp;Info!$B$5&amp;"'!$A$6:$U$1000"),21,0))</f>
        <v>GW</v>
      </c>
      <c r="F21" s="6" t="str">
        <f ca="1">IF(D21="","", VLOOKUP(A21,INDIRECT("'[" &amp;Info!$B$4&amp;"]"&amp;Info!$B$5&amp;"'!$A$6:$U$1000"),21,0))</f>
        <v>GW</v>
      </c>
      <c r="G21" s="6">
        <f ca="1">IF(D21="","", VLOOKUP(A21,INDIRECT("'[" &amp;Info!$B$4&amp;"]"&amp;Info!$B$5&amp;"'!$A$6:$V$1000"),22,0))</f>
        <v>18.149999999999999</v>
      </c>
      <c r="H21" s="6">
        <f ca="1">IF(D21="","", VLOOKUP(A21,INDIRECT("'[" &amp;Info!$B$4&amp;"]"&amp;Info!$B$5&amp;"'!$A$6:$W$1000"),23,0))</f>
        <v>8.6</v>
      </c>
      <c r="I21" s="6" t="str">
        <f ca="1">LOWER( IF(D21="","", VLOOKUP(A21,INDIRECT("'[" &amp;Info!$B$4&amp;"]"&amp;Info!$B$5&amp;"'!$A$6:$y$1000"),25,0)))</f>
        <v>h9</v>
      </c>
      <c r="J21" s="6">
        <f ca="1">IF(D21="","", VLOOKUP(A21,INDIRECT("'[" &amp;Info!$B$4&amp;"]"&amp;Info!$B$5&amp;"'!$A$6:$Z$1000"),26,0))</f>
        <v>3</v>
      </c>
      <c r="K21" s="35" t="str">
        <f ca="1">IF(D21="","", VLOOKUP(A21,INDIRECT("'[" &amp;Info!$B$4&amp;"]"&amp;Info!$B$5&amp;"'!$A$6:$AA$1000"),27,0))</f>
        <v>J17</v>
      </c>
      <c r="L21" s="35">
        <f ca="1">IF(D21="","", VLOOKUP(A21,INDIRECT("'[" &amp;Info!$B$4&amp;"]"&amp;Info!$B$5&amp;"'!$A$6:$H$1000"),8,0))</f>
        <v>9.9</v>
      </c>
      <c r="M21" s="35">
        <f ca="1">IF(D21="","", VLOOKUP(A21,INDIRECT("'[" &amp;Info!$B$4&amp;"]"&amp;Info!$B$5&amp;"'!$A$6:$F$1000"),6,0))</f>
        <v>70</v>
      </c>
      <c r="N21" s="33">
        <f ca="1">IF(C21="","", VLOOKUP(A21,INDIRECT("'[" &amp;Info!$B$4&amp;"]"&amp;Info!$B$5&amp;"'!$A$6:$Au$1000"),47,0))</f>
        <v>12</v>
      </c>
      <c r="O21" s="28">
        <f ca="1">IF(N21="","",IF(N21=0,0,VLOOKUP(A21,INDIRECT("'[" &amp;Info!$B$4&amp;"]"&amp;Info!$B$5&amp;"'!$A$6:$AH$1000"),34,0)))</f>
        <v>0</v>
      </c>
      <c r="P21" s="9">
        <f ca="1">IF(N21="","",IF(N21=0,0,VLOOKUP(A21,INDIRECT("'[" &amp;Info!$B$4&amp;"]"&amp;Info!$B$5&amp;"'!$A$6:$AW$1000"),49,0)))</f>
        <v>0</v>
      </c>
      <c r="Q21" s="9">
        <f ca="1">IF(N21="","",IF(N21=0,0, VLOOKUP(A21,INDIRECT("'[" &amp;Info!$B$4&amp;"]"&amp;Info!$B$5&amp;"'!$A$6:$AX$1000"),50,0)))</f>
        <v>0</v>
      </c>
      <c r="R21" s="29">
        <f ca="1">IF(N21="","",IF(N21=0,0, VLOOKUP(A21,INDIRECT("'[" &amp;Info!$B$4&amp;"]"&amp;Info!$B$5&amp;"'!$A$6:$AY$1000"),51,0)))</f>
        <v>0</v>
      </c>
      <c r="S21" s="15">
        <f ca="1">IF(N21="","",IF(N21=0,0,VLOOKUP(A21,INDIRECT("'[" &amp;Info!$B$4&amp;"]"&amp;Info!$B$5&amp;"'!$A$6:$Ai$1000"),35,0)))</f>
        <v>6</v>
      </c>
      <c r="T21" s="7">
        <f ca="1">IF(N21="","",IF(N21=0,0, VLOOKUP(A21,INDIRECT("'[" &amp;Info!$B$4&amp;"]"&amp;Info!$B$5&amp;"'!$A$6:$Az$1000"),52,0)))</f>
        <v>474</v>
      </c>
      <c r="U21" s="7">
        <f ca="1">IF(N21="","",IF(N21=0,0, VLOOKUP(A21,INDIRECT("'[" &amp;Info!$B$4&amp;"]"&amp;Info!$B$5&amp;"'!$A$6:$BA$1000"),53,0)))</f>
        <v>0</v>
      </c>
      <c r="V21" s="16">
        <f ca="1">IF(N21="","",IF(N21=0,0, VLOOKUP(A21,INDIRECT("'[" &amp;Info!$B$4&amp;"]"&amp;Info!$B$5&amp;"'!$A$6:$BB$1000"),54,0)))</f>
        <v>0</v>
      </c>
      <c r="W21" s="17">
        <f t="shared" ca="1" si="1"/>
        <v>6</v>
      </c>
      <c r="X21" s="18">
        <f t="shared" ca="1" si="2"/>
        <v>474</v>
      </c>
      <c r="Y21" s="19">
        <f t="shared" ca="1" si="3"/>
        <v>0</v>
      </c>
      <c r="Z21" s="18">
        <f t="shared" ca="1" si="4"/>
        <v>0</v>
      </c>
    </row>
    <row r="22" spans="1:26" x14ac:dyDescent="0.25">
      <c r="A22" s="8">
        <f ca="1">IFERROR( VLOOKUP(A21+1,INDIRECT("'[" &amp;Info!$B$4&amp;"]"&amp;Info!$B$5&amp;"'!$A$6:$A$1000"),1,0),"")</f>
        <v>18</v>
      </c>
      <c r="B22" s="5" t="str">
        <f ca="1">IFERROR( IF(A22="","", VLOOKUP(A22,INDIRECT("'[" &amp;Info!$B$4&amp;"]"&amp;Info!$B$5&amp;"'!$A$6:$B$1000"),2,0)),"")</f>
        <v>C18</v>
      </c>
      <c r="C22" s="14" t="str">
        <f ca="1">IFERROR( IF(A22="","", VLOOKUP(A22,INDIRECT("'[" &amp;Info!$B$4&amp;"]"&amp;Info!$B$5&amp;"'!$A$6:$D$1000"),3,0)),"")</f>
        <v>H2739</v>
      </c>
      <c r="D22" s="31" t="str">
        <f ca="1">IF(C22="","", VLOOKUP(A22,INDIRECT("'[" &amp;Info!$B$4&amp;"]"&amp;Info!$B$5&amp;"'!$A$6:$T$1000"),20,0))</f>
        <v>C3604</v>
      </c>
      <c r="E22" s="6" t="str">
        <f ca="1">IF(D22="","", VLOOKUP(A22,INDIRECT("'[" &amp;Info!$B$4&amp;"]"&amp;Info!$B$5&amp;"'!$A$6:$U$1000"),21,0))</f>
        <v>GH</v>
      </c>
      <c r="F22" s="6" t="str">
        <f ca="1">IF(D22="","", VLOOKUP(A22,INDIRECT("'[" &amp;Info!$B$4&amp;"]"&amp;Info!$B$5&amp;"'!$A$6:$U$1000"),21,0))</f>
        <v>GH</v>
      </c>
      <c r="G22" s="6">
        <f ca="1">IF(D22="","", VLOOKUP(A22,INDIRECT("'[" &amp;Info!$B$4&amp;"]"&amp;Info!$B$5&amp;"'!$A$6:$V$1000"),22,0))</f>
        <v>10</v>
      </c>
      <c r="H22" s="6">
        <f ca="1">IF(D22="","", VLOOKUP(A22,INDIRECT("'[" &amp;Info!$B$4&amp;"]"&amp;Info!$B$5&amp;"'!$A$6:$W$1000"),23,0))</f>
        <v>0</v>
      </c>
      <c r="I22" s="6" t="str">
        <f ca="1">LOWER( IF(D22="","", VLOOKUP(A22,INDIRECT("'[" &amp;Info!$B$4&amp;"]"&amp;Info!$B$5&amp;"'!$A$6:$y$1000"),25,0)))</f>
        <v>h11</v>
      </c>
      <c r="J22" s="6">
        <f ca="1">IF(D22="","", VLOOKUP(A22,INDIRECT("'[" &amp;Info!$B$4&amp;"]"&amp;Info!$B$5&amp;"'!$A$6:$Z$1000"),26,0))</f>
        <v>2.5</v>
      </c>
      <c r="K22" s="35" t="str">
        <f ca="1">IF(D22="","", VLOOKUP(A22,INDIRECT("'[" &amp;Info!$B$4&amp;"]"&amp;Info!$B$5&amp;"'!$A$6:$AA$1000"),27,0))</f>
        <v>E17</v>
      </c>
      <c r="L22" s="35">
        <f ca="1">IF(D22="","", VLOOKUP(A22,INDIRECT("'[" &amp;Info!$B$4&amp;"]"&amp;Info!$B$5&amp;"'!$A$6:$H$1000"),8,0))</f>
        <v>5.86</v>
      </c>
      <c r="M22" s="35">
        <f ca="1">IF(D22="","", VLOOKUP(A22,INDIRECT("'[" &amp;Info!$B$4&amp;"]"&amp;Info!$B$5&amp;"'!$A$6:$F$1000"),6,0))</f>
        <v>80</v>
      </c>
      <c r="N22" s="33">
        <f ca="1">IF(C22="","", VLOOKUP(A22,INDIRECT("'[" &amp;Info!$B$4&amp;"]"&amp;Info!$B$5&amp;"'!$A$6:$Au$1000"),47,0))</f>
        <v>12</v>
      </c>
      <c r="O22" s="28">
        <f ca="1">IF(N22="","",IF(N22=0,0,VLOOKUP(A22,INDIRECT("'[" &amp;Info!$B$4&amp;"]"&amp;Info!$B$5&amp;"'!$A$6:$AH$1000"),34,0)))</f>
        <v>15</v>
      </c>
      <c r="P22" s="9">
        <f ca="1">IF(N22="","",IF(N22=0,0,VLOOKUP(A22,INDIRECT("'[" &amp;Info!$B$4&amp;"]"&amp;Info!$B$5&amp;"'!$A$6:$AW$1000"),49,0)))</f>
        <v>1163</v>
      </c>
      <c r="Q22" s="9">
        <f ca="1">IF(N22="","",IF(N22=0,0, VLOOKUP(A22,INDIRECT("'[" &amp;Info!$B$4&amp;"]"&amp;Info!$B$5&amp;"'!$A$6:$AX$1000"),50,0)))</f>
        <v>0</v>
      </c>
      <c r="R22" s="29">
        <f ca="1">IF(N22="","",IF(N22=0,0, VLOOKUP(A22,INDIRECT("'[" &amp;Info!$B$4&amp;"]"&amp;Info!$B$5&amp;"'!$A$6:$AY$1000"),51,0)))</f>
        <v>0</v>
      </c>
      <c r="S22" s="15">
        <f ca="1">IF(N22="","",IF(N22=0,0,VLOOKUP(A22,INDIRECT("'[" &amp;Info!$B$4&amp;"]"&amp;Info!$B$5&amp;"'!$A$6:$Ai$1000"),35,0)))</f>
        <v>16</v>
      </c>
      <c r="T22" s="7">
        <f ca="1">IF(N22="","",IF(N22=0,0, VLOOKUP(A22,INDIRECT("'[" &amp;Info!$B$4&amp;"]"&amp;Info!$B$5&amp;"'!$A$6:$Az$1000"),52,0)))</f>
        <v>1073</v>
      </c>
      <c r="U22" s="7">
        <f ca="1">IF(N22="","",IF(N22=0,0, VLOOKUP(A22,INDIRECT("'[" &amp;Info!$B$4&amp;"]"&amp;Info!$B$5&amp;"'!$A$6:$BA$1000"),53,0)))</f>
        <v>0</v>
      </c>
      <c r="V22" s="16">
        <f ca="1">IF(N22="","",IF(N22=0,0, VLOOKUP(A22,INDIRECT("'[" &amp;Info!$B$4&amp;"]"&amp;Info!$B$5&amp;"'!$A$6:$BB$1000"),54,0)))</f>
        <v>0</v>
      </c>
      <c r="W22" s="17">
        <f t="shared" ca="1" si="1"/>
        <v>31</v>
      </c>
      <c r="X22" s="18">
        <f t="shared" ca="1" si="2"/>
        <v>2236</v>
      </c>
      <c r="Y22" s="19">
        <f t="shared" ca="1" si="3"/>
        <v>0</v>
      </c>
      <c r="Z22" s="18">
        <f t="shared" ca="1" si="4"/>
        <v>0</v>
      </c>
    </row>
    <row r="23" spans="1:26" x14ac:dyDescent="0.25">
      <c r="A23" s="8">
        <f ca="1">IFERROR( VLOOKUP(A22+1,INDIRECT("'[" &amp;Info!$B$4&amp;"]"&amp;Info!$B$5&amp;"'!$A$6:$A$1000"),1,0),"")</f>
        <v>19</v>
      </c>
      <c r="B23" s="5" t="str">
        <f ca="1">IFERROR( IF(A23="","", VLOOKUP(A23,INDIRECT("'[" &amp;Info!$B$4&amp;"]"&amp;Info!$B$5&amp;"'!$A$6:$B$1000"),2,0)),"")</f>
        <v>C19</v>
      </c>
      <c r="C23" s="14" t="str">
        <f ca="1">IFERROR( IF(A23="","", VLOOKUP(A23,INDIRECT("'[" &amp;Info!$B$4&amp;"]"&amp;Info!$B$5&amp;"'!$A$6:$D$1000"),3,0)),"")</f>
        <v>Y18800</v>
      </c>
      <c r="D23" s="31" t="str">
        <f ca="1">IF(C23="","", VLOOKUP(A23,INDIRECT("'[" &amp;Info!$B$4&amp;"]"&amp;Info!$B$5&amp;"'!$A$6:$T$1000"),20,0))</f>
        <v>A6063-T5</v>
      </c>
      <c r="E23" s="6" t="str">
        <f ca="1">IF(D23="","", VLOOKUP(A23,INDIRECT("'[" &amp;Info!$B$4&amp;"]"&amp;Info!$B$5&amp;"'!$A$6:$U$1000"),21,0))</f>
        <v>GW</v>
      </c>
      <c r="F23" s="6" t="str">
        <f ca="1">IF(D23="","", VLOOKUP(A23,INDIRECT("'[" &amp;Info!$B$4&amp;"]"&amp;Info!$B$5&amp;"'!$A$6:$U$1000"),21,0))</f>
        <v>GW</v>
      </c>
      <c r="G23" s="6">
        <f ca="1">IF(D23="","", VLOOKUP(A23,INDIRECT("'[" &amp;Info!$B$4&amp;"]"&amp;Info!$B$5&amp;"'!$A$6:$V$1000"),22,0))</f>
        <v>8.3000000000000007</v>
      </c>
      <c r="H23" s="6">
        <f ca="1">IF(D23="","", VLOOKUP(A23,INDIRECT("'[" &amp;Info!$B$4&amp;"]"&amp;Info!$B$5&amp;"'!$A$6:$W$1000"),23,0))</f>
        <v>0</v>
      </c>
      <c r="I23" s="6" t="str">
        <f ca="1">LOWER( IF(D23="","", VLOOKUP(A23,INDIRECT("'[" &amp;Info!$B$4&amp;"]"&amp;Info!$B$5&amp;"'!$A$6:$y$1000"),25,0)))</f>
        <v>h9</v>
      </c>
      <c r="J23" s="6">
        <f ca="1">IF(D23="","", VLOOKUP(A23,INDIRECT("'[" &amp;Info!$B$4&amp;"]"&amp;Info!$B$5&amp;"'!$A$6:$Z$1000"),26,0))</f>
        <v>3</v>
      </c>
      <c r="K23" s="35" t="str">
        <f ca="1">IF(D23="","", VLOOKUP(A23,INDIRECT("'[" &amp;Info!$B$4&amp;"]"&amp;Info!$B$5&amp;"'!$A$6:$AA$1000"),27,0))</f>
        <v>C16</v>
      </c>
      <c r="L23" s="35">
        <f ca="1">IF(D23="","", VLOOKUP(A23,INDIRECT("'[" &amp;Info!$B$4&amp;"]"&amp;Info!$B$5&amp;"'!$A$6:$H$1000"),8,0))</f>
        <v>1.07</v>
      </c>
      <c r="M23" s="35">
        <f ca="1">IF(D23="","", VLOOKUP(A23,INDIRECT("'[" &amp;Info!$B$4&amp;"]"&amp;Info!$B$5&amp;"'!$A$6:$F$1000"),6,0))</f>
        <v>298</v>
      </c>
      <c r="N23" s="33">
        <f ca="1">IF(C23="","", VLOOKUP(A23,INDIRECT("'[" &amp;Info!$B$4&amp;"]"&amp;Info!$B$5&amp;"'!$A$6:$Au$1000"),47,0))</f>
        <v>7</v>
      </c>
      <c r="O23" s="28">
        <f ca="1">IF(N23="","",IF(N23=0,0,VLOOKUP(A23,INDIRECT("'[" &amp;Info!$B$4&amp;"]"&amp;Info!$B$5&amp;"'!$A$6:$AH$1000"),34,0)))</f>
        <v>8</v>
      </c>
      <c r="P23" s="9">
        <f ca="1">IF(N23="","",IF(N23=0,0,VLOOKUP(A23,INDIRECT("'[" &amp;Info!$B$4&amp;"]"&amp;Info!$B$5&amp;"'!$A$6:$AW$1000"),49,0)))</f>
        <v>1319</v>
      </c>
      <c r="Q23" s="9">
        <f ca="1">IF(N23="","",IF(N23=0,0, VLOOKUP(A23,INDIRECT("'[" &amp;Info!$B$4&amp;"]"&amp;Info!$B$5&amp;"'!$A$6:$AX$1000"),50,0)))</f>
        <v>699</v>
      </c>
      <c r="R23" s="29">
        <f ca="1">IF(N23="","",IF(N23=0,0, VLOOKUP(A23,INDIRECT("'[" &amp;Info!$B$4&amp;"]"&amp;Info!$B$5&amp;"'!$A$6:$AY$1000"),51,0)))</f>
        <v>0</v>
      </c>
      <c r="S23" s="15">
        <f ca="1">IF(N23="","",IF(N23=0,0,VLOOKUP(A23,INDIRECT("'[" &amp;Info!$B$4&amp;"]"&amp;Info!$B$5&amp;"'!$A$6:$Ai$1000"),35,0)))</f>
        <v>7</v>
      </c>
      <c r="T23" s="7">
        <f ca="1">IF(N23="","",IF(N23=0,0, VLOOKUP(A23,INDIRECT("'[" &amp;Info!$B$4&amp;"]"&amp;Info!$B$5&amp;"'!$A$6:$Az$1000"),52,0)))</f>
        <v>2139</v>
      </c>
      <c r="U23" s="7">
        <f ca="1">IF(N23="","",IF(N23=0,0, VLOOKUP(A23,INDIRECT("'[" &amp;Info!$B$4&amp;"]"&amp;Info!$B$5&amp;"'!$A$6:$BA$1000"),53,0)))</f>
        <v>0</v>
      </c>
      <c r="V23" s="16">
        <f ca="1">IF(N23="","",IF(N23=0,0, VLOOKUP(A23,INDIRECT("'[" &amp;Info!$B$4&amp;"]"&amp;Info!$B$5&amp;"'!$A$6:$BB$1000"),54,0)))</f>
        <v>0</v>
      </c>
      <c r="W23" s="17">
        <f t="shared" ca="1" si="1"/>
        <v>15</v>
      </c>
      <c r="X23" s="18">
        <f t="shared" ca="1" si="2"/>
        <v>3458</v>
      </c>
      <c r="Y23" s="19">
        <f t="shared" ca="1" si="3"/>
        <v>699</v>
      </c>
      <c r="Z23" s="18">
        <f t="shared" ca="1" si="4"/>
        <v>0</v>
      </c>
    </row>
    <row r="24" spans="1:26" x14ac:dyDescent="0.25">
      <c r="A24" s="8">
        <f ca="1">IFERROR( VLOOKUP(A23+1,INDIRECT("'[" &amp;Info!$B$4&amp;"]"&amp;Info!$B$5&amp;"'!$A$6:$A$1000"),1,0),"")</f>
        <v>20</v>
      </c>
      <c r="B24" s="5" t="str">
        <f ca="1">IFERROR( IF(A24="","", VLOOKUP(A24,INDIRECT("'[" &amp;Info!$B$4&amp;"]"&amp;Info!$B$5&amp;"'!$A$6:$B$1000"),2,0)),"")</f>
        <v>C20</v>
      </c>
      <c r="C24" s="14" t="str">
        <f ca="1">IFERROR( IF(A24="","", VLOOKUP(A24,INDIRECT("'[" &amp;Info!$B$4&amp;"]"&amp;Info!$B$5&amp;"'!$A$6:$D$1000"),3,0)),"")</f>
        <v>0902</v>
      </c>
      <c r="D24" s="31" t="str">
        <f ca="1">IF(C24="","", VLOOKUP(A24,INDIRECT("'[" &amp;Info!$B$4&amp;"]"&amp;Info!$B$5&amp;"'!$A$6:$T$1000"),20,0))</f>
        <v>SUS430F</v>
      </c>
      <c r="E24" s="6" t="str">
        <f ca="1">IF(D24="","", VLOOKUP(A24,INDIRECT("'[" &amp;Info!$B$4&amp;"]"&amp;Info!$B$5&amp;"'!$A$6:$U$1000"),21,0))</f>
        <v>ME</v>
      </c>
      <c r="F24" s="6" t="str">
        <f ca="1">IF(D24="","", VLOOKUP(A24,INDIRECT("'[" &amp;Info!$B$4&amp;"]"&amp;Info!$B$5&amp;"'!$A$6:$U$1000"),21,0))</f>
        <v>ME</v>
      </c>
      <c r="G24" s="6">
        <f ca="1">IF(D24="","", VLOOKUP(A24,INDIRECT("'[" &amp;Info!$B$4&amp;"]"&amp;Info!$B$5&amp;"'!$A$6:$V$1000"),22,0))</f>
        <v>9</v>
      </c>
      <c r="H24" s="6">
        <f ca="1">IF(D24="","", VLOOKUP(A24,INDIRECT("'[" &amp;Info!$B$4&amp;"]"&amp;Info!$B$5&amp;"'!$A$6:$W$1000"),23,0))</f>
        <v>0</v>
      </c>
      <c r="I24" s="6" t="str">
        <f ca="1">LOWER( IF(D24="","", VLOOKUP(A24,INDIRECT("'[" &amp;Info!$B$4&amp;"]"&amp;Info!$B$5&amp;"'!$A$6:$y$1000"),25,0)))</f>
        <v>h9</v>
      </c>
      <c r="J24" s="6">
        <f ca="1">IF(D24="","", VLOOKUP(A24,INDIRECT("'[" &amp;Info!$B$4&amp;"]"&amp;Info!$B$5&amp;"'!$A$6:$Z$1000"),26,0))</f>
        <v>3</v>
      </c>
      <c r="K24" s="35" t="str">
        <f ca="1">IF(D24="","", VLOOKUP(A24,INDIRECT("'[" &amp;Info!$B$4&amp;"]"&amp;Info!$B$5&amp;"'!$A$6:$AA$1000"),27,0))</f>
        <v>A17</v>
      </c>
      <c r="L24" s="35">
        <f ca="1">IF(D24="","", VLOOKUP(A24,INDIRECT("'[" &amp;Info!$B$4&amp;"]"&amp;Info!$B$5&amp;"'!$A$6:$H$1000"),8,0))</f>
        <v>4.9000000000000004</v>
      </c>
      <c r="M24" s="35">
        <f ca="1">IF(D24="","", VLOOKUP(A24,INDIRECT("'[" &amp;Info!$B$4&amp;"]"&amp;Info!$B$5&amp;"'!$A$6:$F$1000"),6,0))</f>
        <v>151</v>
      </c>
      <c r="N24" s="33">
        <f ca="1">IF(C24="","", VLOOKUP(A24,INDIRECT("'[" &amp;Info!$B$4&amp;"]"&amp;Info!$B$5&amp;"'!$A$6:$Au$1000"),47,0))</f>
        <v>12</v>
      </c>
      <c r="O24" s="28">
        <f ca="1">IF(N24="","",IF(N24=0,0,VLOOKUP(A24,INDIRECT("'[" &amp;Info!$B$4&amp;"]"&amp;Info!$B$5&amp;"'!$A$6:$AH$1000"),34,0)))</f>
        <v>5</v>
      </c>
      <c r="P24" s="9">
        <f ca="1">IF(N24="","",IF(N24=0,0,VLOOKUP(A24,INDIRECT("'[" &amp;Info!$B$4&amp;"]"&amp;Info!$B$5&amp;"'!$A$6:$AW$1000"),49,0)))</f>
        <v>773</v>
      </c>
      <c r="Q24" s="9">
        <f ca="1">IF(N24="","",IF(N24=0,0, VLOOKUP(A24,INDIRECT("'[" &amp;Info!$B$4&amp;"]"&amp;Info!$B$5&amp;"'!$A$6:$AX$1000"),50,0)))</f>
        <v>0</v>
      </c>
      <c r="R24" s="29">
        <f ca="1">IF(N24="","",IF(N24=0,0, VLOOKUP(A24,INDIRECT("'[" &amp;Info!$B$4&amp;"]"&amp;Info!$B$5&amp;"'!$A$6:$AY$1000"),51,0)))</f>
        <v>0</v>
      </c>
      <c r="S24" s="15">
        <f ca="1">IF(N24="","",IF(N24=0,0,VLOOKUP(A24,INDIRECT("'[" &amp;Info!$B$4&amp;"]"&amp;Info!$B$5&amp;"'!$A$6:$Ai$1000"),35,0)))</f>
        <v>1</v>
      </c>
      <c r="T24" s="7">
        <f ca="1">IF(N24="","",IF(N24=0,0, VLOOKUP(A24,INDIRECT("'[" &amp;Info!$B$4&amp;"]"&amp;Info!$B$5&amp;"'!$A$6:$Az$1000"),52,0)))</f>
        <v>171</v>
      </c>
      <c r="U24" s="7">
        <f ca="1">IF(N24="","",IF(N24=0,0, VLOOKUP(A24,INDIRECT("'[" &amp;Info!$B$4&amp;"]"&amp;Info!$B$5&amp;"'!$A$6:$BA$1000"),53,0)))</f>
        <v>0</v>
      </c>
      <c r="V24" s="16">
        <f ca="1">IF(N24="","",IF(N24=0,0, VLOOKUP(A24,INDIRECT("'[" &amp;Info!$B$4&amp;"]"&amp;Info!$B$5&amp;"'!$A$6:$BB$1000"),54,0)))</f>
        <v>0</v>
      </c>
      <c r="W24" s="17">
        <f t="shared" ca="1" si="1"/>
        <v>6</v>
      </c>
      <c r="X24" s="18">
        <f t="shared" ca="1" si="2"/>
        <v>944</v>
      </c>
      <c r="Y24" s="19">
        <f t="shared" ca="1" si="3"/>
        <v>0</v>
      </c>
      <c r="Z24" s="18">
        <f t="shared" ca="1" si="4"/>
        <v>0</v>
      </c>
    </row>
    <row r="25" spans="1:26" x14ac:dyDescent="0.25">
      <c r="A25" s="8">
        <f ca="1">IFERROR( VLOOKUP(A24+1,INDIRECT("'[" &amp;Info!$B$4&amp;"]"&amp;Info!$B$5&amp;"'!$A$6:$A$1000"),1,0),"")</f>
        <v>21</v>
      </c>
      <c r="B25" s="5" t="str">
        <f ca="1">IFERROR( IF(A25="","", VLOOKUP(A25,INDIRECT("'[" &amp;Info!$B$4&amp;"]"&amp;Info!$B$5&amp;"'!$A$6:$B$1000"),2,0)),"")</f>
        <v>C21</v>
      </c>
      <c r="C25" s="14" t="str">
        <f ca="1">IFERROR( IF(A25="","", VLOOKUP(A25,INDIRECT("'[" &amp;Info!$B$4&amp;"]"&amp;Info!$B$5&amp;"'!$A$6:$D$1000"),3,0)),"")</f>
        <v>S10</v>
      </c>
      <c r="D25" s="31" t="str">
        <f ca="1">IF(C25="","", VLOOKUP(A25,INDIRECT("'[" &amp;Info!$B$4&amp;"]"&amp;Info!$B$5&amp;"'!$A$6:$T$1000"),20,0))</f>
        <v>12L14</v>
      </c>
      <c r="E25" s="6" t="str">
        <f ca="1">IF(D25="","", VLOOKUP(A25,INDIRECT("'[" &amp;Info!$B$4&amp;"]"&amp;Info!$B$5&amp;"'!$A$6:$U$1000"),21,0))</f>
        <v>LT</v>
      </c>
      <c r="F25" s="6" t="str">
        <f ca="1">IF(D25="","", VLOOKUP(A25,INDIRECT("'[" &amp;Info!$B$4&amp;"]"&amp;Info!$B$5&amp;"'!$A$6:$U$1000"),21,0))</f>
        <v>LT</v>
      </c>
      <c r="G25" s="6">
        <f ca="1">IF(D25="","", VLOOKUP(A25,INDIRECT("'[" &amp;Info!$B$4&amp;"]"&amp;Info!$B$5&amp;"'!$A$6:$V$1000"),22,0))</f>
        <v>6</v>
      </c>
      <c r="H25" s="6">
        <f ca="1">IF(D25="","", VLOOKUP(A25,INDIRECT("'[" &amp;Info!$B$4&amp;"]"&amp;Info!$B$5&amp;"'!$A$6:$W$1000"),23,0))</f>
        <v>0</v>
      </c>
      <c r="I25" s="6" t="str">
        <f ca="1">LOWER( IF(D25="","", VLOOKUP(A25,INDIRECT("'[" &amp;Info!$B$4&amp;"]"&amp;Info!$B$5&amp;"'!$A$6:$y$1000"),25,0)))</f>
        <v>h11</v>
      </c>
      <c r="J25" s="6">
        <f ca="1">IF(D25="","", VLOOKUP(A25,INDIRECT("'[" &amp;Info!$B$4&amp;"]"&amp;Info!$B$5&amp;"'!$A$6:$Z$1000"),26,0))</f>
        <v>3</v>
      </c>
      <c r="K25" s="35" t="str">
        <f ca="1">IF(D25="","", VLOOKUP(A25,INDIRECT("'[" &amp;Info!$B$4&amp;"]"&amp;Info!$B$5&amp;"'!$A$6:$AA$1000"),27,0))</f>
        <v>A17</v>
      </c>
      <c r="L25" s="35">
        <f ca="1">IF(D25="","", VLOOKUP(A25,INDIRECT("'[" &amp;Info!$B$4&amp;"]"&amp;Info!$B$5&amp;"'!$A$6:$H$1000"),8,0))</f>
        <v>14.3</v>
      </c>
      <c r="M25" s="35">
        <f ca="1">IF(D25="","", VLOOKUP(A25,INDIRECT("'[" &amp;Info!$B$4&amp;"]"&amp;Info!$B$5&amp;"'!$A$6:$F$1000"),6,0))</f>
        <v>34</v>
      </c>
      <c r="N25" s="33">
        <f ca="1">IF(C25="","", VLOOKUP(A25,INDIRECT("'[" &amp;Info!$B$4&amp;"]"&amp;Info!$B$5&amp;"'!$A$6:$Au$1000"),47,0))</f>
        <v>2</v>
      </c>
      <c r="O25" s="28">
        <f ca="1">IF(N25="","",IF(N25=0,0,VLOOKUP(A25,INDIRECT("'[" &amp;Info!$B$4&amp;"]"&amp;Info!$B$5&amp;"'!$A$6:$AH$1000"),34,0)))</f>
        <v>28</v>
      </c>
      <c r="P25" s="9">
        <f ca="1">IF(N25="","",IF(N25=0,0,VLOOKUP(A25,INDIRECT("'[" &amp;Info!$B$4&amp;"]"&amp;Info!$B$5&amp;"'!$A$6:$AW$1000"),49,0)))</f>
        <v>993</v>
      </c>
      <c r="Q25" s="9">
        <f ca="1">IF(N25="","",IF(N25=0,0, VLOOKUP(A25,INDIRECT("'[" &amp;Info!$B$4&amp;"]"&amp;Info!$B$5&amp;"'!$A$6:$AX$1000"),50,0)))</f>
        <v>0</v>
      </c>
      <c r="R25" s="29">
        <f ca="1">IF(N25="","",IF(N25=0,0, VLOOKUP(A25,INDIRECT("'[" &amp;Info!$B$4&amp;"]"&amp;Info!$B$5&amp;"'!$A$6:$AY$1000"),51,0)))</f>
        <v>0</v>
      </c>
      <c r="S25" s="15">
        <f ca="1">IF(N25="","",IF(N25=0,0,VLOOKUP(A25,INDIRECT("'[" &amp;Info!$B$4&amp;"]"&amp;Info!$B$5&amp;"'!$A$6:$Ai$1000"),35,0)))</f>
        <v>25</v>
      </c>
      <c r="T25" s="7">
        <f ca="1">IF(N25="","",IF(N25=0,0, VLOOKUP(A25,INDIRECT("'[" &amp;Info!$B$4&amp;"]"&amp;Info!$B$5&amp;"'!$A$6:$Az$1000"),52,0)))</f>
        <v>895</v>
      </c>
      <c r="U25" s="7">
        <f ca="1">IF(N25="","",IF(N25=0,0, VLOOKUP(A25,INDIRECT("'[" &amp;Info!$B$4&amp;"]"&amp;Info!$B$5&amp;"'!$A$6:$BA$1000"),53,0)))</f>
        <v>0</v>
      </c>
      <c r="V25" s="16">
        <f ca="1">IF(N25="","",IF(N25=0,0, VLOOKUP(A25,INDIRECT("'[" &amp;Info!$B$4&amp;"]"&amp;Info!$B$5&amp;"'!$A$6:$BB$1000"),54,0)))</f>
        <v>0</v>
      </c>
      <c r="W25" s="17">
        <f t="shared" ca="1" si="1"/>
        <v>53</v>
      </c>
      <c r="X25" s="18">
        <f t="shared" ca="1" si="2"/>
        <v>1888</v>
      </c>
      <c r="Y25" s="19">
        <f t="shared" ca="1" si="3"/>
        <v>0</v>
      </c>
      <c r="Z25" s="18">
        <f t="shared" ca="1" si="4"/>
        <v>0</v>
      </c>
    </row>
    <row r="26" spans="1:26" x14ac:dyDescent="0.25">
      <c r="A26" s="8">
        <f ca="1">IFERROR( VLOOKUP(A25+1,INDIRECT("'[" &amp;Info!$B$4&amp;"]"&amp;Info!$B$5&amp;"'!$A$6:$A$1000"),1,0),"")</f>
        <v>22</v>
      </c>
      <c r="B26" s="5" t="str">
        <f ca="1">IFERROR( IF(A26="","", VLOOKUP(A26,INDIRECT("'[" &amp;Info!$B$4&amp;"]"&amp;Info!$B$5&amp;"'!$A$6:$B$1000"),2,0)),"")</f>
        <v>C22</v>
      </c>
      <c r="C26" s="14" t="str">
        <f ca="1">IFERROR( IF(A26="","", VLOOKUP(A26,INDIRECT("'[" &amp;Info!$B$4&amp;"]"&amp;Info!$B$5&amp;"'!$A$6:$D$1000"),3,0)),"")</f>
        <v>STV22</v>
      </c>
      <c r="D26" s="31" t="str">
        <f ca="1">IF(C26="","", VLOOKUP(A26,INDIRECT("'[" &amp;Info!$B$4&amp;"]"&amp;Info!$B$5&amp;"'!$A$6:$T$1000"),20,0))</f>
        <v>C3604</v>
      </c>
      <c r="E26" s="6" t="str">
        <f ca="1">IF(D26="","", VLOOKUP(A26,INDIRECT("'[" &amp;Info!$B$4&amp;"]"&amp;Info!$B$5&amp;"'!$A$6:$U$1000"),21,0))</f>
        <v>YH</v>
      </c>
      <c r="F26" s="6" t="str">
        <f ca="1">IF(D26="","", VLOOKUP(A26,INDIRECT("'[" &amp;Info!$B$4&amp;"]"&amp;Info!$B$5&amp;"'!$A$6:$U$1000"),21,0))</f>
        <v>YH</v>
      </c>
      <c r="G26" s="6">
        <f ca="1">IF(D26="","", VLOOKUP(A26,INDIRECT("'[" &amp;Info!$B$4&amp;"]"&amp;Info!$B$5&amp;"'!$A$6:$V$1000"),22,0))</f>
        <v>15</v>
      </c>
      <c r="H26" s="6">
        <f ca="1">IF(D26="","", VLOOKUP(A26,INDIRECT("'[" &amp;Info!$B$4&amp;"]"&amp;Info!$B$5&amp;"'!$A$6:$W$1000"),23,0))</f>
        <v>0</v>
      </c>
      <c r="I26" s="6" t="str">
        <f ca="1">LOWER( IF(D26="","", VLOOKUP(A26,INDIRECT("'[" &amp;Info!$B$4&amp;"]"&amp;Info!$B$5&amp;"'!$A$6:$y$1000"),25,0)))</f>
        <v>h11</v>
      </c>
      <c r="J26" s="6">
        <f ca="1">IF(D26="","", VLOOKUP(A26,INDIRECT("'[" &amp;Info!$B$4&amp;"]"&amp;Info!$B$5&amp;"'!$A$6:$Z$1000"),26,0))</f>
        <v>3</v>
      </c>
      <c r="K26" s="35" t="str">
        <f ca="1">IF(D26="","", VLOOKUP(A26,INDIRECT("'[" &amp;Info!$B$4&amp;"]"&amp;Info!$B$5&amp;"'!$A$6:$AA$1000"),27,0))</f>
        <v>B16</v>
      </c>
      <c r="L26" s="35">
        <f ca="1">IF(D26="","", VLOOKUP(A26,INDIRECT("'[" &amp;Info!$B$4&amp;"]"&amp;Info!$B$5&amp;"'!$A$6:$H$1000"),8,0))</f>
        <v>8.0500000000000007</v>
      </c>
      <c r="M26" s="35">
        <f ca="1">IF(D26="","", VLOOKUP(A26,INDIRECT("'[" &amp;Info!$B$4&amp;"]"&amp;Info!$B$5&amp;"'!$A$6:$F$1000"),6,0))</f>
        <v>151</v>
      </c>
      <c r="N26" s="33">
        <f ca="1">IF(C26="","", VLOOKUP(A26,INDIRECT("'[" &amp;Info!$B$4&amp;"]"&amp;Info!$B$5&amp;"'!$A$6:$Au$1000"),47,0))</f>
        <v>0</v>
      </c>
      <c r="O26" s="28">
        <f ca="1">IF(N26="","",IF(N26=0,0,VLOOKUP(A26,INDIRECT("'[" &amp;Info!$B$4&amp;"]"&amp;Info!$B$5&amp;"'!$A$6:$AH$1000"),34,0)))</f>
        <v>0</v>
      </c>
      <c r="P26" s="9">
        <f ca="1">IF(N26="","",IF(N26=0,0,VLOOKUP(A26,INDIRECT("'[" &amp;Info!$B$4&amp;"]"&amp;Info!$B$5&amp;"'!$A$6:$AW$1000"),49,0)))</f>
        <v>0</v>
      </c>
      <c r="Q26" s="9">
        <f ca="1">IF(N26="","",IF(N26=0,0, VLOOKUP(A26,INDIRECT("'[" &amp;Info!$B$4&amp;"]"&amp;Info!$B$5&amp;"'!$A$6:$AX$1000"),50,0)))</f>
        <v>0</v>
      </c>
      <c r="R26" s="29">
        <f ca="1">IF(N26="","",IF(N26=0,0, VLOOKUP(A26,INDIRECT("'[" &amp;Info!$B$4&amp;"]"&amp;Info!$B$5&amp;"'!$A$6:$AY$1000"),51,0)))</f>
        <v>0</v>
      </c>
      <c r="S26" s="15">
        <f ca="1">IF(N26="","",IF(N26=0,0,VLOOKUP(A26,INDIRECT("'[" &amp;Info!$B$4&amp;"]"&amp;Info!$B$5&amp;"'!$A$6:$Ai$1000"),35,0)))</f>
        <v>0</v>
      </c>
      <c r="T26" s="7">
        <f ca="1">IF(N26="","",IF(N26=0,0, VLOOKUP(A26,INDIRECT("'[" &amp;Info!$B$4&amp;"]"&amp;Info!$B$5&amp;"'!$A$6:$Az$1000"),52,0)))</f>
        <v>0</v>
      </c>
      <c r="U26" s="7">
        <f ca="1">IF(N26="","",IF(N26=0,0, VLOOKUP(A26,INDIRECT("'[" &amp;Info!$B$4&amp;"]"&amp;Info!$B$5&amp;"'!$A$6:$BA$1000"),53,0)))</f>
        <v>0</v>
      </c>
      <c r="V26" s="16">
        <f ca="1">IF(N26="","",IF(N26=0,0, VLOOKUP(A26,INDIRECT("'[" &amp;Info!$B$4&amp;"]"&amp;Info!$B$5&amp;"'!$A$6:$BB$1000"),54,0)))</f>
        <v>0</v>
      </c>
      <c r="W26" s="17">
        <f t="shared" ca="1" si="1"/>
        <v>0</v>
      </c>
      <c r="X26" s="18">
        <f t="shared" ca="1" si="2"/>
        <v>0</v>
      </c>
      <c r="Y26" s="19">
        <f t="shared" ca="1" si="3"/>
        <v>0</v>
      </c>
      <c r="Z26" s="18">
        <f t="shared" ca="1" si="4"/>
        <v>0</v>
      </c>
    </row>
    <row r="27" spans="1:26" x14ac:dyDescent="0.25">
      <c r="A27" s="8">
        <f ca="1">IFERROR( VLOOKUP(A26+1,INDIRECT("'[" &amp;Info!$B$4&amp;"]"&amp;Info!$B$5&amp;"'!$A$6:$A$1000"),1,0),"")</f>
        <v>23</v>
      </c>
      <c r="B27" s="5" t="str">
        <f ca="1">IFERROR( IF(A27="","", VLOOKUP(A27,INDIRECT("'[" &amp;Info!$B$4&amp;"]"&amp;Info!$B$5&amp;"'!$A$6:$B$1000"),2,0)),"")</f>
        <v>C23</v>
      </c>
      <c r="C27" s="14" t="str">
        <f ca="1">IFERROR( IF(A27="","", VLOOKUP(A27,INDIRECT("'[" &amp;Info!$B$4&amp;"]"&amp;Info!$B$5&amp;"'!$A$6:$D$1000"),3,0)),"")</f>
        <v>184Z0</v>
      </c>
      <c r="D27" s="31" t="str">
        <f ca="1">IF(C27="","", VLOOKUP(A27,INDIRECT("'[" &amp;Info!$B$4&amp;"]"&amp;Info!$B$5&amp;"'!$A$6:$T$1000"),20,0))</f>
        <v>SUS303</v>
      </c>
      <c r="E27" s="6" t="str">
        <f ca="1">IF(D27="","", VLOOKUP(A27,INDIRECT("'[" &amp;Info!$B$4&amp;"]"&amp;Info!$B$5&amp;"'!$A$6:$U$1000"),21,0))</f>
        <v>TV</v>
      </c>
      <c r="F27" s="6" t="str">
        <f ca="1">IF(D27="","", VLOOKUP(A27,INDIRECT("'[" &amp;Info!$B$4&amp;"]"&amp;Info!$B$5&amp;"'!$A$6:$U$1000"),21,0))</f>
        <v>TV</v>
      </c>
      <c r="G27" s="6">
        <f ca="1">IF(D27="","", VLOOKUP(A27,INDIRECT("'[" &amp;Info!$B$4&amp;"]"&amp;Info!$B$5&amp;"'!$A$6:$V$1000"),22,0))</f>
        <v>8</v>
      </c>
      <c r="H27" s="6">
        <f ca="1">IF(D27="","", VLOOKUP(A27,INDIRECT("'[" &amp;Info!$B$4&amp;"]"&amp;Info!$B$5&amp;"'!$A$6:$W$1000"),23,0))</f>
        <v>0</v>
      </c>
      <c r="I27" s="6" t="str">
        <f ca="1">LOWER( IF(D27="","", VLOOKUP(A27,INDIRECT("'[" &amp;Info!$B$4&amp;"]"&amp;Info!$B$5&amp;"'!$A$6:$y$1000"),25,0)))</f>
        <v>h7</v>
      </c>
      <c r="J27" s="6">
        <f ca="1">IF(D27="","", VLOOKUP(A27,INDIRECT("'[" &amp;Info!$B$4&amp;"]"&amp;Info!$B$5&amp;"'!$A$6:$Z$1000"),26,0))</f>
        <v>3</v>
      </c>
      <c r="K27" s="35" t="str">
        <f ca="1">IF(D27="","", VLOOKUP(A27,INDIRECT("'[" &amp;Info!$B$4&amp;"]"&amp;Info!$B$5&amp;"'!$A$6:$AA$1000"),27,0))</f>
        <v>A16</v>
      </c>
      <c r="L27" s="35">
        <f ca="1">IF(D27="","", VLOOKUP(A27,INDIRECT("'[" &amp;Info!$B$4&amp;"]"&amp;Info!$B$5&amp;"'!$A$6:$H$1000"),8,0))</f>
        <v>8.4600000000000009</v>
      </c>
      <c r="M27" s="35">
        <f ca="1">IF(D27="","", VLOOKUP(A27,INDIRECT("'[" &amp;Info!$B$4&amp;"]"&amp;Info!$B$5&amp;"'!$A$6:$F$1000"),6,0))</f>
        <v>109</v>
      </c>
      <c r="N27" s="33">
        <f ca="1">IF(C27="","", VLOOKUP(A27,INDIRECT("'[" &amp;Info!$B$4&amp;"]"&amp;Info!$B$5&amp;"'!$A$6:$Au$1000"),47,0))</f>
        <v>12</v>
      </c>
      <c r="O27" s="28">
        <f ca="1">IF(N27="","",IF(N27=0,0,VLOOKUP(A27,INDIRECT("'[" &amp;Info!$B$4&amp;"]"&amp;Info!$B$5&amp;"'!$A$6:$AH$1000"),34,0)))</f>
        <v>2</v>
      </c>
      <c r="P27" s="9">
        <f ca="1">IF(N27="","",IF(N27=0,0,VLOOKUP(A27,INDIRECT("'[" &amp;Info!$B$4&amp;"]"&amp;Info!$B$5&amp;"'!$A$6:$AW$1000"),49,0)))</f>
        <v>166</v>
      </c>
      <c r="Q27" s="9">
        <f ca="1">IF(N27="","",IF(N27=0,0, VLOOKUP(A27,INDIRECT("'[" &amp;Info!$B$4&amp;"]"&amp;Info!$B$5&amp;"'!$A$6:$AX$1000"),50,0)))</f>
        <v>72</v>
      </c>
      <c r="R27" s="29">
        <f ca="1">IF(N27="","",IF(N27=0,0, VLOOKUP(A27,INDIRECT("'[" &amp;Info!$B$4&amp;"]"&amp;Info!$B$5&amp;"'!$A$6:$AY$1000"),51,0)))</f>
        <v>0</v>
      </c>
      <c r="S27" s="15">
        <f ca="1">IF(N27="","",IF(N27=0,0,VLOOKUP(A27,INDIRECT("'[" &amp;Info!$B$4&amp;"]"&amp;Info!$B$5&amp;"'!$A$6:$Ai$1000"),35,0)))</f>
        <v>0</v>
      </c>
      <c r="T27" s="7">
        <f ca="1">IF(N27="","",IF(N27=0,0, VLOOKUP(A27,INDIRECT("'[" &amp;Info!$B$4&amp;"]"&amp;Info!$B$5&amp;"'!$A$6:$Az$1000"),52,0)))</f>
        <v>0</v>
      </c>
      <c r="U27" s="7">
        <f ca="1">IF(N27="","",IF(N27=0,0, VLOOKUP(A27,INDIRECT("'[" &amp;Info!$B$4&amp;"]"&amp;Info!$B$5&amp;"'!$A$6:$BA$1000"),53,0)))</f>
        <v>0</v>
      </c>
      <c r="V27" s="16">
        <f ca="1">IF(N27="","",IF(N27=0,0, VLOOKUP(A27,INDIRECT("'[" &amp;Info!$B$4&amp;"]"&amp;Info!$B$5&amp;"'!$A$6:$BB$1000"),54,0)))</f>
        <v>0</v>
      </c>
      <c r="W27" s="17">
        <f t="shared" ca="1" si="1"/>
        <v>2</v>
      </c>
      <c r="X27" s="18">
        <f t="shared" ca="1" si="2"/>
        <v>166</v>
      </c>
      <c r="Y27" s="19">
        <f t="shared" ca="1" si="3"/>
        <v>72</v>
      </c>
      <c r="Z27" s="18">
        <f t="shared" ca="1" si="4"/>
        <v>0</v>
      </c>
    </row>
    <row r="28" spans="1:26" x14ac:dyDescent="0.25">
      <c r="A28" s="8">
        <f ca="1">IFERROR( VLOOKUP(A27+1,INDIRECT("'[" &amp;Info!$B$4&amp;"]"&amp;Info!$B$5&amp;"'!$A$6:$A$1000"),1,0),"")</f>
        <v>24</v>
      </c>
      <c r="B28" s="5" t="str">
        <f ca="1">IFERROR( IF(A28="","", VLOOKUP(A28,INDIRECT("'[" &amp;Info!$B$4&amp;"]"&amp;Info!$B$5&amp;"'!$A$6:$B$1000"),2,0)),"")</f>
        <v>C24</v>
      </c>
      <c r="C28" s="14" t="str">
        <f ca="1">IFERROR( IF(A28="","", VLOOKUP(A28,INDIRECT("'[" &amp;Info!$B$4&amp;"]"&amp;Info!$B$5&amp;"'!$A$6:$D$1000"),3,0)),"")</f>
        <v>598Z0</v>
      </c>
      <c r="D28" s="31" t="str">
        <f ca="1">IF(C28="","", VLOOKUP(A28,INDIRECT("'[" &amp;Info!$B$4&amp;"]"&amp;Info!$B$5&amp;"'!$A$6:$T$1000"),20,0))</f>
        <v>SUS304</v>
      </c>
      <c r="E28" s="6" t="str">
        <f ca="1">IF(D28="","", VLOOKUP(A28,INDIRECT("'[" &amp;Info!$B$4&amp;"]"&amp;Info!$B$5&amp;"'!$A$6:$U$1000"),21,0))</f>
        <v>GA</v>
      </c>
      <c r="F28" s="6" t="str">
        <f ca="1">IF(D28="","", VLOOKUP(A28,INDIRECT("'[" &amp;Info!$B$4&amp;"]"&amp;Info!$B$5&amp;"'!$A$6:$U$1000"),21,0))</f>
        <v>GA</v>
      </c>
      <c r="G28" s="6">
        <f ca="1">IF(D28="","", VLOOKUP(A28,INDIRECT("'[" &amp;Info!$B$4&amp;"]"&amp;Info!$B$5&amp;"'!$A$6:$V$1000"),22,0))</f>
        <v>3</v>
      </c>
      <c r="H28" s="6">
        <f ca="1">IF(D28="","", VLOOKUP(A28,INDIRECT("'[" &amp;Info!$B$4&amp;"]"&amp;Info!$B$5&amp;"'!$A$6:$W$1000"),23,0))</f>
        <v>0</v>
      </c>
      <c r="I28" s="6" t="str">
        <f ca="1">LOWER( IF(D28="","", VLOOKUP(A28,INDIRECT("'[" &amp;Info!$B$4&amp;"]"&amp;Info!$B$5&amp;"'!$A$6:$y$1000"),25,0)))</f>
        <v>h9</v>
      </c>
      <c r="J28" s="6">
        <f ca="1">IF(D28="","", VLOOKUP(A28,INDIRECT("'[" &amp;Info!$B$4&amp;"]"&amp;Info!$B$5&amp;"'!$A$6:$Z$1000"),26,0))</f>
        <v>3</v>
      </c>
      <c r="K28" s="35" t="str">
        <f ca="1">IF(D28="","", VLOOKUP(A28,INDIRECT("'[" &amp;Info!$B$4&amp;"]"&amp;Info!$B$5&amp;"'!$A$6:$AA$1000"),27,0))</f>
        <v>A15</v>
      </c>
      <c r="L28" s="35">
        <f ca="1">IF(D28="","", VLOOKUP(A28,INDIRECT("'[" &amp;Info!$B$4&amp;"]"&amp;Info!$B$5&amp;"'!$A$6:$H$1000"),8,0))</f>
        <v>6.7</v>
      </c>
      <c r="M28" s="35">
        <f ca="1">IF(D28="","", VLOOKUP(A28,INDIRECT("'[" &amp;Info!$B$4&amp;"]"&amp;Info!$B$5&amp;"'!$A$6:$F$1000"),6,0))</f>
        <v>22</v>
      </c>
      <c r="N28" s="33">
        <f ca="1">IF(C28="","", VLOOKUP(A28,INDIRECT("'[" &amp;Info!$B$4&amp;"]"&amp;Info!$B$5&amp;"'!$A$6:$Au$1000"),47,0))</f>
        <v>0</v>
      </c>
      <c r="O28" s="28">
        <f ca="1">IF(N28="","",IF(N28=0,0,VLOOKUP(A28,INDIRECT("'[" &amp;Info!$B$4&amp;"]"&amp;Info!$B$5&amp;"'!$A$6:$AH$1000"),34,0)))</f>
        <v>0</v>
      </c>
      <c r="P28" s="9">
        <f ca="1">IF(N28="","",IF(N28=0,0,VLOOKUP(A28,INDIRECT("'[" &amp;Info!$B$4&amp;"]"&amp;Info!$B$5&amp;"'!$A$6:$AW$1000"),49,0)))</f>
        <v>0</v>
      </c>
      <c r="Q28" s="9">
        <f ca="1">IF(N28="","",IF(N28=0,0, VLOOKUP(A28,INDIRECT("'[" &amp;Info!$B$4&amp;"]"&amp;Info!$B$5&amp;"'!$A$6:$AX$1000"),50,0)))</f>
        <v>0</v>
      </c>
      <c r="R28" s="29">
        <f ca="1">IF(N28="","",IF(N28=0,0, VLOOKUP(A28,INDIRECT("'[" &amp;Info!$B$4&amp;"]"&amp;Info!$B$5&amp;"'!$A$6:$AY$1000"),51,0)))</f>
        <v>0</v>
      </c>
      <c r="S28" s="15">
        <f ca="1">IF(N28="","",IF(N28=0,0,VLOOKUP(A28,INDIRECT("'[" &amp;Info!$B$4&amp;"]"&amp;Info!$B$5&amp;"'!$A$6:$Ai$1000"),35,0)))</f>
        <v>0</v>
      </c>
      <c r="T28" s="7">
        <f ca="1">IF(N28="","",IF(N28=0,0, VLOOKUP(A28,INDIRECT("'[" &amp;Info!$B$4&amp;"]"&amp;Info!$B$5&amp;"'!$A$6:$Az$1000"),52,0)))</f>
        <v>0</v>
      </c>
      <c r="U28" s="7">
        <f ca="1">IF(N28="","",IF(N28=0,0, VLOOKUP(A28,INDIRECT("'[" &amp;Info!$B$4&amp;"]"&amp;Info!$B$5&amp;"'!$A$6:$BA$1000"),53,0)))</f>
        <v>0</v>
      </c>
      <c r="V28" s="16">
        <f ca="1">IF(N28="","",IF(N28=0,0, VLOOKUP(A28,INDIRECT("'[" &amp;Info!$B$4&amp;"]"&amp;Info!$B$5&amp;"'!$A$6:$BB$1000"),54,0)))</f>
        <v>0</v>
      </c>
      <c r="W28" s="17">
        <f t="shared" ca="1" si="1"/>
        <v>0</v>
      </c>
      <c r="X28" s="18">
        <f t="shared" ca="1" si="2"/>
        <v>0</v>
      </c>
      <c r="Y28" s="19">
        <f t="shared" ca="1" si="3"/>
        <v>0</v>
      </c>
      <c r="Z28" s="18">
        <f t="shared" ca="1" si="4"/>
        <v>0</v>
      </c>
    </row>
    <row r="29" spans="1:26" x14ac:dyDescent="0.25">
      <c r="A29" s="8">
        <f ca="1">IFERROR( VLOOKUP(A28+1,INDIRECT("'[" &amp;Info!$B$4&amp;"]"&amp;Info!$B$5&amp;"'!$A$6:$A$1000"),1,0),"")</f>
        <v>25</v>
      </c>
      <c r="B29" s="5" t="str">
        <f ca="1">IFERROR( IF(A29="","", VLOOKUP(A29,INDIRECT("'[" &amp;Info!$B$4&amp;"]"&amp;Info!$B$5&amp;"'!$A$6:$B$1000"),2,0)),"")</f>
        <v>C25</v>
      </c>
      <c r="C29" s="14" t="str">
        <f ca="1">IFERROR( IF(A29="","", VLOOKUP(A29,INDIRECT("'[" &amp;Info!$B$4&amp;"]"&amp;Info!$B$5&amp;"'!$A$6:$D$1000"),3,0)),"")</f>
        <v>131100</v>
      </c>
      <c r="D29" s="31" t="str">
        <f ca="1">IF(C29="","", VLOOKUP(A29,INDIRECT("'[" &amp;Info!$B$4&amp;"]"&amp;Info!$B$5&amp;"'!$A$6:$T$1000"),20,0))</f>
        <v>A6063-T5</v>
      </c>
      <c r="E29" s="6" t="str">
        <f ca="1">IF(D29="","", VLOOKUP(A29,INDIRECT("'[" &amp;Info!$B$4&amp;"]"&amp;Info!$B$5&amp;"'!$A$6:$U$1000"),21,0))</f>
        <v>GW</v>
      </c>
      <c r="F29" s="6" t="str">
        <f ca="1">IF(D29="","", VLOOKUP(A29,INDIRECT("'[" &amp;Info!$B$4&amp;"]"&amp;Info!$B$5&amp;"'!$A$6:$U$1000"),21,0))</f>
        <v>GW</v>
      </c>
      <c r="G29" s="6">
        <f ca="1">IF(D29="","", VLOOKUP(A29,INDIRECT("'[" &amp;Info!$B$4&amp;"]"&amp;Info!$B$5&amp;"'!$A$6:$V$1000"),22,0))</f>
        <v>18.149999999999999</v>
      </c>
      <c r="H29" s="6">
        <f ca="1">IF(D29="","", VLOOKUP(A29,INDIRECT("'[" &amp;Info!$B$4&amp;"]"&amp;Info!$B$5&amp;"'!$A$6:$W$1000"),23,0))</f>
        <v>8.6</v>
      </c>
      <c r="I29" s="6" t="str">
        <f ca="1">LOWER( IF(D29="","", VLOOKUP(A29,INDIRECT("'[" &amp;Info!$B$4&amp;"]"&amp;Info!$B$5&amp;"'!$A$6:$y$1000"),25,0)))</f>
        <v>h9</v>
      </c>
      <c r="J29" s="6">
        <f ca="1">IF(D29="","", VLOOKUP(A29,INDIRECT("'[" &amp;Info!$B$4&amp;"]"&amp;Info!$B$5&amp;"'!$A$6:$Z$1000"),26,0))</f>
        <v>3</v>
      </c>
      <c r="K29" s="35" t="str">
        <f ca="1">IF(D29="","", VLOOKUP(A29,INDIRECT("'[" &amp;Info!$B$4&amp;"]"&amp;Info!$B$5&amp;"'!$A$6:$AA$1000"),27,0))</f>
        <v>J17</v>
      </c>
      <c r="L29" s="35">
        <f ca="1">IF(D29="","", VLOOKUP(A29,INDIRECT("'[" &amp;Info!$B$4&amp;"]"&amp;Info!$B$5&amp;"'!$A$6:$H$1000"),8,0))</f>
        <v>9.9</v>
      </c>
      <c r="M29" s="35">
        <f ca="1">IF(D29="","", VLOOKUP(A29,INDIRECT("'[" &amp;Info!$B$4&amp;"]"&amp;Info!$B$5&amp;"'!$A$6:$F$1000"),6,0))</f>
        <v>70</v>
      </c>
      <c r="N29" s="33">
        <f ca="1">IF(C29="","", VLOOKUP(A29,INDIRECT("'[" &amp;Info!$B$4&amp;"]"&amp;Info!$B$5&amp;"'!$A$6:$Au$1000"),47,0))</f>
        <v>12</v>
      </c>
      <c r="O29" s="28">
        <f ca="1">IF(N29="","",IF(N29=0,0,VLOOKUP(A29,INDIRECT("'[" &amp;Info!$B$4&amp;"]"&amp;Info!$B$5&amp;"'!$A$6:$AH$1000"),34,0)))</f>
        <v>6</v>
      </c>
      <c r="P29" s="9">
        <f ca="1">IF(N29="","",IF(N29=0,0,VLOOKUP(A29,INDIRECT("'[" &amp;Info!$B$4&amp;"]"&amp;Info!$B$5&amp;"'!$A$6:$AW$1000"),49,0)))</f>
        <v>676</v>
      </c>
      <c r="Q29" s="9">
        <f ca="1">IF(N29="","",IF(N29=0,0, VLOOKUP(A29,INDIRECT("'[" &amp;Info!$B$4&amp;"]"&amp;Info!$B$5&amp;"'!$A$6:$AX$1000"),50,0)))</f>
        <v>0</v>
      </c>
      <c r="R29" s="29">
        <f ca="1">IF(N29="","",IF(N29=0,0, VLOOKUP(A29,INDIRECT("'[" &amp;Info!$B$4&amp;"]"&amp;Info!$B$5&amp;"'!$A$6:$AY$1000"),51,0)))</f>
        <v>0</v>
      </c>
      <c r="S29" s="15">
        <f ca="1">IF(N29="","",IF(N29=0,0,VLOOKUP(A29,INDIRECT("'[" &amp;Info!$B$4&amp;"]"&amp;Info!$B$5&amp;"'!$A$6:$Ai$1000"),35,0)))</f>
        <v>6</v>
      </c>
      <c r="T29" s="7">
        <f ca="1">IF(N29="","",IF(N29=0,0, VLOOKUP(A29,INDIRECT("'[" &amp;Info!$B$4&amp;"]"&amp;Info!$B$5&amp;"'!$A$6:$Az$1000"),52,0)))</f>
        <v>414</v>
      </c>
      <c r="U29" s="7">
        <f ca="1">IF(N29="","",IF(N29=0,0, VLOOKUP(A29,INDIRECT("'[" &amp;Info!$B$4&amp;"]"&amp;Info!$B$5&amp;"'!$A$6:$BA$1000"),53,0)))</f>
        <v>0</v>
      </c>
      <c r="V29" s="16">
        <f ca="1">IF(N29="","",IF(N29=0,0, VLOOKUP(A29,INDIRECT("'[" &amp;Info!$B$4&amp;"]"&amp;Info!$B$5&amp;"'!$A$6:$BB$1000"),54,0)))</f>
        <v>0</v>
      </c>
      <c r="W29" s="17">
        <f t="shared" ca="1" si="1"/>
        <v>12</v>
      </c>
      <c r="X29" s="18">
        <f t="shared" ca="1" si="2"/>
        <v>1090</v>
      </c>
      <c r="Y29" s="19">
        <f t="shared" ca="1" si="3"/>
        <v>0</v>
      </c>
      <c r="Z29" s="18">
        <f t="shared" ca="1" si="4"/>
        <v>0</v>
      </c>
    </row>
    <row r="30" spans="1:26" x14ac:dyDescent="0.25">
      <c r="A30" s="8">
        <f ca="1">IFERROR( VLOOKUP(A29+1,INDIRECT("'[" &amp;Info!$B$4&amp;"]"&amp;Info!$B$5&amp;"'!$A$6:$A$1000"),1,0),"")</f>
        <v>26</v>
      </c>
      <c r="B30" s="5" t="str">
        <f ca="1">IFERROR( IF(A30="","", VLOOKUP(A30,INDIRECT("'[" &amp;Info!$B$4&amp;"]"&amp;Info!$B$5&amp;"'!$A$6:$B$1000"),2,0)),"")</f>
        <v>C26</v>
      </c>
      <c r="C30" s="14" t="str">
        <f ca="1">IFERROR( IF(A30="","", VLOOKUP(A30,INDIRECT("'[" &amp;Info!$B$4&amp;"]"&amp;Info!$B$5&amp;"'!$A$6:$D$1000"),3,0)),"")</f>
        <v>SC1</v>
      </c>
      <c r="D30" s="31" t="str">
        <f ca="1">IF(C30="","", VLOOKUP(A30,INDIRECT("'[" &amp;Info!$B$4&amp;"]"&amp;Info!$B$5&amp;"'!$A$6:$T$1000"),20,0))</f>
        <v>12L14</v>
      </c>
      <c r="E30" s="6" t="str">
        <f ca="1">IF(D30="","", VLOOKUP(A30,INDIRECT("'[" &amp;Info!$B$4&amp;"]"&amp;Info!$B$5&amp;"'!$A$6:$U$1000"),21,0))</f>
        <v>TV</v>
      </c>
      <c r="F30" s="6" t="str">
        <f ca="1">IF(D30="","", VLOOKUP(A30,INDIRECT("'[" &amp;Info!$B$4&amp;"]"&amp;Info!$B$5&amp;"'!$A$6:$U$1000"),21,0))</f>
        <v>TV</v>
      </c>
      <c r="G30" s="6">
        <f ca="1">IF(D30="","", VLOOKUP(A30,INDIRECT("'[" &amp;Info!$B$4&amp;"]"&amp;Info!$B$5&amp;"'!$A$6:$V$1000"),22,0))</f>
        <v>5.97</v>
      </c>
      <c r="H30" s="6">
        <f ca="1">IF(D30="","", VLOOKUP(A30,INDIRECT("'[" &amp;Info!$B$4&amp;"]"&amp;Info!$B$5&amp;"'!$A$6:$W$1000"),23,0))</f>
        <v>0</v>
      </c>
      <c r="I30" s="6" t="str">
        <f ca="1">LOWER( IF(D30="","", VLOOKUP(A30,INDIRECT("'[" &amp;Info!$B$4&amp;"]"&amp;Info!$B$5&amp;"'!$A$6:$y$1000"),25,0)))</f>
        <v>h9</v>
      </c>
      <c r="J30" s="6">
        <f ca="1">IF(D30="","", VLOOKUP(A30,INDIRECT("'[" &amp;Info!$B$4&amp;"]"&amp;Info!$B$5&amp;"'!$A$6:$Z$1000"),26,0))</f>
        <v>2.5</v>
      </c>
      <c r="K30" s="35" t="str">
        <f ca="1">IF(D30="","", VLOOKUP(A30,INDIRECT("'[" &amp;Info!$B$4&amp;"]"&amp;Info!$B$5&amp;"'!$A$6:$AA$1000"),27,0))</f>
        <v>B16</v>
      </c>
      <c r="L30" s="35">
        <f ca="1">IF(D30="","", VLOOKUP(A30,INDIRECT("'[" &amp;Info!$B$4&amp;"]"&amp;Info!$B$5&amp;"'!$A$6:$H$1000"),8,0))</f>
        <v>1.45</v>
      </c>
      <c r="M30" s="35">
        <f ca="1">IF(D30="","", VLOOKUP(A30,INDIRECT("'[" &amp;Info!$B$4&amp;"]"&amp;Info!$B$5&amp;"'!$A$6:$F$1000"),6,0))</f>
        <v>126</v>
      </c>
      <c r="N30" s="33">
        <f ca="1">IF(C30="","", VLOOKUP(A30,INDIRECT("'[" &amp;Info!$B$4&amp;"]"&amp;Info!$B$5&amp;"'!$A$6:$Au$1000"),47,0))</f>
        <v>0</v>
      </c>
      <c r="O30" s="28">
        <f ca="1">IF(N30="","",IF(N30=0,0,VLOOKUP(A30,INDIRECT("'[" &amp;Info!$B$4&amp;"]"&amp;Info!$B$5&amp;"'!$A$6:$AH$1000"),34,0)))</f>
        <v>0</v>
      </c>
      <c r="P30" s="9">
        <f ca="1">IF(N30="","",IF(N30=0,0,VLOOKUP(A30,INDIRECT("'[" &amp;Info!$B$4&amp;"]"&amp;Info!$B$5&amp;"'!$A$6:$AW$1000"),49,0)))</f>
        <v>0</v>
      </c>
      <c r="Q30" s="9">
        <f ca="1">IF(N30="","",IF(N30=0,0, VLOOKUP(A30,INDIRECT("'[" &amp;Info!$B$4&amp;"]"&amp;Info!$B$5&amp;"'!$A$6:$AX$1000"),50,0)))</f>
        <v>0</v>
      </c>
      <c r="R30" s="29">
        <f ca="1">IF(N30="","",IF(N30=0,0, VLOOKUP(A30,INDIRECT("'[" &amp;Info!$B$4&amp;"]"&amp;Info!$B$5&amp;"'!$A$6:$AY$1000"),51,0)))</f>
        <v>0</v>
      </c>
      <c r="S30" s="15">
        <f ca="1">IF(N30="","",IF(N30=0,0,VLOOKUP(A30,INDIRECT("'[" &amp;Info!$B$4&amp;"]"&amp;Info!$B$5&amp;"'!$A$6:$Ai$1000"),35,0)))</f>
        <v>0</v>
      </c>
      <c r="T30" s="7">
        <f ca="1">IF(N30="","",IF(N30=0,0, VLOOKUP(A30,INDIRECT("'[" &amp;Info!$B$4&amp;"]"&amp;Info!$B$5&amp;"'!$A$6:$Az$1000"),52,0)))</f>
        <v>0</v>
      </c>
      <c r="U30" s="7">
        <f ca="1">IF(N30="","",IF(N30=0,0, VLOOKUP(A30,INDIRECT("'[" &amp;Info!$B$4&amp;"]"&amp;Info!$B$5&amp;"'!$A$6:$BA$1000"),53,0)))</f>
        <v>0</v>
      </c>
      <c r="V30" s="16">
        <f ca="1">IF(N30="","",IF(N30=0,0, VLOOKUP(A30,INDIRECT("'[" &amp;Info!$B$4&amp;"]"&amp;Info!$B$5&amp;"'!$A$6:$BB$1000"),54,0)))</f>
        <v>0</v>
      </c>
      <c r="W30" s="17">
        <f t="shared" ca="1" si="1"/>
        <v>0</v>
      </c>
      <c r="X30" s="18">
        <f t="shared" ca="1" si="2"/>
        <v>0</v>
      </c>
      <c r="Y30" s="19">
        <f t="shared" ca="1" si="3"/>
        <v>0</v>
      </c>
      <c r="Z30" s="18">
        <f t="shared" ca="1" si="4"/>
        <v>0</v>
      </c>
    </row>
    <row r="31" spans="1:26" x14ac:dyDescent="0.25">
      <c r="A31" s="8">
        <f ca="1">IFERROR( VLOOKUP(A30+1,INDIRECT("'[" &amp;Info!$B$4&amp;"]"&amp;Info!$B$5&amp;"'!$A$6:$A$1000"),1,0),"")</f>
        <v>27</v>
      </c>
      <c r="B31" s="5" t="str">
        <f ca="1">IFERROR( IF(A31="","", VLOOKUP(A31,INDIRECT("'[" &amp;Info!$B$4&amp;"]"&amp;Info!$B$5&amp;"'!$A$6:$B$1000"),2,0)),"")</f>
        <v>C27</v>
      </c>
      <c r="C31" s="14" t="str">
        <f ca="1">IFERROR( IF(A31="","", VLOOKUP(A31,INDIRECT("'[" &amp;Info!$B$4&amp;"]"&amp;Info!$B$5&amp;"'!$A$6:$D$1000"),3,0)),"")</f>
        <v>F3104</v>
      </c>
      <c r="D31" s="31" t="str">
        <f ca="1">IF(C31="","", VLOOKUP(A31,INDIRECT("'[" &amp;Info!$B$4&amp;"]"&amp;Info!$B$5&amp;"'!$A$6:$T$1000"),20,0))</f>
        <v>SUS303Cu</v>
      </c>
      <c r="E31" s="6" t="str">
        <f ca="1">IF(D31="","", VLOOKUP(A31,INDIRECT("'[" &amp;Info!$B$4&amp;"]"&amp;Info!$B$5&amp;"'!$A$6:$U$1000"),21,0))</f>
        <v>ME</v>
      </c>
      <c r="F31" s="6" t="str">
        <f ca="1">IF(D31="","", VLOOKUP(A31,INDIRECT("'[" &amp;Info!$B$4&amp;"]"&amp;Info!$B$5&amp;"'!$A$6:$U$1000"),21,0))</f>
        <v>ME</v>
      </c>
      <c r="G31" s="6">
        <f ca="1">IF(D31="","", VLOOKUP(A31,INDIRECT("'[" &amp;Info!$B$4&amp;"]"&amp;Info!$B$5&amp;"'!$A$6:$V$1000"),22,0))</f>
        <v>2.5</v>
      </c>
      <c r="H31" s="6">
        <f ca="1">IF(D31="","", VLOOKUP(A31,INDIRECT("'[" &amp;Info!$B$4&amp;"]"&amp;Info!$B$5&amp;"'!$A$6:$W$1000"),23,0))</f>
        <v>0</v>
      </c>
      <c r="I31" s="6" t="str">
        <f ca="1">LOWER( IF(D31="","", VLOOKUP(A31,INDIRECT("'[" &amp;Info!$B$4&amp;"]"&amp;Info!$B$5&amp;"'!$A$6:$y$1000"),25,0)))</f>
        <v>h9</v>
      </c>
      <c r="J31" s="6">
        <f ca="1">IF(D31="","", VLOOKUP(A31,INDIRECT("'[" &amp;Info!$B$4&amp;"]"&amp;Info!$B$5&amp;"'!$A$6:$Z$1000"),26,0))</f>
        <v>3</v>
      </c>
      <c r="K31" s="35" t="str">
        <f ca="1">IF(D31="","", VLOOKUP(A31,INDIRECT("'[" &amp;Info!$B$4&amp;"]"&amp;Info!$B$5&amp;"'!$A$6:$AA$1000"),27,0))</f>
        <v>A17</v>
      </c>
      <c r="L31" s="35">
        <f ca="1">IF(D31="","", VLOOKUP(A31,INDIRECT("'[" &amp;Info!$B$4&amp;"]"&amp;Info!$B$5&amp;"'!$A$6:$H$1000"),8,0))</f>
        <v>0.03</v>
      </c>
      <c r="M31" s="35">
        <f ca="1">IF(D31="","", VLOOKUP(A31,INDIRECT("'[" &amp;Info!$B$4&amp;"]"&amp;Info!$B$5&amp;"'!$A$6:$F$1000"),6,0))</f>
        <v>394</v>
      </c>
      <c r="N31" s="33">
        <f ca="1">IF(C31="","", VLOOKUP(A31,INDIRECT("'[" &amp;Info!$B$4&amp;"]"&amp;Info!$B$5&amp;"'!$A$6:$Au$1000"),47,0))</f>
        <v>0</v>
      </c>
      <c r="O31" s="28">
        <f ca="1">IF(N31="","",IF(N31=0,0,VLOOKUP(A31,INDIRECT("'[" &amp;Info!$B$4&amp;"]"&amp;Info!$B$5&amp;"'!$A$6:$AH$1000"),34,0)))</f>
        <v>0</v>
      </c>
      <c r="P31" s="9">
        <f ca="1">IF(N31="","",IF(N31=0,0,VLOOKUP(A31,INDIRECT("'[" &amp;Info!$B$4&amp;"]"&amp;Info!$B$5&amp;"'!$A$6:$AW$1000"),49,0)))</f>
        <v>0</v>
      </c>
      <c r="Q31" s="9">
        <f ca="1">IF(N31="","",IF(N31=0,0, VLOOKUP(A31,INDIRECT("'[" &amp;Info!$B$4&amp;"]"&amp;Info!$B$5&amp;"'!$A$6:$AX$1000"),50,0)))</f>
        <v>0</v>
      </c>
      <c r="R31" s="29">
        <f ca="1">IF(N31="","",IF(N31=0,0, VLOOKUP(A31,INDIRECT("'[" &amp;Info!$B$4&amp;"]"&amp;Info!$B$5&amp;"'!$A$6:$AY$1000"),51,0)))</f>
        <v>0</v>
      </c>
      <c r="S31" s="15">
        <f ca="1">IF(N31="","",IF(N31=0,0,VLOOKUP(A31,INDIRECT("'[" &amp;Info!$B$4&amp;"]"&amp;Info!$B$5&amp;"'!$A$6:$Ai$1000"),35,0)))</f>
        <v>0</v>
      </c>
      <c r="T31" s="7">
        <f ca="1">IF(N31="","",IF(N31=0,0, VLOOKUP(A31,INDIRECT("'[" &amp;Info!$B$4&amp;"]"&amp;Info!$B$5&amp;"'!$A$6:$Az$1000"),52,0)))</f>
        <v>0</v>
      </c>
      <c r="U31" s="7">
        <f ca="1">IF(N31="","",IF(N31=0,0, VLOOKUP(A31,INDIRECT("'[" &amp;Info!$B$4&amp;"]"&amp;Info!$B$5&amp;"'!$A$6:$BA$1000"),53,0)))</f>
        <v>0</v>
      </c>
      <c r="V31" s="16">
        <f ca="1">IF(N31="","",IF(N31=0,0, VLOOKUP(A31,INDIRECT("'[" &amp;Info!$B$4&amp;"]"&amp;Info!$B$5&amp;"'!$A$6:$BB$1000"),54,0)))</f>
        <v>0</v>
      </c>
      <c r="W31" s="17">
        <f t="shared" ca="1" si="1"/>
        <v>0</v>
      </c>
      <c r="X31" s="18">
        <f t="shared" ca="1" si="2"/>
        <v>0</v>
      </c>
      <c r="Y31" s="19">
        <f t="shared" ca="1" si="3"/>
        <v>0</v>
      </c>
      <c r="Z31" s="18">
        <f t="shared" ca="1" si="4"/>
        <v>0</v>
      </c>
    </row>
    <row r="32" spans="1:26" x14ac:dyDescent="0.25">
      <c r="A32" s="8">
        <f ca="1">IFERROR( VLOOKUP(A31+1,INDIRECT("'[" &amp;Info!$B$4&amp;"]"&amp;Info!$B$5&amp;"'!$A$6:$A$1000"),1,0),"")</f>
        <v>28</v>
      </c>
      <c r="B32" s="5" t="str">
        <f ca="1">IFERROR( IF(A32="","", VLOOKUP(A32,INDIRECT("'[" &amp;Info!$B$4&amp;"]"&amp;Info!$B$5&amp;"'!$A$6:$B$1000"),2,0)),"")</f>
        <v>C28</v>
      </c>
      <c r="C32" s="14" t="str">
        <f ca="1">IFERROR( IF(A32="","", VLOOKUP(A32,INDIRECT("'[" &amp;Info!$B$4&amp;"]"&amp;Info!$B$5&amp;"'!$A$6:$D$1000"),3,0)),"")</f>
        <v>F3 105A</v>
      </c>
      <c r="D32" s="31" t="str">
        <f ca="1">IF(C32="","", VLOOKUP(A32,INDIRECT("'[" &amp;Info!$B$4&amp;"]"&amp;Info!$B$5&amp;"'!$A$6:$T$1000"),20,0))</f>
        <v>A6063-T5</v>
      </c>
      <c r="E32" s="6" t="str">
        <f ca="1">IF(D32="","", VLOOKUP(A32,INDIRECT("'[" &amp;Info!$B$4&amp;"]"&amp;Info!$B$5&amp;"'!$A$6:$U$1000"),21,0))</f>
        <v>GW</v>
      </c>
      <c r="F32" s="6" t="str">
        <f ca="1">IF(D32="","", VLOOKUP(A32,INDIRECT("'[" &amp;Info!$B$4&amp;"]"&amp;Info!$B$5&amp;"'!$A$6:$U$1000"),21,0))</f>
        <v>GW</v>
      </c>
      <c r="G32" s="6">
        <f ca="1">IF(D32="","", VLOOKUP(A32,INDIRECT("'[" &amp;Info!$B$4&amp;"]"&amp;Info!$B$5&amp;"'!$A$6:$V$1000"),22,0))</f>
        <v>6</v>
      </c>
      <c r="H32" s="6">
        <f ca="1">IF(D32="","", VLOOKUP(A32,INDIRECT("'[" &amp;Info!$B$4&amp;"]"&amp;Info!$B$5&amp;"'!$A$6:$W$1000"),23,0))</f>
        <v>0</v>
      </c>
      <c r="I32" s="6" t="str">
        <f ca="1">LOWER( IF(D32="","", VLOOKUP(A32,INDIRECT("'[" &amp;Info!$B$4&amp;"]"&amp;Info!$B$5&amp;"'!$A$6:$y$1000"),25,0)))</f>
        <v>h9</v>
      </c>
      <c r="J32" s="6">
        <f ca="1">IF(D32="","", VLOOKUP(A32,INDIRECT("'[" &amp;Info!$B$4&amp;"]"&amp;Info!$B$5&amp;"'!$A$6:$Z$1000"),26,0))</f>
        <v>3</v>
      </c>
      <c r="K32" s="35" t="str">
        <f ca="1">IF(D32="","", VLOOKUP(A32,INDIRECT("'[" &amp;Info!$B$4&amp;"]"&amp;Info!$B$5&amp;"'!$A$6:$AA$1000"),27,0))</f>
        <v>D17</v>
      </c>
      <c r="L32" s="35">
        <f ca="1">IF(D32="","", VLOOKUP(A32,INDIRECT("'[" &amp;Info!$B$4&amp;"]"&amp;Info!$B$5&amp;"'!$A$6:$H$1000"),8,0))</f>
        <v>0.154</v>
      </c>
      <c r="M32" s="35">
        <f ca="1">IF(D32="","", VLOOKUP(A32,INDIRECT("'[" &amp;Info!$B$4&amp;"]"&amp;Info!$B$5&amp;"'!$A$6:$F$1000"),6,0))</f>
        <v>243</v>
      </c>
      <c r="N32" s="33">
        <f ca="1">IF(C32="","", VLOOKUP(A32,INDIRECT("'[" &amp;Info!$B$4&amp;"]"&amp;Info!$B$5&amp;"'!$A$6:$Au$1000"),47,0))</f>
        <v>5</v>
      </c>
      <c r="O32" s="28">
        <f ca="1">IF(N32="","",IF(N32=0,0,VLOOKUP(A32,INDIRECT("'[" &amp;Info!$B$4&amp;"]"&amp;Info!$B$5&amp;"'!$A$6:$AH$1000"),34,0)))</f>
        <v>7</v>
      </c>
      <c r="P32" s="9">
        <f ca="1">IF(N32="","",IF(N32=0,0,VLOOKUP(A32,INDIRECT("'[" &amp;Info!$B$4&amp;"]"&amp;Info!$B$5&amp;"'!$A$6:$AW$1000"),49,0)))</f>
        <v>714</v>
      </c>
      <c r="Q32" s="9">
        <f ca="1">IF(N32="","",IF(N32=0,0, VLOOKUP(A32,INDIRECT("'[" &amp;Info!$B$4&amp;"]"&amp;Info!$B$5&amp;"'!$A$6:$AX$1000"),50,0)))</f>
        <v>305</v>
      </c>
      <c r="R32" s="29">
        <f ca="1">IF(N32="","",IF(N32=0,0, VLOOKUP(A32,INDIRECT("'[" &amp;Info!$B$4&amp;"]"&amp;Info!$B$5&amp;"'!$A$6:$AY$1000"),51,0)))</f>
        <v>0</v>
      </c>
      <c r="S32" s="15">
        <f ca="1">IF(N32="","",IF(N32=0,0,VLOOKUP(A32,INDIRECT("'[" &amp;Info!$B$4&amp;"]"&amp;Info!$B$5&amp;"'!$A$6:$Ai$1000"),35,0)))</f>
        <v>6</v>
      </c>
      <c r="T32" s="7">
        <f ca="1">IF(N32="","",IF(N32=0,0, VLOOKUP(A32,INDIRECT("'[" &amp;Info!$B$4&amp;"]"&amp;Info!$B$5&amp;"'!$A$6:$Az$1000"),52,0)))</f>
        <v>1623</v>
      </c>
      <c r="U32" s="7">
        <f ca="1">IF(N32="","",IF(N32=0,0, VLOOKUP(A32,INDIRECT("'[" &amp;Info!$B$4&amp;"]"&amp;Info!$B$5&amp;"'!$A$6:$BA$1000"),53,0)))</f>
        <v>0</v>
      </c>
      <c r="V32" s="16">
        <f ca="1">IF(N32="","",IF(N32=0,0, VLOOKUP(A32,INDIRECT("'[" &amp;Info!$B$4&amp;"]"&amp;Info!$B$5&amp;"'!$A$6:$BB$1000"),54,0)))</f>
        <v>0</v>
      </c>
      <c r="W32" s="17">
        <f t="shared" ca="1" si="1"/>
        <v>13</v>
      </c>
      <c r="X32" s="18">
        <f t="shared" ca="1" si="2"/>
        <v>2337</v>
      </c>
      <c r="Y32" s="19">
        <f t="shared" ca="1" si="3"/>
        <v>305</v>
      </c>
      <c r="Z32" s="18">
        <f t="shared" ca="1" si="4"/>
        <v>0</v>
      </c>
    </row>
    <row r="33" spans="1:26" x14ac:dyDescent="0.25">
      <c r="A33" s="8">
        <f ca="1">IFERROR( VLOOKUP(A32+1,INDIRECT("'[" &amp;Info!$B$4&amp;"]"&amp;Info!$B$5&amp;"'!$A$6:$A$1000"),1,0),"")</f>
        <v>29</v>
      </c>
      <c r="B33" s="5" t="str">
        <f ca="1">IFERROR( IF(A33="","", VLOOKUP(A33,INDIRECT("'[" &amp;Info!$B$4&amp;"]"&amp;Info!$B$5&amp;"'!$A$6:$B$1000"),2,0)),"")</f>
        <v>C29</v>
      </c>
      <c r="C33" s="14">
        <f ca="1">IFERROR( IF(A33="","", VLOOKUP(A33,INDIRECT("'[" &amp;Info!$B$4&amp;"]"&amp;Info!$B$5&amp;"'!$A$6:$D$1000"),3,0)),"")</f>
        <v>378</v>
      </c>
      <c r="D33" s="31" t="str">
        <f ca="1">IF(C33="","", VLOOKUP(A33,INDIRECT("'[" &amp;Info!$B$4&amp;"]"&amp;Info!$B$5&amp;"'!$A$6:$T$1000"),20,0))</f>
        <v>C3604</v>
      </c>
      <c r="E33" s="6" t="str">
        <f ca="1">IF(D33="","", VLOOKUP(A33,INDIRECT("'[" &amp;Info!$B$4&amp;"]"&amp;Info!$B$5&amp;"'!$A$6:$U$1000"),21,0))</f>
        <v>GH</v>
      </c>
      <c r="F33" s="6" t="str">
        <f ca="1">IF(D33="","", VLOOKUP(A33,INDIRECT("'[" &amp;Info!$B$4&amp;"]"&amp;Info!$B$5&amp;"'!$A$6:$U$1000"),21,0))</f>
        <v>GH</v>
      </c>
      <c r="G33" s="6">
        <f ca="1">IF(D33="","", VLOOKUP(A33,INDIRECT("'[" &amp;Info!$B$4&amp;"]"&amp;Info!$B$5&amp;"'!$A$6:$V$1000"),22,0))</f>
        <v>6.5</v>
      </c>
      <c r="H33" s="6">
        <f ca="1">IF(D33="","", VLOOKUP(A33,INDIRECT("'[" &amp;Info!$B$4&amp;"]"&amp;Info!$B$5&amp;"'!$A$6:$W$1000"),23,0))</f>
        <v>0</v>
      </c>
      <c r="I33" s="6" t="str">
        <f ca="1">LOWER( IF(D33="","", VLOOKUP(A33,INDIRECT("'[" &amp;Info!$B$4&amp;"]"&amp;Info!$B$5&amp;"'!$A$6:$y$1000"),25,0)))</f>
        <v>h9</v>
      </c>
      <c r="J33" s="6">
        <f ca="1">IF(D33="","", VLOOKUP(A33,INDIRECT("'[" &amp;Info!$B$4&amp;"]"&amp;Info!$B$5&amp;"'!$A$6:$Z$1000"),26,0))</f>
        <v>2.5</v>
      </c>
      <c r="K33" s="35" t="str">
        <f ca="1">IF(D33="","", VLOOKUP(A33,INDIRECT("'[" &amp;Info!$B$4&amp;"]"&amp;Info!$B$5&amp;"'!$A$6:$AA$1000"),27,0))</f>
        <v>A17</v>
      </c>
      <c r="L33" s="35">
        <f ca="1">IF(D33="","", VLOOKUP(A33,INDIRECT("'[" &amp;Info!$B$4&amp;"]"&amp;Info!$B$5&amp;"'!$A$6:$H$1000"),8,0))</f>
        <v>0.625</v>
      </c>
      <c r="M33" s="35">
        <f ca="1">IF(D33="","", VLOOKUP(A33,INDIRECT("'[" &amp;Info!$B$4&amp;"]"&amp;Info!$B$5&amp;"'!$A$6:$F$1000"),6,0))</f>
        <v>260</v>
      </c>
      <c r="N33" s="33">
        <f ca="1">IF(C33="","", VLOOKUP(A33,INDIRECT("'[" &amp;Info!$B$4&amp;"]"&amp;Info!$B$5&amp;"'!$A$6:$Au$1000"),47,0))</f>
        <v>7</v>
      </c>
      <c r="O33" s="28">
        <f ca="1">IF(N33="","",IF(N33=0,0,VLOOKUP(A33,INDIRECT("'[" &amp;Info!$B$4&amp;"]"&amp;Info!$B$5&amp;"'!$A$6:$AH$1000"),34,0)))</f>
        <v>10</v>
      </c>
      <c r="P33" s="9">
        <f ca="1">IF(N33="","",IF(N33=0,0,VLOOKUP(A33,INDIRECT("'[" &amp;Info!$B$4&amp;"]"&amp;Info!$B$5&amp;"'!$A$6:$AW$1000"),49,0)))</f>
        <v>2492</v>
      </c>
      <c r="Q33" s="9">
        <f ca="1">IF(N33="","",IF(N33=0,0, VLOOKUP(A33,INDIRECT("'[" &amp;Info!$B$4&amp;"]"&amp;Info!$B$5&amp;"'!$A$6:$AX$1000"),50,0)))</f>
        <v>0</v>
      </c>
      <c r="R33" s="29">
        <f ca="1">IF(N33="","",IF(N33=0,0, VLOOKUP(A33,INDIRECT("'[" &amp;Info!$B$4&amp;"]"&amp;Info!$B$5&amp;"'!$A$6:$AY$1000"),51,0)))</f>
        <v>0</v>
      </c>
      <c r="S33" s="15">
        <f ca="1">IF(N33="","",IF(N33=0,0,VLOOKUP(A33,INDIRECT("'[" &amp;Info!$B$4&amp;"]"&amp;Info!$B$5&amp;"'!$A$6:$Ai$1000"),35,0)))</f>
        <v>11</v>
      </c>
      <c r="T33" s="7">
        <f ca="1">IF(N33="","",IF(N33=0,0, VLOOKUP(A33,INDIRECT("'[" &amp;Info!$B$4&amp;"]"&amp;Info!$B$5&amp;"'!$A$6:$Az$1000"),52,0)))</f>
        <v>2497</v>
      </c>
      <c r="U33" s="7">
        <f ca="1">IF(N33="","",IF(N33=0,0, VLOOKUP(A33,INDIRECT("'[" &amp;Info!$B$4&amp;"]"&amp;Info!$B$5&amp;"'!$A$6:$BA$1000"),53,0)))</f>
        <v>0</v>
      </c>
      <c r="V33" s="16">
        <f ca="1">IF(N33="","",IF(N33=0,0, VLOOKUP(A33,INDIRECT("'[" &amp;Info!$B$4&amp;"]"&amp;Info!$B$5&amp;"'!$A$6:$BB$1000"),54,0)))</f>
        <v>0</v>
      </c>
      <c r="W33" s="17">
        <f t="shared" ca="1" si="1"/>
        <v>21</v>
      </c>
      <c r="X33" s="18">
        <f t="shared" ca="1" si="2"/>
        <v>4989</v>
      </c>
      <c r="Y33" s="19">
        <f t="shared" ca="1" si="3"/>
        <v>0</v>
      </c>
      <c r="Z33" s="18">
        <f t="shared" ca="1" si="4"/>
        <v>0</v>
      </c>
    </row>
    <row r="34" spans="1:26" x14ac:dyDescent="0.25">
      <c r="A34" s="8">
        <f ca="1">IFERROR( VLOOKUP(A33+1,INDIRECT("'[" &amp;Info!$B$4&amp;"]"&amp;Info!$B$5&amp;"'!$A$6:$A$1000"),1,0),"")</f>
        <v>30</v>
      </c>
      <c r="B34" s="5" t="str">
        <f ca="1">IFERROR( IF(A34="","", VLOOKUP(A34,INDIRECT("'[" &amp;Info!$B$4&amp;"]"&amp;Info!$B$5&amp;"'!$A$6:$B$1000"),2,0)),"")</f>
        <v>C30</v>
      </c>
      <c r="C34" s="14" t="str">
        <f ca="1">IFERROR( IF(A34="","", VLOOKUP(A34,INDIRECT("'[" &amp;Info!$B$4&amp;"]"&amp;Info!$B$5&amp;"'!$A$6:$D$1000"),3,0)),"")</f>
        <v>F3 105A</v>
      </c>
      <c r="D34" s="31" t="str">
        <f ca="1">IF(C34="","", VLOOKUP(A34,INDIRECT("'[" &amp;Info!$B$4&amp;"]"&amp;Info!$B$5&amp;"'!$A$6:$T$1000"),20,0))</f>
        <v>A6063-T5</v>
      </c>
      <c r="E34" s="6" t="str">
        <f ca="1">IF(D34="","", VLOOKUP(A34,INDIRECT("'[" &amp;Info!$B$4&amp;"]"&amp;Info!$B$5&amp;"'!$A$6:$U$1000"),21,0))</f>
        <v>GW</v>
      </c>
      <c r="F34" s="6" t="str">
        <f ca="1">IF(D34="","", VLOOKUP(A34,INDIRECT("'[" &amp;Info!$B$4&amp;"]"&amp;Info!$B$5&amp;"'!$A$6:$U$1000"),21,0))</f>
        <v>GW</v>
      </c>
      <c r="G34" s="6">
        <f ca="1">IF(D34="","", VLOOKUP(A34,INDIRECT("'[" &amp;Info!$B$4&amp;"]"&amp;Info!$B$5&amp;"'!$A$6:$V$1000"),22,0))</f>
        <v>6</v>
      </c>
      <c r="H34" s="6">
        <f ca="1">IF(D34="","", VLOOKUP(A34,INDIRECT("'[" &amp;Info!$B$4&amp;"]"&amp;Info!$B$5&amp;"'!$A$6:$W$1000"),23,0))</f>
        <v>0</v>
      </c>
      <c r="I34" s="6" t="str">
        <f ca="1">LOWER( IF(D34="","", VLOOKUP(A34,INDIRECT("'[" &amp;Info!$B$4&amp;"]"&amp;Info!$B$5&amp;"'!$A$6:$y$1000"),25,0)))</f>
        <v>h9</v>
      </c>
      <c r="J34" s="6">
        <f ca="1">IF(D34="","", VLOOKUP(A34,INDIRECT("'[" &amp;Info!$B$4&amp;"]"&amp;Info!$B$5&amp;"'!$A$6:$Z$1000"),26,0))</f>
        <v>3</v>
      </c>
      <c r="K34" s="35" t="str">
        <f ca="1">IF(D34="","", VLOOKUP(A34,INDIRECT("'[" &amp;Info!$B$4&amp;"]"&amp;Info!$B$5&amp;"'!$A$6:$AA$1000"),27,0))</f>
        <v>D17</v>
      </c>
      <c r="L34" s="35">
        <f ca="1">IF(D34="","", VLOOKUP(A34,INDIRECT("'[" &amp;Info!$B$4&amp;"]"&amp;Info!$B$5&amp;"'!$A$6:$H$1000"),8,0))</f>
        <v>0.154</v>
      </c>
      <c r="M34" s="35">
        <f ca="1">IF(D34="","", VLOOKUP(A34,INDIRECT("'[" &amp;Info!$B$4&amp;"]"&amp;Info!$B$5&amp;"'!$A$6:$F$1000"),6,0))</f>
        <v>243</v>
      </c>
      <c r="N34" s="33">
        <f ca="1">IF(C34="","", VLOOKUP(A34,INDIRECT("'[" &amp;Info!$B$4&amp;"]"&amp;Info!$B$5&amp;"'!$A$6:$Au$1000"),47,0))</f>
        <v>5</v>
      </c>
      <c r="O34" s="28">
        <f ca="1">IF(N34="","",IF(N34=0,0,VLOOKUP(A34,INDIRECT("'[" &amp;Info!$B$4&amp;"]"&amp;Info!$B$5&amp;"'!$A$6:$AH$1000"),34,0)))</f>
        <v>8</v>
      </c>
      <c r="P34" s="9">
        <f ca="1">IF(N34="","",IF(N34=0,0,VLOOKUP(A34,INDIRECT("'[" &amp;Info!$B$4&amp;"]"&amp;Info!$B$5&amp;"'!$A$6:$AW$1000"),49,0)))</f>
        <v>1610</v>
      </c>
      <c r="Q34" s="9">
        <f ca="1">IF(N34="","",IF(N34=0,0, VLOOKUP(A34,INDIRECT("'[" &amp;Info!$B$4&amp;"]"&amp;Info!$B$5&amp;"'!$A$6:$AX$1000"),50,0)))</f>
        <v>0</v>
      </c>
      <c r="R34" s="29">
        <f ca="1">IF(N34="","",IF(N34=0,0, VLOOKUP(A34,INDIRECT("'[" &amp;Info!$B$4&amp;"]"&amp;Info!$B$5&amp;"'!$A$6:$AY$1000"),51,0)))</f>
        <v>0</v>
      </c>
      <c r="S34" s="15">
        <f ca="1">IF(N34="","",IF(N34=0,0,VLOOKUP(A34,INDIRECT("'[" &amp;Info!$B$4&amp;"]"&amp;Info!$B$5&amp;"'!$A$6:$Ai$1000"),35,0)))</f>
        <v>7</v>
      </c>
      <c r="T34" s="7">
        <f ca="1">IF(N34="","",IF(N34=0,0, VLOOKUP(A34,INDIRECT("'[" &amp;Info!$B$4&amp;"]"&amp;Info!$B$5&amp;"'!$A$6:$Az$1000"),52,0)))</f>
        <v>967</v>
      </c>
      <c r="U34" s="7">
        <f ca="1">IF(N34="","",IF(N34=0,0, VLOOKUP(A34,INDIRECT("'[" &amp;Info!$B$4&amp;"]"&amp;Info!$B$5&amp;"'!$A$6:$BA$1000"),53,0)))</f>
        <v>1149</v>
      </c>
      <c r="V34" s="16">
        <f ca="1">IF(N34="","",IF(N34=0,0, VLOOKUP(A34,INDIRECT("'[" &amp;Info!$B$4&amp;"]"&amp;Info!$B$5&amp;"'!$A$6:$BB$1000"),54,0)))</f>
        <v>0</v>
      </c>
      <c r="W34" s="17">
        <f t="shared" ca="1" si="1"/>
        <v>15</v>
      </c>
      <c r="X34" s="18">
        <f t="shared" ca="1" si="2"/>
        <v>2577</v>
      </c>
      <c r="Y34" s="19">
        <f t="shared" ca="1" si="3"/>
        <v>1149</v>
      </c>
      <c r="Z34" s="18">
        <f t="shared" ca="1" si="4"/>
        <v>0</v>
      </c>
    </row>
    <row r="35" spans="1:26" x14ac:dyDescent="0.25">
      <c r="A35" s="8">
        <f ca="1">IFERROR( VLOOKUP(A34+1,INDIRECT("'[" &amp;Info!$B$4&amp;"]"&amp;Info!$B$5&amp;"'!$A$6:$A$1000"),1,0),"")</f>
        <v>31</v>
      </c>
      <c r="B35" s="5" t="str">
        <f ca="1">IFERROR( IF(A35="","", VLOOKUP(A35,INDIRECT("'[" &amp;Info!$B$4&amp;"]"&amp;Info!$B$5&amp;"'!$A$6:$B$1000"),2,0)),"")</f>
        <v>C31</v>
      </c>
      <c r="C35" s="14" t="str">
        <f ca="1">IFERROR( IF(A35="","", VLOOKUP(A35,INDIRECT("'[" &amp;Info!$B$4&amp;"]"&amp;Info!$B$5&amp;"'!$A$6:$D$1000"),3,0)),"")</f>
        <v>9B04</v>
      </c>
      <c r="D35" s="31" t="str">
        <f ca="1">IF(C35="","", VLOOKUP(A35,INDIRECT("'[" &amp;Info!$B$4&amp;"]"&amp;Info!$B$5&amp;"'!$A$6:$T$1000"),20,0))</f>
        <v>C3602</v>
      </c>
      <c r="E35" s="6" t="str">
        <f ca="1">IF(D35="","", VLOOKUP(A35,INDIRECT("'[" &amp;Info!$B$4&amp;"]"&amp;Info!$B$5&amp;"'!$A$6:$U$1000"),21,0))</f>
        <v>YH</v>
      </c>
      <c r="F35" s="6" t="str">
        <f ca="1">IF(D35="","", VLOOKUP(A35,INDIRECT("'[" &amp;Info!$B$4&amp;"]"&amp;Info!$B$5&amp;"'!$A$6:$U$1000"),21,0))</f>
        <v>YH</v>
      </c>
      <c r="G35" s="6">
        <f ca="1">IF(D35="","", VLOOKUP(A35,INDIRECT("'[" &amp;Info!$B$4&amp;"]"&amp;Info!$B$5&amp;"'!$A$6:$V$1000"),22,0))</f>
        <v>3</v>
      </c>
      <c r="H35" s="6">
        <f ca="1">IF(D35="","", VLOOKUP(A35,INDIRECT("'[" &amp;Info!$B$4&amp;"]"&amp;Info!$B$5&amp;"'!$A$6:$W$1000"),23,0))</f>
        <v>0</v>
      </c>
      <c r="I35" s="6" t="str">
        <f ca="1">LOWER( IF(D35="","", VLOOKUP(A35,INDIRECT("'[" &amp;Info!$B$4&amp;"]"&amp;Info!$B$5&amp;"'!$A$6:$y$1000"),25,0)))</f>
        <v>h9</v>
      </c>
      <c r="J35" s="6">
        <f ca="1">IF(D35="","", VLOOKUP(A35,INDIRECT("'[" &amp;Info!$B$4&amp;"]"&amp;Info!$B$5&amp;"'!$A$6:$Z$1000"),26,0))</f>
        <v>3</v>
      </c>
      <c r="K35" s="35" t="str">
        <f ca="1">IF(D35="","", VLOOKUP(A35,INDIRECT("'[" &amp;Info!$B$4&amp;"]"&amp;Info!$B$5&amp;"'!$A$6:$AA$1000"),27,0))</f>
        <v>A16</v>
      </c>
      <c r="L35" s="35">
        <f ca="1">IF(D35="","", VLOOKUP(A35,INDIRECT("'[" &amp;Info!$B$4&amp;"]"&amp;Info!$B$5&amp;"'!$A$6:$H$1000"),8,0))</f>
        <v>0.14499999999999999</v>
      </c>
      <c r="M35" s="35">
        <f ca="1">IF(D35="","", VLOOKUP(A35,INDIRECT("'[" &amp;Info!$B$4&amp;"]"&amp;Info!$B$5&amp;"'!$A$6:$F$1000"),6,0))</f>
        <v>469</v>
      </c>
      <c r="N35" s="33">
        <f ca="1">IF(C35="","", VLOOKUP(A35,INDIRECT("'[" &amp;Info!$B$4&amp;"]"&amp;Info!$B$5&amp;"'!$A$6:$Au$1000"),47,0))</f>
        <v>7</v>
      </c>
      <c r="O35" s="28">
        <f ca="1">IF(N35="","",IF(N35=0,0,VLOOKUP(A35,INDIRECT("'[" &amp;Info!$B$4&amp;"]"&amp;Info!$B$5&amp;"'!$A$6:$AH$1000"),34,0)))</f>
        <v>12</v>
      </c>
      <c r="P35" s="9">
        <f ca="1">IF(N35="","",IF(N35=0,0,VLOOKUP(A35,INDIRECT("'[" &amp;Info!$B$4&amp;"]"&amp;Info!$B$5&amp;"'!$A$6:$AW$1000"),49,0)))</f>
        <v>5255</v>
      </c>
      <c r="Q35" s="9">
        <f ca="1">IF(N35="","",IF(N35=0,0, VLOOKUP(A35,INDIRECT("'[" &amp;Info!$B$4&amp;"]"&amp;Info!$B$5&amp;"'!$A$6:$AX$1000"),50,0)))</f>
        <v>0</v>
      </c>
      <c r="R35" s="29">
        <f ca="1">IF(N35="","",IF(N35=0,0, VLOOKUP(A35,INDIRECT("'[" &amp;Info!$B$4&amp;"]"&amp;Info!$B$5&amp;"'!$A$6:$AY$1000"),51,0)))</f>
        <v>0</v>
      </c>
      <c r="S35" s="15">
        <f ca="1">IF(N35="","",IF(N35=0,0,VLOOKUP(A35,INDIRECT("'[" &amp;Info!$B$4&amp;"]"&amp;Info!$B$5&amp;"'!$A$6:$Ai$1000"),35,0)))</f>
        <v>8</v>
      </c>
      <c r="T35" s="7">
        <f ca="1">IF(N35="","",IF(N35=0,0, VLOOKUP(A35,INDIRECT("'[" &amp;Info!$B$4&amp;"]"&amp;Info!$B$5&amp;"'!$A$6:$Az$1000"),52,0)))</f>
        <v>3793</v>
      </c>
      <c r="U35" s="7">
        <f ca="1">IF(N35="","",IF(N35=0,0, VLOOKUP(A35,INDIRECT("'[" &amp;Info!$B$4&amp;"]"&amp;Info!$B$5&amp;"'!$A$6:$BA$1000"),53,0)))</f>
        <v>0</v>
      </c>
      <c r="V35" s="16">
        <f ca="1">IF(N35="","",IF(N35=0,0, VLOOKUP(A35,INDIRECT("'[" &amp;Info!$B$4&amp;"]"&amp;Info!$B$5&amp;"'!$A$6:$BB$1000"),54,0)))</f>
        <v>0</v>
      </c>
      <c r="W35" s="17">
        <f t="shared" ca="1" si="1"/>
        <v>20</v>
      </c>
      <c r="X35" s="18">
        <f t="shared" ca="1" si="2"/>
        <v>9048</v>
      </c>
      <c r="Y35" s="19">
        <f t="shared" ca="1" si="3"/>
        <v>0</v>
      </c>
      <c r="Z35" s="18">
        <f t="shared" ca="1" si="4"/>
        <v>0</v>
      </c>
    </row>
    <row r="36" spans="1:26" x14ac:dyDescent="0.25">
      <c r="A36" s="8">
        <f ca="1">IFERROR( VLOOKUP(A35+1,INDIRECT("'[" &amp;Info!$B$4&amp;"]"&amp;Info!$B$5&amp;"'!$A$6:$A$1000"),1,0),"")</f>
        <v>32</v>
      </c>
      <c r="B36" s="5" t="str">
        <f ca="1">IFERROR( IF(A36="","", VLOOKUP(A36,INDIRECT("'[" &amp;Info!$B$4&amp;"]"&amp;Info!$B$5&amp;"'!$A$6:$B$1000"),2,0)),"")</f>
        <v>C32</v>
      </c>
      <c r="C36" s="14" t="str">
        <f ca="1">IFERROR( IF(A36="","", VLOOKUP(A36,INDIRECT("'[" &amp;Info!$B$4&amp;"]"&amp;Info!$B$5&amp;"'!$A$6:$D$1000"),3,0)),"")</f>
        <v>F3251B</v>
      </c>
      <c r="D36" s="31" t="str">
        <f ca="1">IF(C36="","", VLOOKUP(A36,INDIRECT("'[" &amp;Info!$B$4&amp;"]"&amp;Info!$B$5&amp;"'!$A$6:$T$1000"),20,0))</f>
        <v>A6063-T5</v>
      </c>
      <c r="E36" s="6" t="str">
        <f ca="1">IF(D36="","", VLOOKUP(A36,INDIRECT("'[" &amp;Info!$B$4&amp;"]"&amp;Info!$B$5&amp;"'!$A$6:$U$1000"),21,0))</f>
        <v>GW</v>
      </c>
      <c r="F36" s="6" t="str">
        <f ca="1">IF(D36="","", VLOOKUP(A36,INDIRECT("'[" &amp;Info!$B$4&amp;"]"&amp;Info!$B$5&amp;"'!$A$6:$U$1000"),21,0))</f>
        <v>GW</v>
      </c>
      <c r="G36" s="6">
        <f ca="1">IF(D36="","", VLOOKUP(A36,INDIRECT("'[" &amp;Info!$B$4&amp;"]"&amp;Info!$B$5&amp;"'!$A$6:$V$1000"),22,0))</f>
        <v>6</v>
      </c>
      <c r="H36" s="6">
        <f ca="1">IF(D36="","", VLOOKUP(A36,INDIRECT("'[" &amp;Info!$B$4&amp;"]"&amp;Info!$B$5&amp;"'!$A$6:$W$1000"),23,0))</f>
        <v>0</v>
      </c>
      <c r="I36" s="6" t="str">
        <f ca="1">LOWER( IF(D36="","", VLOOKUP(A36,INDIRECT("'[" &amp;Info!$B$4&amp;"]"&amp;Info!$B$5&amp;"'!$A$6:$y$1000"),25,0)))</f>
        <v>h9</v>
      </c>
      <c r="J36" s="6">
        <f ca="1">IF(D36="","", VLOOKUP(A36,INDIRECT("'[" &amp;Info!$B$4&amp;"]"&amp;Info!$B$5&amp;"'!$A$6:$Z$1000"),26,0))</f>
        <v>3</v>
      </c>
      <c r="K36" s="35" t="str">
        <f ca="1">IF(D36="","", VLOOKUP(A36,INDIRECT("'[" &amp;Info!$B$4&amp;"]"&amp;Info!$B$5&amp;"'!$A$6:$AA$1000"),27,0))</f>
        <v>D17</v>
      </c>
      <c r="L36" s="35">
        <f ca="1">IF(D36="","", VLOOKUP(A36,INDIRECT("'[" &amp;Info!$B$4&amp;"]"&amp;Info!$B$5&amp;"'!$A$6:$H$1000"),8,0))</f>
        <v>0.26300000000000001</v>
      </c>
      <c r="M36" s="35">
        <f ca="1">IF(D36="","", VLOOKUP(A36,INDIRECT("'[" &amp;Info!$B$4&amp;"]"&amp;Info!$B$5&amp;"'!$A$6:$F$1000"),6,0))</f>
        <v>203</v>
      </c>
      <c r="N36" s="33">
        <f ca="1">IF(C36="","", VLOOKUP(A36,INDIRECT("'[" &amp;Info!$B$4&amp;"]"&amp;Info!$B$5&amp;"'!$A$6:$Au$1000"),47,0))</f>
        <v>5</v>
      </c>
      <c r="O36" s="28">
        <f ca="1">IF(N36="","",IF(N36=0,0,VLOOKUP(A36,INDIRECT("'[" &amp;Info!$B$4&amp;"]"&amp;Info!$B$5&amp;"'!$A$6:$AH$1000"),34,0)))</f>
        <v>3</v>
      </c>
      <c r="P36" s="9">
        <f ca="1">IF(N36="","",IF(N36=0,0,VLOOKUP(A36,INDIRECT("'[" &amp;Info!$B$4&amp;"]"&amp;Info!$B$5&amp;"'!$A$6:$AW$1000"),49,0)))</f>
        <v>798</v>
      </c>
      <c r="Q36" s="9">
        <f ca="1">IF(N36="","",IF(N36=0,0, VLOOKUP(A36,INDIRECT("'[" &amp;Info!$B$4&amp;"]"&amp;Info!$B$5&amp;"'!$A$6:$AX$1000"),50,0)))</f>
        <v>0</v>
      </c>
      <c r="R36" s="29">
        <f ca="1">IF(N36="","",IF(N36=0,0, VLOOKUP(A36,INDIRECT("'[" &amp;Info!$B$4&amp;"]"&amp;Info!$B$5&amp;"'!$A$6:$AY$1000"),51,0)))</f>
        <v>0</v>
      </c>
      <c r="S36" s="15">
        <f ca="1">IF(N36="","",IF(N36=0,0,VLOOKUP(A36,INDIRECT("'[" &amp;Info!$B$4&amp;"]"&amp;Info!$B$5&amp;"'!$A$6:$Ai$1000"),35,0)))</f>
        <v>6</v>
      </c>
      <c r="T36" s="7">
        <f ca="1">IF(N36="","",IF(N36=0,0, VLOOKUP(A36,INDIRECT("'[" &amp;Info!$B$4&amp;"]"&amp;Info!$B$5&amp;"'!$A$6:$Az$1000"),52,0)))</f>
        <v>1520</v>
      </c>
      <c r="U36" s="7">
        <f ca="1">IF(N36="","",IF(N36=0,0, VLOOKUP(A36,INDIRECT("'[" &amp;Info!$B$4&amp;"]"&amp;Info!$B$5&amp;"'!$A$6:$BA$1000"),53,0)))</f>
        <v>239</v>
      </c>
      <c r="V36" s="16">
        <f ca="1">IF(N36="","",IF(N36=0,0, VLOOKUP(A36,INDIRECT("'[" &amp;Info!$B$4&amp;"]"&amp;Info!$B$5&amp;"'!$A$6:$BB$1000"),54,0)))</f>
        <v>171</v>
      </c>
      <c r="W36" s="17">
        <f t="shared" ca="1" si="1"/>
        <v>9</v>
      </c>
      <c r="X36" s="18">
        <f t="shared" ca="1" si="2"/>
        <v>2318</v>
      </c>
      <c r="Y36" s="19">
        <f t="shared" ca="1" si="3"/>
        <v>239</v>
      </c>
      <c r="Z36" s="18">
        <f t="shared" ca="1" si="4"/>
        <v>171</v>
      </c>
    </row>
    <row r="37" spans="1:26" x14ac:dyDescent="0.25">
      <c r="A37" s="8">
        <f ca="1">IFERROR( VLOOKUP(A36+1,INDIRECT("'[" &amp;Info!$B$4&amp;"]"&amp;Info!$B$5&amp;"'!$A$6:$A$1000"),1,0),"")</f>
        <v>33</v>
      </c>
      <c r="B37" s="5" t="str">
        <f ca="1">IFERROR( IF(A37="","", VLOOKUP(A37,INDIRECT("'[" &amp;Info!$B$4&amp;"]"&amp;Info!$B$5&amp;"'!$A$6:$B$1000"),2,0)),"")</f>
        <v>C33</v>
      </c>
      <c r="C37" s="14" t="str">
        <f ca="1">IFERROR( IF(A37="","", VLOOKUP(A37,INDIRECT("'[" &amp;Info!$B$4&amp;"]"&amp;Info!$B$5&amp;"'!$A$6:$D$1000"),3,0)),"")</f>
        <v>E16963</v>
      </c>
      <c r="D37" s="31" t="str">
        <f ca="1">IF(C37="","", VLOOKUP(A37,INDIRECT("'[" &amp;Info!$B$4&amp;"]"&amp;Info!$B$5&amp;"'!$A$6:$T$1000"),20,0))</f>
        <v>C3604</v>
      </c>
      <c r="E37" s="6" t="str">
        <f ca="1">IF(D37="","", VLOOKUP(A37,INDIRECT("'[" &amp;Info!$B$4&amp;"]"&amp;Info!$B$5&amp;"'!$A$6:$U$1000"),21,0))</f>
        <v>YH</v>
      </c>
      <c r="F37" s="6" t="str">
        <f ca="1">IF(D37="","", VLOOKUP(A37,INDIRECT("'[" &amp;Info!$B$4&amp;"]"&amp;Info!$B$5&amp;"'!$A$6:$U$1000"),21,0))</f>
        <v>YH</v>
      </c>
      <c r="G37" s="6">
        <f ca="1">IF(D37="","", VLOOKUP(A37,INDIRECT("'[" &amp;Info!$B$4&amp;"]"&amp;Info!$B$5&amp;"'!$A$6:$V$1000"),22,0))</f>
        <v>6.35</v>
      </c>
      <c r="H37" s="6">
        <f ca="1">IF(D37="","", VLOOKUP(A37,INDIRECT("'[" &amp;Info!$B$4&amp;"]"&amp;Info!$B$5&amp;"'!$A$6:$W$1000"),23,0))</f>
        <v>0</v>
      </c>
      <c r="I37" s="6" t="str">
        <f ca="1">LOWER( IF(D37="","", VLOOKUP(A37,INDIRECT("'[" &amp;Info!$B$4&amp;"]"&amp;Info!$B$5&amp;"'!$A$6:$y$1000"),25,0)))</f>
        <v>h9</v>
      </c>
      <c r="J37" s="6">
        <f ca="1">IF(D37="","", VLOOKUP(A37,INDIRECT("'[" &amp;Info!$B$4&amp;"]"&amp;Info!$B$5&amp;"'!$A$6:$Z$1000"),26,0))</f>
        <v>3</v>
      </c>
      <c r="K37" s="35" t="str">
        <f ca="1">IF(D37="","", VLOOKUP(A37,INDIRECT("'[" &amp;Info!$B$4&amp;"]"&amp;Info!$B$5&amp;"'!$A$6:$AA$1000"),27,0))</f>
        <v>A17</v>
      </c>
      <c r="L37" s="35">
        <f ca="1">IF(D37="","", VLOOKUP(A37,INDIRECT("'[" &amp;Info!$B$4&amp;"]"&amp;Info!$B$5&amp;"'!$A$6:$H$1000"),8,0))</f>
        <v>0.67</v>
      </c>
      <c r="M37" s="35">
        <f ca="1">IF(D37="","", VLOOKUP(A37,INDIRECT("'[" &amp;Info!$B$4&amp;"]"&amp;Info!$B$5&amp;"'!$A$6:$F$1000"),6,0))</f>
        <v>430</v>
      </c>
      <c r="N37" s="33">
        <f ca="1">IF(C37="","", VLOOKUP(A37,INDIRECT("'[" &amp;Info!$B$4&amp;"]"&amp;Info!$B$5&amp;"'!$A$6:$Au$1000"),47,0))</f>
        <v>7</v>
      </c>
      <c r="O37" s="28">
        <f ca="1">IF(N37="","",IF(N37=0,0,VLOOKUP(A37,INDIRECT("'[" &amp;Info!$B$4&amp;"]"&amp;Info!$B$5&amp;"'!$A$6:$AH$1000"),34,0)))</f>
        <v>5</v>
      </c>
      <c r="P37" s="9">
        <f ca="1">IF(N37="","",IF(N37=0,0,VLOOKUP(A37,INDIRECT("'[" &amp;Info!$B$4&amp;"]"&amp;Info!$B$5&amp;"'!$A$6:$AW$1000"),49,0)))</f>
        <v>1428</v>
      </c>
      <c r="Q37" s="9">
        <f ca="1">IF(N37="","",IF(N37=0,0, VLOOKUP(A37,INDIRECT("'[" &amp;Info!$B$4&amp;"]"&amp;Info!$B$5&amp;"'!$A$6:$AX$1000"),50,0)))</f>
        <v>626</v>
      </c>
      <c r="R37" s="29">
        <f ca="1">IF(N37="","",IF(N37=0,0, VLOOKUP(A37,INDIRECT("'[" &amp;Info!$B$4&amp;"]"&amp;Info!$B$5&amp;"'!$A$6:$AY$1000"),51,0)))</f>
        <v>0</v>
      </c>
      <c r="S37" s="15">
        <f ca="1">IF(N37="","",IF(N37=0,0,VLOOKUP(A37,INDIRECT("'[" &amp;Info!$B$4&amp;"]"&amp;Info!$B$5&amp;"'!$A$6:$Ai$1000"),35,0)))</f>
        <v>1</v>
      </c>
      <c r="T37" s="7">
        <f ca="1">IF(N37="","",IF(N37=0,0, VLOOKUP(A37,INDIRECT("'[" &amp;Info!$B$4&amp;"]"&amp;Info!$B$5&amp;"'!$A$6:$Az$1000"),52,0)))</f>
        <v>373</v>
      </c>
      <c r="U37" s="7">
        <f ca="1">IF(N37="","",IF(N37=0,0, VLOOKUP(A37,INDIRECT("'[" &amp;Info!$B$4&amp;"]"&amp;Info!$B$5&amp;"'!$A$6:$BA$1000"),53,0)))</f>
        <v>0</v>
      </c>
      <c r="V37" s="16">
        <f ca="1">IF(N37="","",IF(N37=0,0, VLOOKUP(A37,INDIRECT("'[" &amp;Info!$B$4&amp;"]"&amp;Info!$B$5&amp;"'!$A$6:$BB$1000"),54,0)))</f>
        <v>0</v>
      </c>
      <c r="W37" s="17">
        <f t="shared" ca="1" si="1"/>
        <v>6</v>
      </c>
      <c r="X37" s="18">
        <f t="shared" ca="1" si="2"/>
        <v>1801</v>
      </c>
      <c r="Y37" s="19">
        <f t="shared" ca="1" si="3"/>
        <v>626</v>
      </c>
      <c r="Z37" s="18">
        <f t="shared" ca="1" si="4"/>
        <v>0</v>
      </c>
    </row>
    <row r="38" spans="1:26" x14ac:dyDescent="0.25">
      <c r="A38" s="8">
        <f ca="1">IFERROR( VLOOKUP(A37+1,INDIRECT("'[" &amp;Info!$B$4&amp;"]"&amp;Info!$B$5&amp;"'!$A$6:$A$1000"),1,0),"")</f>
        <v>34</v>
      </c>
      <c r="B38" s="5" t="str">
        <f ca="1">IFERROR( IF(A38="","", VLOOKUP(A38,INDIRECT("'[" &amp;Info!$B$4&amp;"]"&amp;Info!$B$5&amp;"'!$A$6:$B$1000"),2,0)),"")</f>
        <v>C34</v>
      </c>
      <c r="C38" s="14" t="str">
        <f ca="1">IFERROR( IF(A38="","", VLOOKUP(A38,INDIRECT("'[" &amp;Info!$B$4&amp;"]"&amp;Info!$B$5&amp;"'!$A$6:$D$1000"),3,0)),"")</f>
        <v>L1008</v>
      </c>
      <c r="D38" s="31" t="str">
        <f ca="1">IF(C38="","", VLOOKUP(A38,INDIRECT("'[" &amp;Info!$B$4&amp;"]"&amp;Info!$B$5&amp;"'!$A$6:$T$1000"),20,0))</f>
        <v>SUS430F</v>
      </c>
      <c r="E38" s="6" t="str">
        <f ca="1">IF(D38="","", VLOOKUP(A38,INDIRECT("'[" &amp;Info!$B$4&amp;"]"&amp;Info!$B$5&amp;"'!$A$6:$U$1000"),21,0))</f>
        <v>ME</v>
      </c>
      <c r="F38" s="6" t="str">
        <f ca="1">IF(D38="","", VLOOKUP(A38,INDIRECT("'[" &amp;Info!$B$4&amp;"]"&amp;Info!$B$5&amp;"'!$A$6:$U$1000"),21,0))</f>
        <v>ME</v>
      </c>
      <c r="G38" s="6">
        <f ca="1">IF(D38="","", VLOOKUP(A38,INDIRECT("'[" &amp;Info!$B$4&amp;"]"&amp;Info!$B$5&amp;"'!$A$6:$V$1000"),22,0))</f>
        <v>2.38</v>
      </c>
      <c r="H38" s="6">
        <f ca="1">IF(D38="","", VLOOKUP(A38,INDIRECT("'[" &amp;Info!$B$4&amp;"]"&amp;Info!$B$5&amp;"'!$A$6:$W$1000"),23,0))</f>
        <v>0</v>
      </c>
      <c r="I38" s="6" t="str">
        <f ca="1">LOWER( IF(D38="","", VLOOKUP(A38,INDIRECT("'[" &amp;Info!$B$4&amp;"]"&amp;Info!$B$5&amp;"'!$A$6:$y$1000"),25,0)))</f>
        <v>h9</v>
      </c>
      <c r="J38" s="6">
        <f ca="1">IF(D38="","", VLOOKUP(A38,INDIRECT("'[" &amp;Info!$B$4&amp;"]"&amp;Info!$B$5&amp;"'!$A$6:$Z$1000"),26,0))</f>
        <v>3</v>
      </c>
      <c r="K38" s="35" t="str">
        <f ca="1">IF(D38="","", VLOOKUP(A38,INDIRECT("'[" &amp;Info!$B$4&amp;"]"&amp;Info!$B$5&amp;"'!$A$6:$AA$1000"),27,0))</f>
        <v>A14</v>
      </c>
      <c r="L38" s="35">
        <f ca="1">IF(D38="","", VLOOKUP(A38,INDIRECT("'[" &amp;Info!$B$4&amp;"]"&amp;Info!$B$5&amp;"'!$A$6:$H$1000"),8,0))</f>
        <v>0.191</v>
      </c>
      <c r="M38" s="35">
        <f ca="1">IF(D38="","", VLOOKUP(A38,INDIRECT("'[" &amp;Info!$B$4&amp;"]"&amp;Info!$B$5&amp;"'!$A$6:$F$1000"),6,0))</f>
        <v>250</v>
      </c>
      <c r="N38" s="33">
        <f ca="1">IF(C38="","", VLOOKUP(A38,INDIRECT("'[" &amp;Info!$B$4&amp;"]"&amp;Info!$B$5&amp;"'!$A$6:$Au$1000"),47,0))</f>
        <v>12</v>
      </c>
      <c r="O38" s="28">
        <f ca="1">IF(N38="","",IF(N38=0,0,VLOOKUP(A38,INDIRECT("'[" &amp;Info!$B$4&amp;"]"&amp;Info!$B$5&amp;"'!$A$6:$AH$1000"),34,0)))</f>
        <v>6</v>
      </c>
      <c r="P38" s="9">
        <f ca="1">IF(N38="","",IF(N38=0,0,VLOOKUP(A38,INDIRECT("'[" &amp;Info!$B$4&amp;"]"&amp;Info!$B$5&amp;"'!$A$6:$AW$1000"),49,0)))</f>
        <v>1361</v>
      </c>
      <c r="Q38" s="9">
        <f ca="1">IF(N38="","",IF(N38=0,0, VLOOKUP(A38,INDIRECT("'[" &amp;Info!$B$4&amp;"]"&amp;Info!$B$5&amp;"'!$A$6:$AX$1000"),50,0)))</f>
        <v>0</v>
      </c>
      <c r="R38" s="29">
        <f ca="1">IF(N38="","",IF(N38=0,0, VLOOKUP(A38,INDIRECT("'[" &amp;Info!$B$4&amp;"]"&amp;Info!$B$5&amp;"'!$A$6:$AY$1000"),51,0)))</f>
        <v>0</v>
      </c>
      <c r="S38" s="15">
        <f ca="1">IF(N38="","",IF(N38=0,0,VLOOKUP(A38,INDIRECT("'[" &amp;Info!$B$4&amp;"]"&amp;Info!$B$5&amp;"'!$A$6:$Ai$1000"),35,0)))</f>
        <v>5</v>
      </c>
      <c r="T38" s="7">
        <f ca="1">IF(N38="","",IF(N38=0,0, VLOOKUP(A38,INDIRECT("'[" &amp;Info!$B$4&amp;"]"&amp;Info!$B$5&amp;"'!$A$6:$Az$1000"),52,0)))</f>
        <v>1172</v>
      </c>
      <c r="U38" s="7">
        <f ca="1">IF(N38="","",IF(N38=0,0, VLOOKUP(A38,INDIRECT("'[" &amp;Info!$B$4&amp;"]"&amp;Info!$B$5&amp;"'!$A$6:$BA$1000"),53,0)))</f>
        <v>0</v>
      </c>
      <c r="V38" s="16">
        <f ca="1">IF(N38="","",IF(N38=0,0, VLOOKUP(A38,INDIRECT("'[" &amp;Info!$B$4&amp;"]"&amp;Info!$B$5&amp;"'!$A$6:$BB$1000"),54,0)))</f>
        <v>0</v>
      </c>
      <c r="W38" s="17">
        <f t="shared" ca="1" si="1"/>
        <v>11</v>
      </c>
      <c r="X38" s="18">
        <f t="shared" ca="1" si="2"/>
        <v>2533</v>
      </c>
      <c r="Y38" s="19">
        <f t="shared" ca="1" si="3"/>
        <v>0</v>
      </c>
      <c r="Z38" s="18">
        <f t="shared" ca="1" si="4"/>
        <v>0</v>
      </c>
    </row>
    <row r="39" spans="1:26" x14ac:dyDescent="0.25">
      <c r="A39" s="8">
        <f ca="1">IFERROR( VLOOKUP(A38+1,INDIRECT("'[" &amp;Info!$B$4&amp;"]"&amp;Info!$B$5&amp;"'!$A$6:$A$1000"),1,0),"")</f>
        <v>35</v>
      </c>
      <c r="B39" s="5" t="str">
        <f ca="1">IFERROR( IF(A39="","", VLOOKUP(A39,INDIRECT("'[" &amp;Info!$B$4&amp;"]"&amp;Info!$B$5&amp;"'!$A$6:$B$1000"),2,0)),"")</f>
        <v>C35</v>
      </c>
      <c r="C39" s="14" t="str">
        <f ca="1">IFERROR( IF(A39="","", VLOOKUP(A39,INDIRECT("'[" &amp;Info!$B$4&amp;"]"&amp;Info!$B$5&amp;"'!$A$6:$D$1000"),3,0)),"")</f>
        <v>F3104</v>
      </c>
      <c r="D39" s="31" t="str">
        <f ca="1">IF(C39="","", VLOOKUP(A39,INDIRECT("'[" &amp;Info!$B$4&amp;"]"&amp;Info!$B$5&amp;"'!$A$6:$T$1000"),20,0))</f>
        <v>SUS303Cu</v>
      </c>
      <c r="E39" s="6" t="str">
        <f ca="1">IF(D39="","", VLOOKUP(A39,INDIRECT("'[" &amp;Info!$B$4&amp;"]"&amp;Info!$B$5&amp;"'!$A$6:$U$1000"),21,0))</f>
        <v>ME</v>
      </c>
      <c r="F39" s="6" t="str">
        <f ca="1">IF(D39="","", VLOOKUP(A39,INDIRECT("'[" &amp;Info!$B$4&amp;"]"&amp;Info!$B$5&amp;"'!$A$6:$U$1000"),21,0))</f>
        <v>ME</v>
      </c>
      <c r="G39" s="6">
        <f ca="1">IF(D39="","", VLOOKUP(A39,INDIRECT("'[" &amp;Info!$B$4&amp;"]"&amp;Info!$B$5&amp;"'!$A$6:$V$1000"),22,0))</f>
        <v>2.5</v>
      </c>
      <c r="H39" s="6">
        <f ca="1">IF(D39="","", VLOOKUP(A39,INDIRECT("'[" &amp;Info!$B$4&amp;"]"&amp;Info!$B$5&amp;"'!$A$6:$W$1000"),23,0))</f>
        <v>0</v>
      </c>
      <c r="I39" s="6" t="str">
        <f ca="1">LOWER( IF(D39="","", VLOOKUP(A39,INDIRECT("'[" &amp;Info!$B$4&amp;"]"&amp;Info!$B$5&amp;"'!$A$6:$y$1000"),25,0)))</f>
        <v>h9</v>
      </c>
      <c r="J39" s="6">
        <f ca="1">IF(D39="","", VLOOKUP(A39,INDIRECT("'[" &amp;Info!$B$4&amp;"]"&amp;Info!$B$5&amp;"'!$A$6:$Z$1000"),26,0))</f>
        <v>3</v>
      </c>
      <c r="K39" s="35" t="str">
        <f ca="1">IF(D39="","", VLOOKUP(A39,INDIRECT("'[" &amp;Info!$B$4&amp;"]"&amp;Info!$B$5&amp;"'!$A$6:$AA$1000"),27,0))</f>
        <v>A17</v>
      </c>
      <c r="L39" s="35">
        <f ca="1">IF(D39="","", VLOOKUP(A39,INDIRECT("'[" &amp;Info!$B$4&amp;"]"&amp;Info!$B$5&amp;"'!$A$6:$H$1000"),8,0))</f>
        <v>0.03</v>
      </c>
      <c r="M39" s="35">
        <f ca="1">IF(D39="","", VLOOKUP(A39,INDIRECT("'[" &amp;Info!$B$4&amp;"]"&amp;Info!$B$5&amp;"'!$A$6:$F$1000"),6,0))</f>
        <v>394</v>
      </c>
      <c r="N39" s="33">
        <f ca="1">IF(C39="","", VLOOKUP(A39,INDIRECT("'[" &amp;Info!$B$4&amp;"]"&amp;Info!$B$5&amp;"'!$A$6:$Au$1000"),47,0))</f>
        <v>4</v>
      </c>
      <c r="O39" s="28">
        <f ca="1">IF(N39="","",IF(N39=0,0,VLOOKUP(A39,INDIRECT("'[" &amp;Info!$B$4&amp;"]"&amp;Info!$B$5&amp;"'!$A$6:$AH$1000"),34,0)))</f>
        <v>3</v>
      </c>
      <c r="P39" s="9">
        <f ca="1">IF(N39="","",IF(N39=0,0,VLOOKUP(A39,INDIRECT("'[" &amp;Info!$B$4&amp;"]"&amp;Info!$B$5&amp;"'!$A$6:$AW$1000"),49,0)))</f>
        <v>566</v>
      </c>
      <c r="Q39" s="9">
        <f ca="1">IF(N39="","",IF(N39=0,0, VLOOKUP(A39,INDIRECT("'[" &amp;Info!$B$4&amp;"]"&amp;Info!$B$5&amp;"'!$A$6:$AX$1000"),50,0)))</f>
        <v>333</v>
      </c>
      <c r="R39" s="29">
        <f ca="1">IF(N39="","",IF(N39=0,0, VLOOKUP(A39,INDIRECT("'[" &amp;Info!$B$4&amp;"]"&amp;Info!$B$5&amp;"'!$A$6:$AY$1000"),51,0)))</f>
        <v>0</v>
      </c>
      <c r="S39" s="15">
        <f ca="1">IF(N39="","",IF(N39=0,0,VLOOKUP(A39,INDIRECT("'[" &amp;Info!$B$4&amp;"]"&amp;Info!$B$5&amp;"'!$A$6:$Ai$1000"),35,0)))</f>
        <v>1</v>
      </c>
      <c r="T39" s="7">
        <f ca="1">IF(N39="","",IF(N39=0,0, VLOOKUP(A39,INDIRECT("'[" &amp;Info!$B$4&amp;"]"&amp;Info!$B$5&amp;"'!$A$6:$Az$1000"),52,0)))</f>
        <v>400</v>
      </c>
      <c r="U39" s="7">
        <f ca="1">IF(N39="","",IF(N39=0,0, VLOOKUP(A39,INDIRECT("'[" &amp;Info!$B$4&amp;"]"&amp;Info!$B$5&amp;"'!$A$6:$BA$1000"),53,0)))</f>
        <v>0</v>
      </c>
      <c r="V39" s="16">
        <f ca="1">IF(N39="","",IF(N39=0,0, VLOOKUP(A39,INDIRECT("'[" &amp;Info!$B$4&amp;"]"&amp;Info!$B$5&amp;"'!$A$6:$BB$1000"),54,0)))</f>
        <v>0</v>
      </c>
      <c r="W39" s="17">
        <f t="shared" ca="1" si="1"/>
        <v>4</v>
      </c>
      <c r="X39" s="18">
        <f t="shared" ca="1" si="2"/>
        <v>966</v>
      </c>
      <c r="Y39" s="19">
        <f t="shared" ca="1" si="3"/>
        <v>333</v>
      </c>
      <c r="Z39" s="18">
        <f t="shared" ca="1" si="4"/>
        <v>0</v>
      </c>
    </row>
    <row r="40" spans="1:26" x14ac:dyDescent="0.25">
      <c r="A40" s="8">
        <f ca="1">IFERROR( VLOOKUP(A39+1,INDIRECT("'[" &amp;Info!$B$4&amp;"]"&amp;Info!$B$5&amp;"'!$A$6:$A$1000"),1,0),"")</f>
        <v>36</v>
      </c>
      <c r="B40" s="5" t="str">
        <f ca="1">IFERROR( IF(A40="","", VLOOKUP(A40,INDIRECT("'[" &amp;Info!$B$4&amp;"]"&amp;Info!$B$5&amp;"'!$A$6:$B$1000"),2,0)),"")</f>
        <v>C36</v>
      </c>
      <c r="C40" s="14" t="str">
        <f ca="1">IFERROR( IF(A40="","", VLOOKUP(A40,INDIRECT("'[" &amp;Info!$B$4&amp;"]"&amp;Info!$B$5&amp;"'!$A$6:$D$1000"),3,0)),"")</f>
        <v>SC1</v>
      </c>
      <c r="D40" s="31" t="str">
        <f ca="1">IF(C40="","", VLOOKUP(A40,INDIRECT("'[" &amp;Info!$B$4&amp;"]"&amp;Info!$B$5&amp;"'!$A$6:$T$1000"),20,0))</f>
        <v>12L14</v>
      </c>
      <c r="E40" s="6" t="str">
        <f ca="1">IF(D40="","", VLOOKUP(A40,INDIRECT("'[" &amp;Info!$B$4&amp;"]"&amp;Info!$B$5&amp;"'!$A$6:$U$1000"),21,0))</f>
        <v>TV</v>
      </c>
      <c r="F40" s="6" t="str">
        <f ca="1">IF(D40="","", VLOOKUP(A40,INDIRECT("'[" &amp;Info!$B$4&amp;"]"&amp;Info!$B$5&amp;"'!$A$6:$U$1000"),21,0))</f>
        <v>TV</v>
      </c>
      <c r="G40" s="6">
        <f ca="1">IF(D40="","", VLOOKUP(A40,INDIRECT("'[" &amp;Info!$B$4&amp;"]"&amp;Info!$B$5&amp;"'!$A$6:$V$1000"),22,0))</f>
        <v>5.97</v>
      </c>
      <c r="H40" s="6">
        <f ca="1">IF(D40="","", VLOOKUP(A40,INDIRECT("'[" &amp;Info!$B$4&amp;"]"&amp;Info!$B$5&amp;"'!$A$6:$W$1000"),23,0))</f>
        <v>0</v>
      </c>
      <c r="I40" s="6" t="str">
        <f ca="1">LOWER( IF(D40="","", VLOOKUP(A40,INDIRECT("'[" &amp;Info!$B$4&amp;"]"&amp;Info!$B$5&amp;"'!$A$6:$y$1000"),25,0)))</f>
        <v>h9</v>
      </c>
      <c r="J40" s="6">
        <f ca="1">IF(D40="","", VLOOKUP(A40,INDIRECT("'[" &amp;Info!$B$4&amp;"]"&amp;Info!$B$5&amp;"'!$A$6:$Z$1000"),26,0))</f>
        <v>3</v>
      </c>
      <c r="K40" s="35" t="str">
        <f ca="1">IF(D40="","", VLOOKUP(A40,INDIRECT("'[" &amp;Info!$B$4&amp;"]"&amp;Info!$B$5&amp;"'!$A$6:$AA$1000"),27,0))</f>
        <v>A17</v>
      </c>
      <c r="L40" s="35">
        <f ca="1">IF(D40="","", VLOOKUP(A40,INDIRECT("'[" &amp;Info!$B$4&amp;"]"&amp;Info!$B$5&amp;"'!$A$6:$H$1000"),8,0))</f>
        <v>1.45</v>
      </c>
      <c r="M40" s="35">
        <f ca="1">IF(D40="","", VLOOKUP(A40,INDIRECT("'[" &amp;Info!$B$4&amp;"]"&amp;Info!$B$5&amp;"'!$A$6:$F$1000"),6,0))</f>
        <v>150</v>
      </c>
      <c r="N40" s="33">
        <f ca="1">IF(C40="","", VLOOKUP(A40,INDIRECT("'[" &amp;Info!$B$4&amp;"]"&amp;Info!$B$5&amp;"'!$A$6:$Au$1000"),47,0))</f>
        <v>12</v>
      </c>
      <c r="O40" s="28">
        <f ca="1">IF(N40="","",IF(N40=0,0,VLOOKUP(A40,INDIRECT("'[" &amp;Info!$B$4&amp;"]"&amp;Info!$B$5&amp;"'!$A$6:$AH$1000"),34,0)))</f>
        <v>21</v>
      </c>
      <c r="P40" s="9">
        <f ca="1">IF(N40="","",IF(N40=0,0,VLOOKUP(A40,INDIRECT("'[" &amp;Info!$B$4&amp;"]"&amp;Info!$B$5&amp;"'!$A$6:$AW$1000"),49,0)))</f>
        <v>3110</v>
      </c>
      <c r="Q40" s="9">
        <f ca="1">IF(N40="","",IF(N40=0,0, VLOOKUP(A40,INDIRECT("'[" &amp;Info!$B$4&amp;"]"&amp;Info!$B$5&amp;"'!$A$6:$AX$1000"),50,0)))</f>
        <v>0</v>
      </c>
      <c r="R40" s="29">
        <f ca="1">IF(N40="","",IF(N40=0,0, VLOOKUP(A40,INDIRECT("'[" &amp;Info!$B$4&amp;"]"&amp;Info!$B$5&amp;"'!$A$6:$AY$1000"),51,0)))</f>
        <v>0</v>
      </c>
      <c r="S40" s="15">
        <f ca="1">IF(N40="","",IF(N40=0,0,VLOOKUP(A40,INDIRECT("'[" &amp;Info!$B$4&amp;"]"&amp;Info!$B$5&amp;"'!$A$6:$Ai$1000"),35,0)))</f>
        <v>15</v>
      </c>
      <c r="T40" s="7">
        <f ca="1">IF(N40="","",IF(N40=0,0, VLOOKUP(A40,INDIRECT("'[" &amp;Info!$B$4&amp;"]"&amp;Info!$B$5&amp;"'!$A$6:$Az$1000"),52,0)))</f>
        <v>2805</v>
      </c>
      <c r="U40" s="7">
        <f ca="1">IF(N40="","",IF(N40=0,0, VLOOKUP(A40,INDIRECT("'[" &amp;Info!$B$4&amp;"]"&amp;Info!$B$5&amp;"'!$A$6:$BA$1000"),53,0)))</f>
        <v>0</v>
      </c>
      <c r="V40" s="16">
        <f ca="1">IF(N40="","",IF(N40=0,0, VLOOKUP(A40,INDIRECT("'[" &amp;Info!$B$4&amp;"]"&amp;Info!$B$5&amp;"'!$A$6:$BB$1000"),54,0)))</f>
        <v>0</v>
      </c>
      <c r="W40" s="17">
        <f t="shared" ca="1" si="1"/>
        <v>36</v>
      </c>
      <c r="X40" s="18">
        <f t="shared" ca="1" si="2"/>
        <v>5915</v>
      </c>
      <c r="Y40" s="19">
        <f t="shared" ca="1" si="3"/>
        <v>0</v>
      </c>
      <c r="Z40" s="18">
        <f t="shared" ca="1" si="4"/>
        <v>0</v>
      </c>
    </row>
    <row r="41" spans="1:26" x14ac:dyDescent="0.25">
      <c r="A41" s="8">
        <f ca="1">IFERROR( VLOOKUP(A40+1,INDIRECT("'[" &amp;Info!$B$4&amp;"]"&amp;Info!$B$5&amp;"'!$A$6:$A$1000"),1,0),"")</f>
        <v>37</v>
      </c>
      <c r="B41" s="5" t="str">
        <f ca="1">IFERROR( IF(A41="","", VLOOKUP(A41,INDIRECT("'[" &amp;Info!$B$4&amp;"]"&amp;Info!$B$5&amp;"'!$A$6:$B$1000"),2,0)),"")</f>
        <v>C37</v>
      </c>
      <c r="C41" s="14" t="str">
        <f ca="1">IFERROR( IF(A41="","", VLOOKUP(A41,INDIRECT("'[" &amp;Info!$B$4&amp;"]"&amp;Info!$B$5&amp;"'!$A$6:$D$1000"),3,0)),"")</f>
        <v>H2170</v>
      </c>
      <c r="D41" s="31" t="str">
        <f ca="1">IF(C41="","", VLOOKUP(A41,INDIRECT("'[" &amp;Info!$B$4&amp;"]"&amp;Info!$B$5&amp;"'!$A$6:$T$1000"),20,0))</f>
        <v>C3604</v>
      </c>
      <c r="E41" s="6" t="str">
        <f ca="1">IF(D41="","", VLOOKUP(A41,INDIRECT("'[" &amp;Info!$B$4&amp;"]"&amp;Info!$B$5&amp;"'!$A$6:$U$1000"),21,0))</f>
        <v>GH</v>
      </c>
      <c r="F41" s="6" t="str">
        <f ca="1">IF(D41="","", VLOOKUP(A41,INDIRECT("'[" &amp;Info!$B$4&amp;"]"&amp;Info!$B$5&amp;"'!$A$6:$U$1000"),21,0))</f>
        <v>GH</v>
      </c>
      <c r="G41" s="6">
        <f ca="1">IF(D41="","", VLOOKUP(A41,INDIRECT("'[" &amp;Info!$B$4&amp;"]"&amp;Info!$B$5&amp;"'!$A$6:$V$1000"),22,0))</f>
        <v>9.5299999999999994</v>
      </c>
      <c r="H41" s="6">
        <f ca="1">IF(D41="","", VLOOKUP(A41,INDIRECT("'[" &amp;Info!$B$4&amp;"]"&amp;Info!$B$5&amp;"'!$A$6:$W$1000"),23,0))</f>
        <v>0</v>
      </c>
      <c r="I41" s="6" t="str">
        <f ca="1">LOWER( IF(D41="","", VLOOKUP(A41,INDIRECT("'[" &amp;Info!$B$4&amp;"]"&amp;Info!$B$5&amp;"'!$A$6:$y$1000"),25,0)))</f>
        <v>h9</v>
      </c>
      <c r="J41" s="6">
        <f ca="1">IF(D41="","", VLOOKUP(A41,INDIRECT("'[" &amp;Info!$B$4&amp;"]"&amp;Info!$B$5&amp;"'!$A$6:$Z$1000"),26,0))</f>
        <v>2.5</v>
      </c>
      <c r="K41" s="35" t="str">
        <f ca="1">IF(D41="","", VLOOKUP(A41,INDIRECT("'[" &amp;Info!$B$4&amp;"]"&amp;Info!$B$5&amp;"'!$A$6:$AA$1000"),27,0))</f>
        <v>A17</v>
      </c>
      <c r="L41" s="35">
        <f ca="1">IF(D41="","", VLOOKUP(A41,INDIRECT("'[" &amp;Info!$B$4&amp;"]"&amp;Info!$B$5&amp;"'!$A$6:$H$1000"),8,0))</f>
        <v>4.58</v>
      </c>
      <c r="M41" s="35">
        <f ca="1">IF(D41="","", VLOOKUP(A41,INDIRECT("'[" &amp;Info!$B$4&amp;"]"&amp;Info!$B$5&amp;"'!$A$6:$F$1000"),6,0))</f>
        <v>112</v>
      </c>
      <c r="N41" s="33">
        <f ca="1">IF(C41="","", VLOOKUP(A41,INDIRECT("'[" &amp;Info!$B$4&amp;"]"&amp;Info!$B$5&amp;"'!$A$6:$Au$1000"),47,0))</f>
        <v>0</v>
      </c>
      <c r="O41" s="28">
        <f ca="1">IF(N41="","",IF(N41=0,0,VLOOKUP(A41,INDIRECT("'[" &amp;Info!$B$4&amp;"]"&amp;Info!$B$5&amp;"'!$A$6:$AH$1000"),34,0)))</f>
        <v>0</v>
      </c>
      <c r="P41" s="9">
        <f ca="1">IF(N41="","",IF(N41=0,0,VLOOKUP(A41,INDIRECT("'[" &amp;Info!$B$4&amp;"]"&amp;Info!$B$5&amp;"'!$A$6:$AW$1000"),49,0)))</f>
        <v>0</v>
      </c>
      <c r="Q41" s="9">
        <f ca="1">IF(N41="","",IF(N41=0,0, VLOOKUP(A41,INDIRECT("'[" &amp;Info!$B$4&amp;"]"&amp;Info!$B$5&amp;"'!$A$6:$AX$1000"),50,0)))</f>
        <v>0</v>
      </c>
      <c r="R41" s="29">
        <f ca="1">IF(N41="","",IF(N41=0,0, VLOOKUP(A41,INDIRECT("'[" &amp;Info!$B$4&amp;"]"&amp;Info!$B$5&amp;"'!$A$6:$AY$1000"),51,0)))</f>
        <v>0</v>
      </c>
      <c r="S41" s="15">
        <f ca="1">IF(N41="","",IF(N41=0,0,VLOOKUP(A41,INDIRECT("'[" &amp;Info!$B$4&amp;"]"&amp;Info!$B$5&amp;"'!$A$6:$Ai$1000"),35,0)))</f>
        <v>0</v>
      </c>
      <c r="T41" s="7">
        <f ca="1">IF(N41="","",IF(N41=0,0, VLOOKUP(A41,INDIRECT("'[" &amp;Info!$B$4&amp;"]"&amp;Info!$B$5&amp;"'!$A$6:$Az$1000"),52,0)))</f>
        <v>0</v>
      </c>
      <c r="U41" s="7">
        <f ca="1">IF(N41="","",IF(N41=0,0, VLOOKUP(A41,INDIRECT("'[" &amp;Info!$B$4&amp;"]"&amp;Info!$B$5&amp;"'!$A$6:$BA$1000"),53,0)))</f>
        <v>0</v>
      </c>
      <c r="V41" s="16">
        <f ca="1">IF(N41="","",IF(N41=0,0, VLOOKUP(A41,INDIRECT("'[" &amp;Info!$B$4&amp;"]"&amp;Info!$B$5&amp;"'!$A$6:$BB$1000"),54,0)))</f>
        <v>0</v>
      </c>
      <c r="W41" s="17">
        <f t="shared" ca="1" si="1"/>
        <v>0</v>
      </c>
      <c r="X41" s="18">
        <f t="shared" ca="1" si="2"/>
        <v>0</v>
      </c>
      <c r="Y41" s="19">
        <f t="shared" ca="1" si="3"/>
        <v>0</v>
      </c>
      <c r="Z41" s="18">
        <f t="shared" ca="1" si="4"/>
        <v>0</v>
      </c>
    </row>
    <row r="42" spans="1:26" x14ac:dyDescent="0.25">
      <c r="A42" s="8">
        <f ca="1">IFERROR( VLOOKUP(A41+1,INDIRECT("'[" &amp;Info!$B$4&amp;"]"&amp;Info!$B$5&amp;"'!$A$6:$A$1000"),1,0),"")</f>
        <v>38</v>
      </c>
      <c r="B42" s="5" t="str">
        <f ca="1">IFERROR( IF(A42="","", VLOOKUP(A42,INDIRECT("'[" &amp;Info!$B$4&amp;"]"&amp;Info!$B$5&amp;"'!$A$6:$B$1000"),2,0)),"")</f>
        <v>C38</v>
      </c>
      <c r="C42" s="14" t="str">
        <f ca="1">IFERROR( IF(A42="","", VLOOKUP(A42,INDIRECT("'[" &amp;Info!$B$4&amp;"]"&amp;Info!$B$5&amp;"'!$A$6:$D$1000"),3,0)),"")</f>
        <v>F3104</v>
      </c>
      <c r="D42" s="31" t="str">
        <f ca="1">IF(C42="","", VLOOKUP(A42,INDIRECT("'[" &amp;Info!$B$4&amp;"]"&amp;Info!$B$5&amp;"'!$A$6:$T$1000"),20,0))</f>
        <v>SUS303Cu</v>
      </c>
      <c r="E42" s="6" t="str">
        <f ca="1">IF(D42="","", VLOOKUP(A42,INDIRECT("'[" &amp;Info!$B$4&amp;"]"&amp;Info!$B$5&amp;"'!$A$6:$U$1000"),21,0))</f>
        <v>ME</v>
      </c>
      <c r="F42" s="6" t="str">
        <f ca="1">IF(D42="","", VLOOKUP(A42,INDIRECT("'[" &amp;Info!$B$4&amp;"]"&amp;Info!$B$5&amp;"'!$A$6:$U$1000"),21,0))</f>
        <v>ME</v>
      </c>
      <c r="G42" s="6">
        <f ca="1">IF(D42="","", VLOOKUP(A42,INDIRECT("'[" &amp;Info!$B$4&amp;"]"&amp;Info!$B$5&amp;"'!$A$6:$V$1000"),22,0))</f>
        <v>2.5</v>
      </c>
      <c r="H42" s="6">
        <f ca="1">IF(D42="","", VLOOKUP(A42,INDIRECT("'[" &amp;Info!$B$4&amp;"]"&amp;Info!$B$5&amp;"'!$A$6:$W$1000"),23,0))</f>
        <v>0</v>
      </c>
      <c r="I42" s="6" t="str">
        <f ca="1">LOWER( IF(D42="","", VLOOKUP(A42,INDIRECT("'[" &amp;Info!$B$4&amp;"]"&amp;Info!$B$5&amp;"'!$A$6:$y$1000"),25,0)))</f>
        <v>h9</v>
      </c>
      <c r="J42" s="6">
        <f ca="1">IF(D42="","", VLOOKUP(A42,INDIRECT("'[" &amp;Info!$B$4&amp;"]"&amp;Info!$B$5&amp;"'!$A$6:$Z$1000"),26,0))</f>
        <v>3</v>
      </c>
      <c r="K42" s="35" t="str">
        <f ca="1">IF(D42="","", VLOOKUP(A42,INDIRECT("'[" &amp;Info!$B$4&amp;"]"&amp;Info!$B$5&amp;"'!$A$6:$AA$1000"),27,0))</f>
        <v>A17</v>
      </c>
      <c r="L42" s="35">
        <f ca="1">IF(D42="","", VLOOKUP(A42,INDIRECT("'[" &amp;Info!$B$4&amp;"]"&amp;Info!$B$5&amp;"'!$A$6:$H$1000"),8,0))</f>
        <v>0.03</v>
      </c>
      <c r="M42" s="35">
        <f ca="1">IF(D42="","", VLOOKUP(A42,INDIRECT("'[" &amp;Info!$B$4&amp;"]"&amp;Info!$B$5&amp;"'!$A$6:$F$1000"),6,0))</f>
        <v>394</v>
      </c>
      <c r="N42" s="33">
        <f ca="1">IF(C42="","", VLOOKUP(A42,INDIRECT("'[" &amp;Info!$B$4&amp;"]"&amp;Info!$B$5&amp;"'!$A$6:$Au$1000"),47,0))</f>
        <v>4</v>
      </c>
      <c r="O42" s="28">
        <f ca="1">IF(N42="","",IF(N42=0,0,VLOOKUP(A42,INDIRECT("'[" &amp;Info!$B$4&amp;"]"&amp;Info!$B$5&amp;"'!$A$6:$AH$1000"),34,0)))</f>
        <v>1</v>
      </c>
      <c r="P42" s="9">
        <f ca="1">IF(N42="","",IF(N42=0,0,VLOOKUP(A42,INDIRECT("'[" &amp;Info!$B$4&amp;"]"&amp;Info!$B$5&amp;"'!$A$6:$AW$1000"),49,0)))</f>
        <v>200</v>
      </c>
      <c r="Q42" s="9">
        <f ca="1">IF(N42="","",IF(N42=0,0, VLOOKUP(A42,INDIRECT("'[" &amp;Info!$B$4&amp;"]"&amp;Info!$B$5&amp;"'!$A$6:$AX$1000"),50,0)))</f>
        <v>133</v>
      </c>
      <c r="R42" s="29">
        <f ca="1">IF(N42="","",IF(N42=0,0, VLOOKUP(A42,INDIRECT("'[" &amp;Info!$B$4&amp;"]"&amp;Info!$B$5&amp;"'!$A$6:$AY$1000"),51,0)))</f>
        <v>0</v>
      </c>
      <c r="S42" s="15">
        <f ca="1">IF(N42="","",IF(N42=0,0,VLOOKUP(A42,INDIRECT("'[" &amp;Info!$B$4&amp;"]"&amp;Info!$B$5&amp;"'!$A$6:$Ai$1000"),35,0)))</f>
        <v>2</v>
      </c>
      <c r="T42" s="7">
        <f ca="1">IF(N42="","",IF(N42=0,0, VLOOKUP(A42,INDIRECT("'[" &amp;Info!$B$4&amp;"]"&amp;Info!$B$5&amp;"'!$A$6:$Az$1000"),52,0)))</f>
        <v>733</v>
      </c>
      <c r="U42" s="7">
        <f ca="1">IF(N42="","",IF(N42=0,0, VLOOKUP(A42,INDIRECT("'[" &amp;Info!$B$4&amp;"]"&amp;Info!$B$5&amp;"'!$A$6:$BA$1000"),53,0)))</f>
        <v>0</v>
      </c>
      <c r="V42" s="16">
        <f ca="1">IF(N42="","",IF(N42=0,0, VLOOKUP(A42,INDIRECT("'[" &amp;Info!$B$4&amp;"]"&amp;Info!$B$5&amp;"'!$A$6:$BB$1000"),54,0)))</f>
        <v>0</v>
      </c>
      <c r="W42" s="17">
        <f t="shared" ca="1" si="1"/>
        <v>3</v>
      </c>
      <c r="X42" s="18">
        <f t="shared" ca="1" si="2"/>
        <v>933</v>
      </c>
      <c r="Y42" s="19">
        <f t="shared" ca="1" si="3"/>
        <v>133</v>
      </c>
      <c r="Z42" s="18">
        <f t="shared" ca="1" si="4"/>
        <v>0</v>
      </c>
    </row>
    <row r="43" spans="1:26" x14ac:dyDescent="0.25">
      <c r="A43" s="8">
        <f ca="1">IFERROR( VLOOKUP(A42+1,INDIRECT("'[" &amp;Info!$B$4&amp;"]"&amp;Info!$B$5&amp;"'!$A$6:$A$1000"),1,0),"")</f>
        <v>39</v>
      </c>
      <c r="B43" s="5" t="str">
        <f ca="1">IFERROR( IF(A43="","", VLOOKUP(A43,INDIRECT("'[" &amp;Info!$B$4&amp;"]"&amp;Info!$B$5&amp;"'!$A$6:$B$1000"),2,0)),"")</f>
        <v>C39</v>
      </c>
      <c r="C43" s="14" t="str">
        <f ca="1">IFERROR( IF(A43="","", VLOOKUP(A43,INDIRECT("'[" &amp;Info!$B$4&amp;"]"&amp;Info!$B$5&amp;"'!$A$6:$D$1000"),3,0)),"")</f>
        <v>4B03</v>
      </c>
      <c r="D43" s="31" t="str">
        <f ca="1">IF(C43="","", VLOOKUP(A43,INDIRECT("'[" &amp;Info!$B$4&amp;"]"&amp;Info!$B$5&amp;"'!$A$6:$T$1000"),20,0))</f>
        <v>C3602</v>
      </c>
      <c r="E43" s="6" t="str">
        <f ca="1">IF(D43="","", VLOOKUP(A43,INDIRECT("'[" &amp;Info!$B$4&amp;"]"&amp;Info!$B$5&amp;"'!$A$6:$U$1000"),21,0))</f>
        <v>YH</v>
      </c>
      <c r="F43" s="6" t="str">
        <f ca="1">IF(D43="","", VLOOKUP(A43,INDIRECT("'[" &amp;Info!$B$4&amp;"]"&amp;Info!$B$5&amp;"'!$A$6:$U$1000"),21,0))</f>
        <v>YH</v>
      </c>
      <c r="G43" s="6">
        <f ca="1">IF(D43="","", VLOOKUP(A43,INDIRECT("'[" &amp;Info!$B$4&amp;"]"&amp;Info!$B$5&amp;"'!$A$6:$V$1000"),22,0))</f>
        <v>4</v>
      </c>
      <c r="H43" s="6">
        <f ca="1">IF(D43="","", VLOOKUP(A43,INDIRECT("'[" &amp;Info!$B$4&amp;"]"&amp;Info!$B$5&amp;"'!$A$6:$W$1000"),23,0))</f>
        <v>0</v>
      </c>
      <c r="I43" s="6" t="str">
        <f ca="1">LOWER( IF(D43="","", VLOOKUP(A43,INDIRECT("'[" &amp;Info!$B$4&amp;"]"&amp;Info!$B$5&amp;"'!$A$6:$y$1000"),25,0)))</f>
        <v>h9</v>
      </c>
      <c r="J43" s="6">
        <f ca="1">IF(D43="","", VLOOKUP(A43,INDIRECT("'[" &amp;Info!$B$4&amp;"]"&amp;Info!$B$5&amp;"'!$A$6:$Z$1000"),26,0))</f>
        <v>3</v>
      </c>
      <c r="K43" s="35" t="str">
        <f ca="1">IF(D43="","", VLOOKUP(A43,INDIRECT("'[" &amp;Info!$B$4&amp;"]"&amp;Info!$B$5&amp;"'!$A$6:$AA$1000"),27,0))</f>
        <v>A17</v>
      </c>
      <c r="L43" s="35">
        <f ca="1">IF(D43="","", VLOOKUP(A43,INDIRECT("'[" &amp;Info!$B$4&amp;"]"&amp;Info!$B$5&amp;"'!$A$6:$H$1000"),8,0))</f>
        <v>0.48</v>
      </c>
      <c r="M43" s="35">
        <f ca="1">IF(D43="","", VLOOKUP(A43,INDIRECT("'[" &amp;Info!$B$4&amp;"]"&amp;Info!$B$5&amp;"'!$A$6:$F$1000"),6,0))</f>
        <v>304</v>
      </c>
      <c r="N43" s="33">
        <f ca="1">IF(C43="","", VLOOKUP(A43,INDIRECT("'[" &amp;Info!$B$4&amp;"]"&amp;Info!$B$5&amp;"'!$A$6:$Au$1000"),47,0))</f>
        <v>3</v>
      </c>
      <c r="O43" s="28">
        <f ca="1">IF(N43="","",IF(N43=0,0,VLOOKUP(A43,INDIRECT("'[" &amp;Info!$B$4&amp;"]"&amp;Info!$B$5&amp;"'!$A$6:$AH$1000"),34,0)))</f>
        <v>7</v>
      </c>
      <c r="P43" s="9">
        <f ca="1">IF(N43="","",IF(N43=0,0,VLOOKUP(A43,INDIRECT("'[" &amp;Info!$B$4&amp;"]"&amp;Info!$B$5&amp;"'!$A$6:$AW$1000"),49,0)))</f>
        <v>2585</v>
      </c>
      <c r="Q43" s="9">
        <f ca="1">IF(N43="","",IF(N43=0,0, VLOOKUP(A43,INDIRECT("'[" &amp;Info!$B$4&amp;"]"&amp;Info!$B$5&amp;"'!$A$6:$AX$1000"),50,0)))</f>
        <v>0</v>
      </c>
      <c r="R43" s="29">
        <f ca="1">IF(N43="","",IF(N43=0,0, VLOOKUP(A43,INDIRECT("'[" &amp;Info!$B$4&amp;"]"&amp;Info!$B$5&amp;"'!$A$6:$AY$1000"),51,0)))</f>
        <v>0</v>
      </c>
      <c r="S43" s="15">
        <f ca="1">IF(N43="","",IF(N43=0,0,VLOOKUP(A43,INDIRECT("'[" &amp;Info!$B$4&amp;"]"&amp;Info!$B$5&amp;"'!$A$6:$Ai$1000"),35,0)))</f>
        <v>12</v>
      </c>
      <c r="T43" s="7">
        <f ca="1">IF(N43="","",IF(N43=0,0, VLOOKUP(A43,INDIRECT("'[" &amp;Info!$B$4&amp;"]"&amp;Info!$B$5&amp;"'!$A$6:$Az$1000"),52,0)))</f>
        <v>3793</v>
      </c>
      <c r="U43" s="7">
        <f ca="1">IF(N43="","",IF(N43=0,0, VLOOKUP(A43,INDIRECT("'[" &amp;Info!$B$4&amp;"]"&amp;Info!$B$5&amp;"'!$A$6:$BA$1000"),53,0)))</f>
        <v>0</v>
      </c>
      <c r="V43" s="16">
        <f ca="1">IF(N43="","",IF(N43=0,0, VLOOKUP(A43,INDIRECT("'[" &amp;Info!$B$4&amp;"]"&amp;Info!$B$5&amp;"'!$A$6:$BB$1000"),54,0)))</f>
        <v>0</v>
      </c>
      <c r="W43" s="17">
        <f t="shared" ca="1" si="1"/>
        <v>19</v>
      </c>
      <c r="X43" s="18">
        <f t="shared" ca="1" si="2"/>
        <v>6378</v>
      </c>
      <c r="Y43" s="19">
        <f t="shared" ca="1" si="3"/>
        <v>0</v>
      </c>
      <c r="Z43" s="18">
        <f t="shared" ca="1" si="4"/>
        <v>0</v>
      </c>
    </row>
    <row r="44" spans="1:26" x14ac:dyDescent="0.25">
      <c r="A44" s="8">
        <f ca="1">IFERROR( VLOOKUP(A43+1,INDIRECT("'[" &amp;Info!$B$4&amp;"]"&amp;Info!$B$5&amp;"'!$A$6:$A$1000"),1,0),"")</f>
        <v>40</v>
      </c>
      <c r="B44" s="5" t="str">
        <f ca="1">IFERROR( IF(A44="","", VLOOKUP(A44,INDIRECT("'[" &amp;Info!$B$4&amp;"]"&amp;Info!$B$5&amp;"'!$A$6:$B$1000"),2,0)),"")</f>
        <v>C40</v>
      </c>
      <c r="C44" s="14" t="str">
        <f ca="1">IFERROR( IF(A44="","", VLOOKUP(A44,INDIRECT("'[" &amp;Info!$B$4&amp;"]"&amp;Info!$B$5&amp;"'!$A$6:$D$1000"),3,0)),"")</f>
        <v>L152832</v>
      </c>
      <c r="D44" s="31" t="str">
        <f ca="1">IF(C44="","", VLOOKUP(A44,INDIRECT("'[" &amp;Info!$B$4&amp;"]"&amp;Info!$B$5&amp;"'!$A$6:$T$1000"),20,0))</f>
        <v>SUS430F</v>
      </c>
      <c r="E44" s="6" t="str">
        <f ca="1">IF(D44="","", VLOOKUP(A44,INDIRECT("'[" &amp;Info!$B$4&amp;"]"&amp;Info!$B$5&amp;"'!$A$6:$U$1000"),21,0))</f>
        <v>ME</v>
      </c>
      <c r="F44" s="6" t="str">
        <f ca="1">IF(D44="","", VLOOKUP(A44,INDIRECT("'[" &amp;Info!$B$4&amp;"]"&amp;Info!$B$5&amp;"'!$A$6:$U$1000"),21,0))</f>
        <v>ME</v>
      </c>
      <c r="G44" s="6">
        <f ca="1">IF(D44="","", VLOOKUP(A44,INDIRECT("'[" &amp;Info!$B$4&amp;"]"&amp;Info!$B$5&amp;"'!$A$6:$V$1000"),22,0))</f>
        <v>3.5</v>
      </c>
      <c r="H44" s="6">
        <f ca="1">IF(D44="","", VLOOKUP(A44,INDIRECT("'[" &amp;Info!$B$4&amp;"]"&amp;Info!$B$5&amp;"'!$A$6:$W$1000"),23,0))</f>
        <v>0</v>
      </c>
      <c r="I44" s="6" t="str">
        <f ca="1">LOWER( IF(D44="","", VLOOKUP(A44,INDIRECT("'[" &amp;Info!$B$4&amp;"]"&amp;Info!$B$5&amp;"'!$A$6:$y$1000"),25,0)))</f>
        <v>h9</v>
      </c>
      <c r="J44" s="6">
        <f ca="1">IF(D44="","", VLOOKUP(A44,INDIRECT("'[" &amp;Info!$B$4&amp;"]"&amp;Info!$B$5&amp;"'!$A$6:$Z$1000"),26,0))</f>
        <v>3</v>
      </c>
      <c r="K44" s="35" t="str">
        <f ca="1">IF(D44="","", VLOOKUP(A44,INDIRECT("'[" &amp;Info!$B$4&amp;"]"&amp;Info!$B$5&amp;"'!$A$6:$AA$1000"),27,0))</f>
        <v>A17</v>
      </c>
      <c r="L44" s="35">
        <f ca="1">IF(D44="","", VLOOKUP(A44,INDIRECT("'[" &amp;Info!$B$4&amp;"]"&amp;Info!$B$5&amp;"'!$A$6:$H$1000"),8,0))</f>
        <v>0.72399999999999998</v>
      </c>
      <c r="M44" s="35">
        <f ca="1">IF(D44="","", VLOOKUP(A44,INDIRECT("'[" &amp;Info!$B$4&amp;"]"&amp;Info!$B$5&amp;"'!$A$6:$F$1000"),6,0))</f>
        <v>170</v>
      </c>
      <c r="N44" s="33">
        <f ca="1">IF(C44="","", VLOOKUP(A44,INDIRECT("'[" &amp;Info!$B$4&amp;"]"&amp;Info!$B$5&amp;"'!$A$6:$Au$1000"),47,0))</f>
        <v>12</v>
      </c>
      <c r="O44" s="28">
        <f ca="1">IF(N44="","",IF(N44=0,0,VLOOKUP(A44,INDIRECT("'[" &amp;Info!$B$4&amp;"]"&amp;Info!$B$5&amp;"'!$A$6:$AH$1000"),34,0)))</f>
        <v>4</v>
      </c>
      <c r="P44" s="9">
        <f ca="1">IF(N44="","",IF(N44=0,0,VLOOKUP(A44,INDIRECT("'[" &amp;Info!$B$4&amp;"]"&amp;Info!$B$5&amp;"'!$A$6:$AW$1000"),49,0)))</f>
        <v>571</v>
      </c>
      <c r="Q44" s="9">
        <f ca="1">IF(N44="","",IF(N44=0,0, VLOOKUP(A44,INDIRECT("'[" &amp;Info!$B$4&amp;"]"&amp;Info!$B$5&amp;"'!$A$6:$AX$1000"),50,0)))</f>
        <v>0</v>
      </c>
      <c r="R44" s="29">
        <f ca="1">IF(N44="","",IF(N44=0,0, VLOOKUP(A44,INDIRECT("'[" &amp;Info!$B$4&amp;"]"&amp;Info!$B$5&amp;"'!$A$6:$AY$1000"),51,0)))</f>
        <v>0</v>
      </c>
      <c r="S44" s="15">
        <f ca="1">IF(N44="","",IF(N44=0,0,VLOOKUP(A44,INDIRECT("'[" &amp;Info!$B$4&amp;"]"&amp;Info!$B$5&amp;"'!$A$6:$Ai$1000"),35,0)))</f>
        <v>0</v>
      </c>
      <c r="T44" s="7">
        <f ca="1">IF(N44="","",IF(N44=0,0, VLOOKUP(A44,INDIRECT("'[" &amp;Info!$B$4&amp;"]"&amp;Info!$B$5&amp;"'!$A$6:$Az$1000"),52,0)))</f>
        <v>0</v>
      </c>
      <c r="U44" s="7">
        <f ca="1">IF(N44="","",IF(N44=0,0, VLOOKUP(A44,INDIRECT("'[" &amp;Info!$B$4&amp;"]"&amp;Info!$B$5&amp;"'!$A$6:$BA$1000"),53,0)))</f>
        <v>0</v>
      </c>
      <c r="V44" s="16">
        <f ca="1">IF(N44="","",IF(N44=0,0, VLOOKUP(A44,INDIRECT("'[" &amp;Info!$B$4&amp;"]"&amp;Info!$B$5&amp;"'!$A$6:$BB$1000"),54,0)))</f>
        <v>0</v>
      </c>
      <c r="W44" s="17">
        <f t="shared" ca="1" si="1"/>
        <v>4</v>
      </c>
      <c r="X44" s="18">
        <f t="shared" ca="1" si="2"/>
        <v>571</v>
      </c>
      <c r="Y44" s="19">
        <f t="shared" ca="1" si="3"/>
        <v>0</v>
      </c>
      <c r="Z44" s="18">
        <f t="shared" ca="1" si="4"/>
        <v>0</v>
      </c>
    </row>
    <row r="45" spans="1:26" x14ac:dyDescent="0.25">
      <c r="A45" s="8">
        <f ca="1">IFERROR( VLOOKUP(A44+1,INDIRECT("'[" &amp;Info!$B$4&amp;"]"&amp;Info!$B$5&amp;"'!$A$6:$A$1000"),1,0),"")</f>
        <v>41</v>
      </c>
      <c r="B45" s="5" t="str">
        <f ca="1">IFERROR( IF(A45="","", VLOOKUP(A45,INDIRECT("'[" &amp;Info!$B$4&amp;"]"&amp;Info!$B$5&amp;"'!$A$6:$B$1000"),2,0)),"")</f>
        <v>C41</v>
      </c>
      <c r="C45" s="14">
        <f ca="1">IFERROR( IF(A45="","", VLOOKUP(A45,INDIRECT("'[" &amp;Info!$B$4&amp;"]"&amp;Info!$B$5&amp;"'!$A$6:$D$1000"),3,0)),"")</f>
        <v>1501</v>
      </c>
      <c r="D45" s="31" t="str">
        <f ca="1">IF(C45="","", VLOOKUP(A45,INDIRECT("'[" &amp;Info!$B$4&amp;"]"&amp;Info!$B$5&amp;"'!$A$6:$T$1000"),20,0))</f>
        <v>C3604</v>
      </c>
      <c r="E45" s="6" t="str">
        <f ca="1">IF(D45="","", VLOOKUP(A45,INDIRECT("'[" &amp;Info!$B$4&amp;"]"&amp;Info!$B$5&amp;"'!$A$6:$U$1000"),21,0))</f>
        <v>GH</v>
      </c>
      <c r="F45" s="6" t="str">
        <f ca="1">IF(D45="","", VLOOKUP(A45,INDIRECT("'[" &amp;Info!$B$4&amp;"]"&amp;Info!$B$5&amp;"'!$A$6:$U$1000"),21,0))</f>
        <v>GH</v>
      </c>
      <c r="G45" s="6">
        <f ca="1">IF(D45="","", VLOOKUP(A45,INDIRECT("'[" &amp;Info!$B$4&amp;"]"&amp;Info!$B$5&amp;"'!$A$6:$V$1000"),22,0))</f>
        <v>7</v>
      </c>
      <c r="H45" s="6">
        <f ca="1">IF(D45="","", VLOOKUP(A45,INDIRECT("'[" &amp;Info!$B$4&amp;"]"&amp;Info!$B$5&amp;"'!$A$6:$W$1000"),23,0))</f>
        <v>0</v>
      </c>
      <c r="I45" s="6" t="str">
        <f ca="1">LOWER( IF(D45="","", VLOOKUP(A45,INDIRECT("'[" &amp;Info!$B$4&amp;"]"&amp;Info!$B$5&amp;"'!$A$6:$y$1000"),25,0)))</f>
        <v>h9</v>
      </c>
      <c r="J45" s="6">
        <f ca="1">IF(D45="","", VLOOKUP(A45,INDIRECT("'[" &amp;Info!$B$4&amp;"]"&amp;Info!$B$5&amp;"'!$A$6:$Z$1000"),26,0))</f>
        <v>2.5</v>
      </c>
      <c r="K45" s="35" t="str">
        <f ca="1">IF(D45="","", VLOOKUP(A45,INDIRECT("'[" &amp;Info!$B$4&amp;"]"&amp;Info!$B$5&amp;"'!$A$6:$AA$1000"),27,0))</f>
        <v>D17</v>
      </c>
      <c r="L45" s="35">
        <f ca="1">IF(D45="","", VLOOKUP(A45,INDIRECT("'[" &amp;Info!$B$4&amp;"]"&amp;Info!$B$5&amp;"'!$A$6:$H$1000"),8,0))</f>
        <v>2.16</v>
      </c>
      <c r="M45" s="35">
        <f ca="1">IF(D45="","", VLOOKUP(A45,INDIRECT("'[" &amp;Info!$B$4&amp;"]"&amp;Info!$B$5&amp;"'!$A$6:$F$1000"),6,0))</f>
        <v>144</v>
      </c>
      <c r="N45" s="33">
        <f ca="1">IF(C45="","", VLOOKUP(A45,INDIRECT("'[" &amp;Info!$B$4&amp;"]"&amp;Info!$B$5&amp;"'!$A$6:$Au$1000"),47,0))</f>
        <v>12</v>
      </c>
      <c r="O45" s="28">
        <f ca="1">IF(N45="","",IF(N45=0,0,VLOOKUP(A45,INDIRECT("'[" &amp;Info!$B$4&amp;"]"&amp;Info!$B$5&amp;"'!$A$6:$AH$1000"),34,0)))</f>
        <v>12</v>
      </c>
      <c r="P45" s="9">
        <f ca="1">IF(N45="","",IF(N45=0,0,VLOOKUP(A45,INDIRECT("'[" &amp;Info!$B$4&amp;"]"&amp;Info!$B$5&amp;"'!$A$6:$AW$1000"),49,0)))</f>
        <v>1674</v>
      </c>
      <c r="Q45" s="9">
        <f ca="1">IF(N45="","",IF(N45=0,0, VLOOKUP(A45,INDIRECT("'[" &amp;Info!$B$4&amp;"]"&amp;Info!$B$5&amp;"'!$A$6:$AX$1000"),50,0)))</f>
        <v>0</v>
      </c>
      <c r="R45" s="29">
        <f ca="1">IF(N45="","",IF(N45=0,0, VLOOKUP(A45,INDIRECT("'[" &amp;Info!$B$4&amp;"]"&amp;Info!$B$5&amp;"'!$A$6:$AY$1000"),51,0)))</f>
        <v>0</v>
      </c>
      <c r="S45" s="15">
        <f ca="1">IF(N45="","",IF(N45=0,0,VLOOKUP(A45,INDIRECT("'[" &amp;Info!$B$4&amp;"]"&amp;Info!$B$5&amp;"'!$A$6:$Ai$1000"),35,0)))</f>
        <v>19</v>
      </c>
      <c r="T45" s="7">
        <f ca="1">IF(N45="","",IF(N45=0,0, VLOOKUP(A45,INDIRECT("'[" &amp;Info!$B$4&amp;"]"&amp;Info!$B$5&amp;"'!$A$6:$Az$1000"),52,0)))</f>
        <v>0</v>
      </c>
      <c r="U45" s="7">
        <f ca="1">IF(N45="","",IF(N45=0,0, VLOOKUP(A45,INDIRECT("'[" &amp;Info!$B$4&amp;"]"&amp;Info!$B$5&amp;"'!$A$6:$BA$1000"),53,0)))</f>
        <v>3023</v>
      </c>
      <c r="V45" s="16">
        <f ca="1">IF(N45="","",IF(N45=0,0, VLOOKUP(A45,INDIRECT("'[" &amp;Info!$B$4&amp;"]"&amp;Info!$B$5&amp;"'!$A$6:$BB$1000"),54,0)))</f>
        <v>0</v>
      </c>
      <c r="W45" s="17">
        <f t="shared" ca="1" si="1"/>
        <v>31</v>
      </c>
      <c r="X45" s="18">
        <f t="shared" ca="1" si="2"/>
        <v>1674</v>
      </c>
      <c r="Y45" s="19">
        <f t="shared" ca="1" si="3"/>
        <v>3023</v>
      </c>
      <c r="Z45" s="18">
        <f t="shared" ca="1" si="4"/>
        <v>0</v>
      </c>
    </row>
    <row r="46" spans="1:26" x14ac:dyDescent="0.25">
      <c r="A46" s="8">
        <f ca="1">IFERROR( VLOOKUP(A45+1,INDIRECT("'[" &amp;Info!$B$4&amp;"]"&amp;Info!$B$5&amp;"'!$A$6:$A$1000"),1,0),"")</f>
        <v>42</v>
      </c>
      <c r="B46" s="5" t="str">
        <f ca="1">IFERROR( IF(A46="","", VLOOKUP(A46,INDIRECT("'[" &amp;Info!$B$4&amp;"]"&amp;Info!$B$5&amp;"'!$A$6:$B$1000"),2,0)),"")</f>
        <v>C42</v>
      </c>
      <c r="C46" s="14" t="str">
        <f ca="1">IFERROR( IF(A46="","", VLOOKUP(A46,INDIRECT("'[" &amp;Info!$B$4&amp;"]"&amp;Info!$B$5&amp;"'!$A$6:$D$1000"),3,0)),"")</f>
        <v>L151822</v>
      </c>
      <c r="D46" s="31" t="str">
        <f ca="1">IF(C46="","", VLOOKUP(A46,INDIRECT("'[" &amp;Info!$B$4&amp;"]"&amp;Info!$B$5&amp;"'!$A$6:$T$1000"),20,0))</f>
        <v>SUS430F</v>
      </c>
      <c r="E46" s="6" t="str">
        <f ca="1">IF(D46="","", VLOOKUP(A46,INDIRECT("'[" &amp;Info!$B$4&amp;"]"&amp;Info!$B$5&amp;"'!$A$6:$U$1000"),21,0))</f>
        <v>ME</v>
      </c>
      <c r="F46" s="6" t="str">
        <f ca="1">IF(D46="","", VLOOKUP(A46,INDIRECT("'[" &amp;Info!$B$4&amp;"]"&amp;Info!$B$5&amp;"'!$A$6:$U$1000"),21,0))</f>
        <v>ME</v>
      </c>
      <c r="G46" s="6">
        <f ca="1">IF(D46="","", VLOOKUP(A46,INDIRECT("'[" &amp;Info!$B$4&amp;"]"&amp;Info!$B$5&amp;"'!$A$6:$V$1000"),22,0))</f>
        <v>2.38</v>
      </c>
      <c r="H46" s="6">
        <f ca="1">IF(D46="","", VLOOKUP(A46,INDIRECT("'[" &amp;Info!$B$4&amp;"]"&amp;Info!$B$5&amp;"'!$A$6:$W$1000"),23,0))</f>
        <v>0</v>
      </c>
      <c r="I46" s="6" t="str">
        <f ca="1">LOWER( IF(D46="","", VLOOKUP(A46,INDIRECT("'[" &amp;Info!$B$4&amp;"]"&amp;Info!$B$5&amp;"'!$A$6:$y$1000"),25,0)))</f>
        <v>h9</v>
      </c>
      <c r="J46" s="6">
        <f ca="1">IF(D46="","", VLOOKUP(A46,INDIRECT("'[" &amp;Info!$B$4&amp;"]"&amp;Info!$B$5&amp;"'!$A$6:$Z$1000"),26,0))</f>
        <v>3</v>
      </c>
      <c r="K46" s="35" t="str">
        <f ca="1">IF(D46="","", VLOOKUP(A46,INDIRECT("'[" &amp;Info!$B$4&amp;"]"&amp;Info!$B$5&amp;"'!$A$6:$AA$1000"),27,0))</f>
        <v>A14</v>
      </c>
      <c r="L46" s="35">
        <f ca="1">IF(D46="","", VLOOKUP(A46,INDIRECT("'[" &amp;Info!$B$4&amp;"]"&amp;Info!$B$5&amp;"'!$A$6:$H$1000"),8,0))</f>
        <v>0.33</v>
      </c>
      <c r="M46" s="35">
        <f ca="1">IF(D46="","", VLOOKUP(A46,INDIRECT("'[" &amp;Info!$B$4&amp;"]"&amp;Info!$B$5&amp;"'!$A$6:$F$1000"),6,0))</f>
        <v>170</v>
      </c>
      <c r="N46" s="33">
        <f ca="1">IF(C46="","", VLOOKUP(A46,INDIRECT("'[" &amp;Info!$B$4&amp;"]"&amp;Info!$B$5&amp;"'!$A$6:$Au$1000"),47,0))</f>
        <v>12</v>
      </c>
      <c r="O46" s="28">
        <f ca="1">IF(N46="","",IF(N46=0,0,VLOOKUP(A46,INDIRECT("'[" &amp;Info!$B$4&amp;"]"&amp;Info!$B$5&amp;"'!$A$6:$AH$1000"),34,0)))</f>
        <v>6</v>
      </c>
      <c r="P46" s="9">
        <f ca="1">IF(N46="","",IF(N46=0,0,VLOOKUP(A46,INDIRECT("'[" &amp;Info!$B$4&amp;"]"&amp;Info!$B$5&amp;"'!$A$6:$AW$1000"),49,0)))</f>
        <v>1039</v>
      </c>
      <c r="Q46" s="9">
        <f ca="1">IF(N46="","",IF(N46=0,0, VLOOKUP(A46,INDIRECT("'[" &amp;Info!$B$4&amp;"]"&amp;Info!$B$5&amp;"'!$A$6:$AX$1000"),50,0)))</f>
        <v>0</v>
      </c>
      <c r="R46" s="29">
        <f ca="1">IF(N46="","",IF(N46=0,0, VLOOKUP(A46,INDIRECT("'[" &amp;Info!$B$4&amp;"]"&amp;Info!$B$5&amp;"'!$A$6:$AY$1000"),51,0)))</f>
        <v>0</v>
      </c>
      <c r="S46" s="15">
        <f ca="1">IF(N46="","",IF(N46=0,0,VLOOKUP(A46,INDIRECT("'[" &amp;Info!$B$4&amp;"]"&amp;Info!$B$5&amp;"'!$A$6:$Ai$1000"),35,0)))</f>
        <v>5</v>
      </c>
      <c r="T46" s="7">
        <f ca="1">IF(N46="","",IF(N46=0,0, VLOOKUP(A46,INDIRECT("'[" &amp;Info!$B$4&amp;"]"&amp;Info!$B$5&amp;"'!$A$6:$Az$1000"),52,0)))</f>
        <v>527</v>
      </c>
      <c r="U46" s="7">
        <f ca="1">IF(N46="","",IF(N46=0,0, VLOOKUP(A46,INDIRECT("'[" &amp;Info!$B$4&amp;"]"&amp;Info!$B$5&amp;"'!$A$6:$BA$1000"),53,0)))</f>
        <v>0</v>
      </c>
      <c r="V46" s="16">
        <f ca="1">IF(N46="","",IF(N46=0,0, VLOOKUP(A46,INDIRECT("'[" &amp;Info!$B$4&amp;"]"&amp;Info!$B$5&amp;"'!$A$6:$BB$1000"),54,0)))</f>
        <v>0</v>
      </c>
      <c r="W46" s="17">
        <f t="shared" ca="1" si="1"/>
        <v>11</v>
      </c>
      <c r="X46" s="18">
        <f t="shared" ca="1" si="2"/>
        <v>1566</v>
      </c>
      <c r="Y46" s="19">
        <f t="shared" ca="1" si="3"/>
        <v>0</v>
      </c>
      <c r="Z46" s="18">
        <f t="shared" ca="1" si="4"/>
        <v>0</v>
      </c>
    </row>
    <row r="47" spans="1:26" x14ac:dyDescent="0.25">
      <c r="A47" s="8">
        <f ca="1">IFERROR( VLOOKUP(A46+1,INDIRECT("'[" &amp;Info!$B$4&amp;"]"&amp;Info!$B$5&amp;"'!$A$6:$A$1000"),1,0),"")</f>
        <v>43</v>
      </c>
      <c r="B47" s="5" t="str">
        <f ca="1">IFERROR( IF(A47="","", VLOOKUP(A47,INDIRECT("'[" &amp;Info!$B$4&amp;"]"&amp;Info!$B$5&amp;"'!$A$6:$B$1000"),2,0)),"")</f>
        <v>C43</v>
      </c>
      <c r="C47" s="14" t="str">
        <f ca="1">IFERROR( IF(A47="","", VLOOKUP(A47,INDIRECT("'[" &amp;Info!$B$4&amp;"]"&amp;Info!$B$5&amp;"'!$A$6:$D$1000"),3,0)),"")</f>
        <v>5B00</v>
      </c>
      <c r="D47" s="31" t="str">
        <f ca="1">IF(C47="","", VLOOKUP(A47,INDIRECT("'[" &amp;Info!$B$4&amp;"]"&amp;Info!$B$5&amp;"'!$A$6:$T$1000"),20,0))</f>
        <v>C3602</v>
      </c>
      <c r="E47" s="6" t="str">
        <f ca="1">IF(D47="","", VLOOKUP(A47,INDIRECT("'[" &amp;Info!$B$4&amp;"]"&amp;Info!$B$5&amp;"'!$A$6:$U$1000"),21,0))</f>
        <v>YH</v>
      </c>
      <c r="F47" s="6" t="str">
        <f ca="1">IF(D47="","", VLOOKUP(A47,INDIRECT("'[" &amp;Info!$B$4&amp;"]"&amp;Info!$B$5&amp;"'!$A$6:$U$1000"),21,0))</f>
        <v>YH</v>
      </c>
      <c r="G47" s="6">
        <f ca="1">IF(D47="","", VLOOKUP(A47,INDIRECT("'[" &amp;Info!$B$4&amp;"]"&amp;Info!$B$5&amp;"'!$A$6:$V$1000"),22,0))</f>
        <v>3</v>
      </c>
      <c r="H47" s="6">
        <f ca="1">IF(D47="","", VLOOKUP(A47,INDIRECT("'[" &amp;Info!$B$4&amp;"]"&amp;Info!$B$5&amp;"'!$A$6:$W$1000"),23,0))</f>
        <v>0</v>
      </c>
      <c r="I47" s="6" t="str">
        <f ca="1">LOWER( IF(D47="","", VLOOKUP(A47,INDIRECT("'[" &amp;Info!$B$4&amp;"]"&amp;Info!$B$5&amp;"'!$A$6:$y$1000"),25,0)))</f>
        <v>h9</v>
      </c>
      <c r="J47" s="6">
        <f ca="1">IF(D47="","", VLOOKUP(A47,INDIRECT("'[" &amp;Info!$B$4&amp;"]"&amp;Info!$B$5&amp;"'!$A$6:$Z$1000"),26,0))</f>
        <v>3</v>
      </c>
      <c r="K47" s="35" t="str">
        <f ca="1">IF(D47="","", VLOOKUP(A47,INDIRECT("'[" &amp;Info!$B$4&amp;"]"&amp;Info!$B$5&amp;"'!$A$6:$AA$1000"),27,0))</f>
        <v>A16</v>
      </c>
      <c r="L47" s="35">
        <f ca="1">IF(D47="","", VLOOKUP(A47,INDIRECT("'[" &amp;Info!$B$4&amp;"]"&amp;Info!$B$5&amp;"'!$A$6:$H$1000"),8,0))</f>
        <v>0.17399999999999999</v>
      </c>
      <c r="M47" s="35">
        <f ca="1">IF(D47="","", VLOOKUP(A47,INDIRECT("'[" &amp;Info!$B$4&amp;"]"&amp;Info!$B$5&amp;"'!$A$6:$F$1000"),6,0))</f>
        <v>589</v>
      </c>
      <c r="N47" s="33">
        <f ca="1">IF(C47="","", VLOOKUP(A47,INDIRECT("'[" &amp;Info!$B$4&amp;"]"&amp;Info!$B$5&amp;"'!$A$6:$Au$1000"),47,0))</f>
        <v>3</v>
      </c>
      <c r="O47" s="28">
        <f ca="1">IF(N47="","",IF(N47=0,0,VLOOKUP(A47,INDIRECT("'[" &amp;Info!$B$4&amp;"]"&amp;Info!$B$5&amp;"'!$A$6:$AH$1000"),34,0)))</f>
        <v>5</v>
      </c>
      <c r="P47" s="9">
        <f ca="1">IF(N47="","",IF(N47=0,0,VLOOKUP(A47,INDIRECT("'[" &amp;Info!$B$4&amp;"]"&amp;Info!$B$5&amp;"'!$A$6:$AW$1000"),49,0)))</f>
        <v>3494</v>
      </c>
      <c r="Q47" s="9">
        <f ca="1">IF(N47="","",IF(N47=0,0, VLOOKUP(A47,INDIRECT("'[" &amp;Info!$B$4&amp;"]"&amp;Info!$B$5&amp;"'!$A$6:$AX$1000"),50,0)))</f>
        <v>0</v>
      </c>
      <c r="R47" s="29">
        <f ca="1">IF(N47="","",IF(N47=0,0, VLOOKUP(A47,INDIRECT("'[" &amp;Info!$B$4&amp;"]"&amp;Info!$B$5&amp;"'!$A$6:$AY$1000"),51,0)))</f>
        <v>0</v>
      </c>
      <c r="S47" s="15">
        <f ca="1">IF(N47="","",IF(N47=0,0,VLOOKUP(A47,INDIRECT("'[" &amp;Info!$B$4&amp;"]"&amp;Info!$B$5&amp;"'!$A$6:$Ai$1000"),35,0)))</f>
        <v>5</v>
      </c>
      <c r="T47" s="7">
        <f ca="1">IF(N47="","",IF(N47=0,0, VLOOKUP(A47,INDIRECT("'[" &amp;Info!$B$4&amp;"]"&amp;Info!$B$5&amp;"'!$A$6:$Az$1000"),52,0)))</f>
        <v>3293</v>
      </c>
      <c r="U47" s="7">
        <f ca="1">IF(N47="","",IF(N47=0,0, VLOOKUP(A47,INDIRECT("'[" &amp;Info!$B$4&amp;"]"&amp;Info!$B$5&amp;"'!$A$6:$BA$1000"),53,0)))</f>
        <v>0</v>
      </c>
      <c r="V47" s="16">
        <f ca="1">IF(N47="","",IF(N47=0,0, VLOOKUP(A47,INDIRECT("'[" &amp;Info!$B$4&amp;"]"&amp;Info!$B$5&amp;"'!$A$6:$BB$1000"),54,0)))</f>
        <v>0</v>
      </c>
      <c r="W47" s="17">
        <f t="shared" ca="1" si="1"/>
        <v>10</v>
      </c>
      <c r="X47" s="18">
        <f t="shared" ca="1" si="2"/>
        <v>6787</v>
      </c>
      <c r="Y47" s="19">
        <f t="shared" ca="1" si="3"/>
        <v>0</v>
      </c>
      <c r="Z47" s="18">
        <f t="shared" ca="1" si="4"/>
        <v>0</v>
      </c>
    </row>
    <row r="48" spans="1:26" x14ac:dyDescent="0.25">
      <c r="A48" s="8">
        <f ca="1">IFERROR( VLOOKUP(A47+1,INDIRECT("'[" &amp;Info!$B$4&amp;"]"&amp;Info!$B$5&amp;"'!$A$6:$A$1000"),1,0),"")</f>
        <v>44</v>
      </c>
      <c r="B48" s="5" t="str">
        <f ca="1">IFERROR( IF(A48="","", VLOOKUP(A48,INDIRECT("'[" &amp;Info!$B$4&amp;"]"&amp;Info!$B$5&amp;"'!$A$6:$B$1000"),2,0)),"")</f>
        <v>C44</v>
      </c>
      <c r="C48" s="14" t="str">
        <f ca="1">IFERROR( IF(A48="","", VLOOKUP(A48,INDIRECT("'[" &amp;Info!$B$4&amp;"]"&amp;Info!$B$5&amp;"'!$A$6:$D$1000"),3,0)),"")</f>
        <v>G1 0300</v>
      </c>
      <c r="D48" s="31" t="str">
        <f ca="1">IF(C48="","", VLOOKUP(A48,INDIRECT("'[" &amp;Info!$B$4&amp;"]"&amp;Info!$B$5&amp;"'!$A$6:$T$1000"),20,0))</f>
        <v>SUS303</v>
      </c>
      <c r="E48" s="6" t="str">
        <f ca="1">IF(D48="","", VLOOKUP(A48,INDIRECT("'[" &amp;Info!$B$4&amp;"]"&amp;Info!$B$5&amp;"'!$A$6:$U$1000"),21,0))</f>
        <v>ME</v>
      </c>
      <c r="F48" s="6" t="str">
        <f ca="1">IF(D48="","", VLOOKUP(A48,INDIRECT("'[" &amp;Info!$B$4&amp;"]"&amp;Info!$B$5&amp;"'!$A$6:$U$1000"),21,0))</f>
        <v>ME</v>
      </c>
      <c r="G48" s="6">
        <f ca="1">IF(D48="","", VLOOKUP(A48,INDIRECT("'[" &amp;Info!$B$4&amp;"]"&amp;Info!$B$5&amp;"'!$A$6:$V$1000"),22,0))</f>
        <v>1.5</v>
      </c>
      <c r="H48" s="6">
        <f ca="1">IF(D48="","", VLOOKUP(A48,INDIRECT("'[" &amp;Info!$B$4&amp;"]"&amp;Info!$B$5&amp;"'!$A$6:$W$1000"),23,0))</f>
        <v>0</v>
      </c>
      <c r="I48" s="6" t="str">
        <f ca="1">LOWER( IF(D48="","", VLOOKUP(A48,INDIRECT("'[" &amp;Info!$B$4&amp;"]"&amp;Info!$B$5&amp;"'!$A$6:$y$1000"),25,0)))</f>
        <v>h9</v>
      </c>
      <c r="J48" s="6">
        <f ca="1">IF(D48="","", VLOOKUP(A48,INDIRECT("'[" &amp;Info!$B$4&amp;"]"&amp;Info!$B$5&amp;"'!$A$6:$Z$1000"),26,0))</f>
        <v>2</v>
      </c>
      <c r="K48" s="35" t="str">
        <f ca="1">IF(D48="","", VLOOKUP(A48,INDIRECT("'[" &amp;Info!$B$4&amp;"]"&amp;Info!$B$5&amp;"'!$A$6:$AA$1000"),27,0))</f>
        <v>A13</v>
      </c>
      <c r="L48" s="35">
        <f ca="1">IF(D48="","", VLOOKUP(A48,INDIRECT("'[" &amp;Info!$B$4&amp;"]"&amp;Info!$B$5&amp;"'!$A$6:$H$1000"),8,0))</f>
        <v>0.314</v>
      </c>
      <c r="M48" s="35">
        <f ca="1">IF(D48="","", VLOOKUP(A48,INDIRECT("'[" &amp;Info!$B$4&amp;"]"&amp;Info!$B$5&amp;"'!$A$6:$F$1000"),6,0))</f>
        <v>67</v>
      </c>
      <c r="N48" s="33">
        <f ca="1">IF(C48="","", VLOOKUP(A48,INDIRECT("'[" &amp;Info!$B$4&amp;"]"&amp;Info!$B$5&amp;"'!$A$6:$Au$1000"),47,0))</f>
        <v>0</v>
      </c>
      <c r="O48" s="28">
        <f ca="1">IF(N48="","",IF(N48=0,0,VLOOKUP(A48,INDIRECT("'[" &amp;Info!$B$4&amp;"]"&amp;Info!$B$5&amp;"'!$A$6:$AH$1000"),34,0)))</f>
        <v>0</v>
      </c>
      <c r="P48" s="9">
        <f ca="1">IF(N48="","",IF(N48=0,0,VLOOKUP(A48,INDIRECT("'[" &amp;Info!$B$4&amp;"]"&amp;Info!$B$5&amp;"'!$A$6:$AW$1000"),49,0)))</f>
        <v>0</v>
      </c>
      <c r="Q48" s="9">
        <f ca="1">IF(N48="","",IF(N48=0,0, VLOOKUP(A48,INDIRECT("'[" &amp;Info!$B$4&amp;"]"&amp;Info!$B$5&amp;"'!$A$6:$AX$1000"),50,0)))</f>
        <v>0</v>
      </c>
      <c r="R48" s="29">
        <f ca="1">IF(N48="","",IF(N48=0,0, VLOOKUP(A48,INDIRECT("'[" &amp;Info!$B$4&amp;"]"&amp;Info!$B$5&amp;"'!$A$6:$AY$1000"),51,0)))</f>
        <v>0</v>
      </c>
      <c r="S48" s="15">
        <f ca="1">IF(N48="","",IF(N48=0,0,VLOOKUP(A48,INDIRECT("'[" &amp;Info!$B$4&amp;"]"&amp;Info!$B$5&amp;"'!$A$6:$Ai$1000"),35,0)))</f>
        <v>0</v>
      </c>
      <c r="T48" s="7">
        <f ca="1">IF(N48="","",IF(N48=0,0, VLOOKUP(A48,INDIRECT("'[" &amp;Info!$B$4&amp;"]"&amp;Info!$B$5&amp;"'!$A$6:$Az$1000"),52,0)))</f>
        <v>0</v>
      </c>
      <c r="U48" s="7">
        <f ca="1">IF(N48="","",IF(N48=0,0, VLOOKUP(A48,INDIRECT("'[" &amp;Info!$B$4&amp;"]"&amp;Info!$B$5&amp;"'!$A$6:$BA$1000"),53,0)))</f>
        <v>0</v>
      </c>
      <c r="V48" s="16">
        <f ca="1">IF(N48="","",IF(N48=0,0, VLOOKUP(A48,INDIRECT("'[" &amp;Info!$B$4&amp;"]"&amp;Info!$B$5&amp;"'!$A$6:$BB$1000"),54,0)))</f>
        <v>0</v>
      </c>
      <c r="W48" s="17">
        <f t="shared" ca="1" si="1"/>
        <v>0</v>
      </c>
      <c r="X48" s="18">
        <f t="shared" ca="1" si="2"/>
        <v>0</v>
      </c>
      <c r="Y48" s="19">
        <f t="shared" ca="1" si="3"/>
        <v>0</v>
      </c>
      <c r="Z48" s="18">
        <f t="shared" ca="1" si="4"/>
        <v>0</v>
      </c>
    </row>
    <row r="49" spans="1:26" x14ac:dyDescent="0.25">
      <c r="A49" s="8">
        <f ca="1">IFERROR( VLOOKUP(A48+1,INDIRECT("'[" &amp;Info!$B$4&amp;"]"&amp;Info!$B$5&amp;"'!$A$6:$A$1000"),1,0),"")</f>
        <v>45</v>
      </c>
      <c r="B49" s="5" t="str">
        <f ca="1">IFERROR( IF(A49="","", VLOOKUP(A49,INDIRECT("'[" &amp;Info!$B$4&amp;"]"&amp;Info!$B$5&amp;"'!$A$6:$B$1000"),2,0)),"")</f>
        <v>C45</v>
      </c>
      <c r="C49" s="14" t="str">
        <f ca="1">IFERROR( IF(A49="","", VLOOKUP(A49,INDIRECT("'[" &amp;Info!$B$4&amp;"]"&amp;Info!$B$5&amp;"'!$A$6:$D$1000"),3,0)),"")</f>
        <v>P6</v>
      </c>
      <c r="D49" s="31" t="str">
        <f ca="1">IF(C49="","", VLOOKUP(A49,INDIRECT("'[" &amp;Info!$B$4&amp;"]"&amp;Info!$B$5&amp;"'!$A$6:$T$1000"),20,0))</f>
        <v>SUS303</v>
      </c>
      <c r="E49" s="6" t="str">
        <f ca="1">IF(D49="","", VLOOKUP(A49,INDIRECT("'[" &amp;Info!$B$4&amp;"]"&amp;Info!$B$5&amp;"'!$A$6:$U$1000"),21,0))</f>
        <v>ME</v>
      </c>
      <c r="F49" s="6" t="str">
        <f ca="1">IF(D49="","", VLOOKUP(A49,INDIRECT("'[" &amp;Info!$B$4&amp;"]"&amp;Info!$B$5&amp;"'!$A$6:$U$1000"),21,0))</f>
        <v>ME</v>
      </c>
      <c r="G49" s="6">
        <f ca="1">IF(D49="","", VLOOKUP(A49,INDIRECT("'[" &amp;Info!$B$4&amp;"]"&amp;Info!$B$5&amp;"'!$A$6:$V$1000"),22,0))</f>
        <v>3.17</v>
      </c>
      <c r="H49" s="6">
        <f ca="1">IF(D49="","", VLOOKUP(A49,INDIRECT("'[" &amp;Info!$B$4&amp;"]"&amp;Info!$B$5&amp;"'!$A$6:$W$1000"),23,0))</f>
        <v>0</v>
      </c>
      <c r="I49" s="6" t="str">
        <f ca="1">LOWER( IF(D49="","", VLOOKUP(A49,INDIRECT("'[" &amp;Info!$B$4&amp;"]"&amp;Info!$B$5&amp;"'!$A$6:$y$1000"),25,0)))</f>
        <v>h9</v>
      </c>
      <c r="J49" s="6">
        <f ca="1">IF(D49="","", VLOOKUP(A49,INDIRECT("'[" &amp;Info!$B$4&amp;"]"&amp;Info!$B$5&amp;"'!$A$6:$Z$1000"),26,0))</f>
        <v>3</v>
      </c>
      <c r="K49" s="35" t="str">
        <f ca="1">IF(D49="","", VLOOKUP(A49,INDIRECT("'[" &amp;Info!$B$4&amp;"]"&amp;Info!$B$5&amp;"'!$A$6:$AA$1000"),27,0))</f>
        <v>A11</v>
      </c>
      <c r="L49" s="35">
        <f ca="1">IF(D49="","", VLOOKUP(A49,INDIRECT("'[" &amp;Info!$B$4&amp;"]"&amp;Info!$B$5&amp;"'!$A$6:$H$1000"),8,0))</f>
        <v>0.42499999999999999</v>
      </c>
      <c r="M49" s="35">
        <f ca="1">IF(D49="","", VLOOKUP(A49,INDIRECT("'[" &amp;Info!$B$4&amp;"]"&amp;Info!$B$5&amp;"'!$A$6:$F$1000"),6,0))</f>
        <v>170</v>
      </c>
      <c r="N49" s="33">
        <f ca="1">IF(C49="","", VLOOKUP(A49,INDIRECT("'[" &amp;Info!$B$4&amp;"]"&amp;Info!$B$5&amp;"'!$A$6:$Au$1000"),47,0))</f>
        <v>12</v>
      </c>
      <c r="O49" s="28">
        <f ca="1">IF(N49="","",IF(N49=0,0,VLOOKUP(A49,INDIRECT("'[" &amp;Info!$B$4&amp;"]"&amp;Info!$B$5&amp;"'!$A$6:$AH$1000"),34,0)))</f>
        <v>6</v>
      </c>
      <c r="P49" s="9">
        <f ca="1">IF(N49="","",IF(N49=0,0,VLOOKUP(A49,INDIRECT("'[" &amp;Info!$B$4&amp;"]"&amp;Info!$B$5&amp;"'!$A$6:$AW$1000"),49,0)))</f>
        <v>385</v>
      </c>
      <c r="Q49" s="9">
        <f ca="1">IF(N49="","",IF(N49=0,0, VLOOKUP(A49,INDIRECT("'[" &amp;Info!$B$4&amp;"]"&amp;Info!$B$5&amp;"'!$A$6:$AX$1000"),50,0)))</f>
        <v>489</v>
      </c>
      <c r="R49" s="29">
        <f ca="1">IF(N49="","",IF(N49=0,0, VLOOKUP(A49,INDIRECT("'[" &amp;Info!$B$4&amp;"]"&amp;Info!$B$5&amp;"'!$A$6:$AY$1000"),51,0)))</f>
        <v>0</v>
      </c>
      <c r="S49" s="15">
        <f ca="1">IF(N49="","",IF(N49=0,0,VLOOKUP(A49,INDIRECT("'[" &amp;Info!$B$4&amp;"]"&amp;Info!$B$5&amp;"'!$A$6:$Ai$1000"),35,0)))</f>
        <v>7</v>
      </c>
      <c r="T49" s="7">
        <f ca="1">IF(N49="","",IF(N49=0,0, VLOOKUP(A49,INDIRECT("'[" &amp;Info!$B$4&amp;"]"&amp;Info!$B$5&amp;"'!$A$6:$Az$1000"),52,0)))</f>
        <v>858</v>
      </c>
      <c r="U49" s="7">
        <f ca="1">IF(N49="","",IF(N49=0,0, VLOOKUP(A49,INDIRECT("'[" &amp;Info!$B$4&amp;"]"&amp;Info!$B$5&amp;"'!$A$6:$BA$1000"),53,0)))</f>
        <v>0</v>
      </c>
      <c r="V49" s="16">
        <f ca="1">IF(N49="","",IF(N49=0,0, VLOOKUP(A49,INDIRECT("'[" &amp;Info!$B$4&amp;"]"&amp;Info!$B$5&amp;"'!$A$6:$BB$1000"),54,0)))</f>
        <v>0</v>
      </c>
      <c r="W49" s="17">
        <f t="shared" ca="1" si="1"/>
        <v>13</v>
      </c>
      <c r="X49" s="18">
        <f t="shared" ca="1" si="2"/>
        <v>1243</v>
      </c>
      <c r="Y49" s="19">
        <f t="shared" ca="1" si="3"/>
        <v>489</v>
      </c>
      <c r="Z49" s="18">
        <f t="shared" ca="1" si="4"/>
        <v>0</v>
      </c>
    </row>
    <row r="50" spans="1:26" x14ac:dyDescent="0.25">
      <c r="A50" s="8">
        <f ca="1">IFERROR( VLOOKUP(A49+1,INDIRECT("'[" &amp;Info!$B$4&amp;"]"&amp;Info!$B$5&amp;"'!$A$6:$A$1000"),1,0),"")</f>
        <v>46</v>
      </c>
      <c r="B50" s="5" t="str">
        <f ca="1">IFERROR( IF(A50="","", VLOOKUP(A50,INDIRECT("'[" &amp;Info!$B$4&amp;"]"&amp;Info!$B$5&amp;"'!$A$6:$B$1000"),2,0)),"")</f>
        <v>C46</v>
      </c>
      <c r="C50" s="14" t="str">
        <f ca="1">IFERROR( IF(A50="","", VLOOKUP(A50,INDIRECT("'[" &amp;Info!$B$4&amp;"]"&amp;Info!$B$5&amp;"'!$A$6:$D$1000"),3,0)),"")</f>
        <v>NA1781</v>
      </c>
      <c r="D50" s="31" t="str">
        <f ca="1">IF(C50="","", VLOOKUP(A50,INDIRECT("'[" &amp;Info!$B$4&amp;"]"&amp;Info!$B$5&amp;"'!$A$6:$T$1000"),20,0))</f>
        <v>C3604</v>
      </c>
      <c r="E50" s="6" t="str">
        <f ca="1">IF(D50="","", VLOOKUP(A50,INDIRECT("'[" &amp;Info!$B$4&amp;"]"&amp;Info!$B$5&amp;"'!$A$6:$U$1000"),21,0))</f>
        <v>YH</v>
      </c>
      <c r="F50" s="6" t="str">
        <f ca="1">IF(D50="","", VLOOKUP(A50,INDIRECT("'[" &amp;Info!$B$4&amp;"]"&amp;Info!$B$5&amp;"'!$A$6:$U$1000"),21,0))</f>
        <v>YH</v>
      </c>
      <c r="G50" s="6">
        <f ca="1">IF(D50="","", VLOOKUP(A50,INDIRECT("'[" &amp;Info!$B$4&amp;"]"&amp;Info!$B$5&amp;"'!$A$6:$V$1000"),22,0))</f>
        <v>5</v>
      </c>
      <c r="H50" s="6">
        <f ca="1">IF(D50="","", VLOOKUP(A50,INDIRECT("'[" &amp;Info!$B$4&amp;"]"&amp;Info!$B$5&amp;"'!$A$6:$W$1000"),23,0))</f>
        <v>0</v>
      </c>
      <c r="I50" s="6" t="str">
        <f ca="1">LOWER( IF(D50="","", VLOOKUP(A50,INDIRECT("'[" &amp;Info!$B$4&amp;"]"&amp;Info!$B$5&amp;"'!$A$6:$y$1000"),25,0)))</f>
        <v>h9</v>
      </c>
      <c r="J50" s="6">
        <f ca="1">IF(D50="","", VLOOKUP(A50,INDIRECT("'[" &amp;Info!$B$4&amp;"]"&amp;Info!$B$5&amp;"'!$A$6:$Z$1000"),26,0))</f>
        <v>3</v>
      </c>
      <c r="K50" s="35" t="str">
        <f ca="1">IF(D50="","", VLOOKUP(A50,INDIRECT("'[" &amp;Info!$B$4&amp;"]"&amp;Info!$B$5&amp;"'!$A$6:$AA$1000"),27,0))</f>
        <v>B17</v>
      </c>
      <c r="L50" s="35">
        <f ca="1">IF(D50="","", VLOOKUP(A50,INDIRECT("'[" &amp;Info!$B$4&amp;"]"&amp;Info!$B$5&amp;"'!$A$6:$H$1000"),8,0))</f>
        <v>1.1000000000000001</v>
      </c>
      <c r="M50" s="35">
        <f ca="1">IF(D50="","", VLOOKUP(A50,INDIRECT("'[" &amp;Info!$B$4&amp;"]"&amp;Info!$B$5&amp;"'!$A$6:$F$1000"),6,0))</f>
        <v>207</v>
      </c>
      <c r="N50" s="33">
        <f ca="1">IF(C50="","", VLOOKUP(A50,INDIRECT("'[" &amp;Info!$B$4&amp;"]"&amp;Info!$B$5&amp;"'!$A$6:$Au$1000"),47,0))</f>
        <v>0</v>
      </c>
      <c r="O50" s="28">
        <f ca="1">IF(N50="","",IF(N50=0,0,VLOOKUP(A50,INDIRECT("'[" &amp;Info!$B$4&amp;"]"&amp;Info!$B$5&amp;"'!$A$6:$AH$1000"),34,0)))</f>
        <v>0</v>
      </c>
      <c r="P50" s="9">
        <f ca="1">IF(N50="","",IF(N50=0,0,VLOOKUP(A50,INDIRECT("'[" &amp;Info!$B$4&amp;"]"&amp;Info!$B$5&amp;"'!$A$6:$AW$1000"),49,0)))</f>
        <v>0</v>
      </c>
      <c r="Q50" s="9">
        <f ca="1">IF(N50="","",IF(N50=0,0, VLOOKUP(A50,INDIRECT("'[" &amp;Info!$B$4&amp;"]"&amp;Info!$B$5&amp;"'!$A$6:$AX$1000"),50,0)))</f>
        <v>0</v>
      </c>
      <c r="R50" s="29">
        <f ca="1">IF(N50="","",IF(N50=0,0, VLOOKUP(A50,INDIRECT("'[" &amp;Info!$B$4&amp;"]"&amp;Info!$B$5&amp;"'!$A$6:$AY$1000"),51,0)))</f>
        <v>0</v>
      </c>
      <c r="S50" s="15">
        <f ca="1">IF(N50="","",IF(N50=0,0,VLOOKUP(A50,INDIRECT("'[" &amp;Info!$B$4&amp;"]"&amp;Info!$B$5&amp;"'!$A$6:$Ai$1000"),35,0)))</f>
        <v>0</v>
      </c>
      <c r="T50" s="7">
        <f ca="1">IF(N50="","",IF(N50=0,0, VLOOKUP(A50,INDIRECT("'[" &amp;Info!$B$4&amp;"]"&amp;Info!$B$5&amp;"'!$A$6:$Az$1000"),52,0)))</f>
        <v>0</v>
      </c>
      <c r="U50" s="7">
        <f ca="1">IF(N50="","",IF(N50=0,0, VLOOKUP(A50,INDIRECT("'[" &amp;Info!$B$4&amp;"]"&amp;Info!$B$5&amp;"'!$A$6:$BA$1000"),53,0)))</f>
        <v>0</v>
      </c>
      <c r="V50" s="16">
        <f ca="1">IF(N50="","",IF(N50=0,0, VLOOKUP(A50,INDIRECT("'[" &amp;Info!$B$4&amp;"]"&amp;Info!$B$5&amp;"'!$A$6:$BB$1000"),54,0)))</f>
        <v>0</v>
      </c>
      <c r="W50" s="17">
        <f t="shared" ca="1" si="1"/>
        <v>0</v>
      </c>
      <c r="X50" s="18">
        <f t="shared" ca="1" si="2"/>
        <v>0</v>
      </c>
      <c r="Y50" s="19">
        <f t="shared" ca="1" si="3"/>
        <v>0</v>
      </c>
      <c r="Z50" s="18">
        <f t="shared" ca="1" si="4"/>
        <v>0</v>
      </c>
    </row>
    <row r="51" spans="1:26" x14ac:dyDescent="0.25">
      <c r="A51" s="8">
        <f ca="1">IFERROR( VLOOKUP(A50+1,INDIRECT("'[" &amp;Info!$B$4&amp;"]"&amp;Info!$B$5&amp;"'!$A$6:$A$1000"),1,0),"")</f>
        <v>47</v>
      </c>
      <c r="B51" s="5" t="str">
        <f ca="1">IFERROR( IF(A51="","", VLOOKUP(A51,INDIRECT("'[" &amp;Info!$B$4&amp;"]"&amp;Info!$B$5&amp;"'!$A$6:$B$1000"),2,0)),"")</f>
        <v>C47</v>
      </c>
      <c r="C51" s="14" t="str">
        <f ca="1">IFERROR( IF(A51="","", VLOOKUP(A51,INDIRECT("'[" &amp;Info!$B$4&amp;"]"&amp;Info!$B$5&amp;"'!$A$6:$D$1000"),3,0)),"")</f>
        <v>F3104</v>
      </c>
      <c r="D51" s="31" t="str">
        <f ca="1">IF(C51="","", VLOOKUP(A51,INDIRECT("'[" &amp;Info!$B$4&amp;"]"&amp;Info!$B$5&amp;"'!$A$6:$T$1000"),20,0))</f>
        <v>SUS303Cu</v>
      </c>
      <c r="E51" s="6" t="str">
        <f ca="1">IF(D51="","", VLOOKUP(A51,INDIRECT("'[" &amp;Info!$B$4&amp;"]"&amp;Info!$B$5&amp;"'!$A$6:$U$1000"),21,0))</f>
        <v>ME</v>
      </c>
      <c r="F51" s="6" t="str">
        <f ca="1">IF(D51="","", VLOOKUP(A51,INDIRECT("'[" &amp;Info!$B$4&amp;"]"&amp;Info!$B$5&amp;"'!$A$6:$U$1000"),21,0))</f>
        <v>ME</v>
      </c>
      <c r="G51" s="6">
        <f ca="1">IF(D51="","", VLOOKUP(A51,INDIRECT("'[" &amp;Info!$B$4&amp;"]"&amp;Info!$B$5&amp;"'!$A$6:$V$1000"),22,0))</f>
        <v>2.5</v>
      </c>
      <c r="H51" s="6">
        <f ca="1">IF(D51="","", VLOOKUP(A51,INDIRECT("'[" &amp;Info!$B$4&amp;"]"&amp;Info!$B$5&amp;"'!$A$6:$W$1000"),23,0))</f>
        <v>0</v>
      </c>
      <c r="I51" s="6" t="str">
        <f ca="1">LOWER( IF(D51="","", VLOOKUP(A51,INDIRECT("'[" &amp;Info!$B$4&amp;"]"&amp;Info!$B$5&amp;"'!$A$6:$y$1000"),25,0)))</f>
        <v>h9</v>
      </c>
      <c r="J51" s="6">
        <f ca="1">IF(D51="","", VLOOKUP(A51,INDIRECT("'[" &amp;Info!$B$4&amp;"]"&amp;Info!$B$5&amp;"'!$A$6:$Z$1000"),26,0))</f>
        <v>3</v>
      </c>
      <c r="K51" s="35" t="str">
        <f ca="1">IF(D51="","", VLOOKUP(A51,INDIRECT("'[" &amp;Info!$B$4&amp;"]"&amp;Info!$B$5&amp;"'!$A$6:$AA$1000"),27,0))</f>
        <v>A17</v>
      </c>
      <c r="L51" s="35">
        <f ca="1">IF(D51="","", VLOOKUP(A51,INDIRECT("'[" &amp;Info!$B$4&amp;"]"&amp;Info!$B$5&amp;"'!$A$6:$H$1000"),8,0))</f>
        <v>0.03</v>
      </c>
      <c r="M51" s="35">
        <f ca="1">IF(D51="","", VLOOKUP(A51,INDIRECT("'[" &amp;Info!$B$4&amp;"]"&amp;Info!$B$5&amp;"'!$A$6:$F$1000"),6,0))</f>
        <v>394</v>
      </c>
      <c r="N51" s="33">
        <f ca="1">IF(C51="","", VLOOKUP(A51,INDIRECT("'[" &amp;Info!$B$4&amp;"]"&amp;Info!$B$5&amp;"'!$A$6:$Au$1000"),47,0))</f>
        <v>4</v>
      </c>
      <c r="O51" s="28">
        <f ca="1">IF(N51="","",IF(N51=0,0,VLOOKUP(A51,INDIRECT("'[" &amp;Info!$B$4&amp;"]"&amp;Info!$B$5&amp;"'!$A$6:$AH$1000"),34,0)))</f>
        <v>2</v>
      </c>
      <c r="P51" s="9">
        <f ca="1">IF(N51="","",IF(N51=0,0,VLOOKUP(A51,INDIRECT("'[" &amp;Info!$B$4&amp;"]"&amp;Info!$B$5&amp;"'!$A$6:$AW$1000"),49,0)))</f>
        <v>433</v>
      </c>
      <c r="Q51" s="9">
        <f ca="1">IF(N51="","",IF(N51=0,0, VLOOKUP(A51,INDIRECT("'[" &amp;Info!$B$4&amp;"]"&amp;Info!$B$5&amp;"'!$A$6:$AX$1000"),50,0)))</f>
        <v>200</v>
      </c>
      <c r="R51" s="29">
        <f ca="1">IF(N51="","",IF(N51=0,0, VLOOKUP(A51,INDIRECT("'[" &amp;Info!$B$4&amp;"]"&amp;Info!$B$5&amp;"'!$A$6:$AY$1000"),51,0)))</f>
        <v>0</v>
      </c>
      <c r="S51" s="15">
        <f ca="1">IF(N51="","",IF(N51=0,0,VLOOKUP(A51,INDIRECT("'[" &amp;Info!$B$4&amp;"]"&amp;Info!$B$5&amp;"'!$A$6:$Ai$1000"),35,0)))</f>
        <v>4</v>
      </c>
      <c r="T51" s="7">
        <f ca="1">IF(N51="","",IF(N51=0,0, VLOOKUP(A51,INDIRECT("'[" &amp;Info!$B$4&amp;"]"&amp;Info!$B$5&amp;"'!$A$6:$Az$1000"),52,0)))</f>
        <v>633</v>
      </c>
      <c r="U51" s="7">
        <f ca="1">IF(N51="","",IF(N51=0,0, VLOOKUP(A51,INDIRECT("'[" &amp;Info!$B$4&amp;"]"&amp;Info!$B$5&amp;"'!$A$6:$BA$1000"),53,0)))</f>
        <v>0</v>
      </c>
      <c r="V51" s="16">
        <f ca="1">IF(N51="","",IF(N51=0,0, VLOOKUP(A51,INDIRECT("'[" &amp;Info!$B$4&amp;"]"&amp;Info!$B$5&amp;"'!$A$6:$BB$1000"),54,0)))</f>
        <v>0</v>
      </c>
      <c r="W51" s="17">
        <f t="shared" ca="1" si="1"/>
        <v>6</v>
      </c>
      <c r="X51" s="18">
        <f t="shared" ca="1" si="2"/>
        <v>1066</v>
      </c>
      <c r="Y51" s="19">
        <f t="shared" ca="1" si="3"/>
        <v>200</v>
      </c>
      <c r="Z51" s="18">
        <f t="shared" ca="1" si="4"/>
        <v>0</v>
      </c>
    </row>
    <row r="52" spans="1:26" x14ac:dyDescent="0.25">
      <c r="A52" s="8">
        <f ca="1">IFERROR( VLOOKUP(A51+1,INDIRECT("'[" &amp;Info!$B$4&amp;"]"&amp;Info!$B$5&amp;"'!$A$6:$A$1000"),1,0),"")</f>
        <v>48</v>
      </c>
      <c r="B52" s="5" t="str">
        <f ca="1">IFERROR( IF(A52="","", VLOOKUP(A52,INDIRECT("'[" &amp;Info!$B$4&amp;"]"&amp;Info!$B$5&amp;"'!$A$6:$B$1000"),2,0)),"")</f>
        <v>C48</v>
      </c>
      <c r="C52" s="14">
        <f ca="1">IFERROR( IF(A52="","", VLOOKUP(A52,INDIRECT("'[" &amp;Info!$B$4&amp;"]"&amp;Info!$B$5&amp;"'!$A$6:$D$1000"),3,0)),"")</f>
        <v>2501</v>
      </c>
      <c r="D52" s="31" t="str">
        <f ca="1">IF(C52="","", VLOOKUP(A52,INDIRECT("'[" &amp;Info!$B$4&amp;"]"&amp;Info!$B$5&amp;"'!$A$6:$T$1000"),20,0))</f>
        <v>C3604</v>
      </c>
      <c r="E52" s="6" t="str">
        <f ca="1">IF(D52="","", VLOOKUP(A52,INDIRECT("'[" &amp;Info!$B$4&amp;"]"&amp;Info!$B$5&amp;"'!$A$6:$U$1000"),21,0))</f>
        <v>GH</v>
      </c>
      <c r="F52" s="6" t="str">
        <f ca="1">IF(D52="","", VLOOKUP(A52,INDIRECT("'[" &amp;Info!$B$4&amp;"]"&amp;Info!$B$5&amp;"'!$A$6:$U$1000"),21,0))</f>
        <v>GH</v>
      </c>
      <c r="G52" s="6">
        <f ca="1">IF(D52="","", VLOOKUP(A52,INDIRECT("'[" &amp;Info!$B$4&amp;"]"&amp;Info!$B$5&amp;"'!$A$6:$V$1000"),22,0))</f>
        <v>5.5</v>
      </c>
      <c r="H52" s="6">
        <f ca="1">IF(D52="","", VLOOKUP(A52,INDIRECT("'[" &amp;Info!$B$4&amp;"]"&amp;Info!$B$5&amp;"'!$A$6:$W$1000"),23,0))</f>
        <v>0</v>
      </c>
      <c r="I52" s="6" t="str">
        <f ca="1">LOWER( IF(D52="","", VLOOKUP(A52,INDIRECT("'[" &amp;Info!$B$4&amp;"]"&amp;Info!$B$5&amp;"'!$A$6:$y$1000"),25,0)))</f>
        <v>h9</v>
      </c>
      <c r="J52" s="6">
        <f ca="1">IF(D52="","", VLOOKUP(A52,INDIRECT("'[" &amp;Info!$B$4&amp;"]"&amp;Info!$B$5&amp;"'!$A$6:$Z$1000"),26,0))</f>
        <v>2.5</v>
      </c>
      <c r="K52" s="35" t="str">
        <f ca="1">IF(D52="","", VLOOKUP(A52,INDIRECT("'[" &amp;Info!$B$4&amp;"]"&amp;Info!$B$5&amp;"'!$A$6:$AA$1000"),27,0))</f>
        <v>A17</v>
      </c>
      <c r="L52" s="35">
        <f ca="1">IF(D52="","", VLOOKUP(A52,INDIRECT("'[" &amp;Info!$B$4&amp;"]"&amp;Info!$B$5&amp;"'!$A$6:$H$1000"),8,0))</f>
        <v>1.1299999999999999</v>
      </c>
      <c r="M52" s="35">
        <f ca="1">IF(D52="","", VLOOKUP(A52,INDIRECT("'[" &amp;Info!$B$4&amp;"]"&amp;Info!$B$5&amp;"'!$A$6:$F$1000"),6,0))</f>
        <v>148</v>
      </c>
      <c r="N52" s="33">
        <f ca="1">IF(C52="","", VLOOKUP(A52,INDIRECT("'[" &amp;Info!$B$4&amp;"]"&amp;Info!$B$5&amp;"'!$A$6:$Au$1000"),47,0))</f>
        <v>12</v>
      </c>
      <c r="O52" s="28">
        <f ca="1">IF(N52="","",IF(N52=0,0,VLOOKUP(A52,INDIRECT("'[" &amp;Info!$B$4&amp;"]"&amp;Info!$B$5&amp;"'!$A$6:$AH$1000"),34,0)))</f>
        <v>16</v>
      </c>
      <c r="P52" s="9">
        <f ca="1">IF(N52="","",IF(N52=0,0,VLOOKUP(A52,INDIRECT("'[" &amp;Info!$B$4&amp;"]"&amp;Info!$B$5&amp;"'!$A$6:$AW$1000"),49,0)))</f>
        <v>1915</v>
      </c>
      <c r="Q52" s="9">
        <f ca="1">IF(N52="","",IF(N52=0,0, VLOOKUP(A52,INDIRECT("'[" &amp;Info!$B$4&amp;"]"&amp;Info!$B$5&amp;"'!$A$6:$AX$1000"),50,0)))</f>
        <v>0</v>
      </c>
      <c r="R52" s="29">
        <f ca="1">IF(N52="","",IF(N52=0,0, VLOOKUP(A52,INDIRECT("'[" &amp;Info!$B$4&amp;"]"&amp;Info!$B$5&amp;"'!$A$6:$AY$1000"),51,0)))</f>
        <v>0</v>
      </c>
      <c r="S52" s="15">
        <f ca="1">IF(N52="","",IF(N52=0,0,VLOOKUP(A52,INDIRECT("'[" &amp;Info!$B$4&amp;"]"&amp;Info!$B$5&amp;"'!$A$6:$Ai$1000"),35,0)))</f>
        <v>16</v>
      </c>
      <c r="T52" s="7">
        <f ca="1">IF(N52="","",IF(N52=0,0, VLOOKUP(A52,INDIRECT("'[" &amp;Info!$B$4&amp;"]"&amp;Info!$B$5&amp;"'!$A$6:$Az$1000"),52,0)))</f>
        <v>1953</v>
      </c>
      <c r="U52" s="7">
        <f ca="1">IF(N52="","",IF(N52=0,0, VLOOKUP(A52,INDIRECT("'[" &amp;Info!$B$4&amp;"]"&amp;Info!$B$5&amp;"'!$A$6:$BA$1000"),53,0)))</f>
        <v>0</v>
      </c>
      <c r="V52" s="16">
        <f ca="1">IF(N52="","",IF(N52=0,0, VLOOKUP(A52,INDIRECT("'[" &amp;Info!$B$4&amp;"]"&amp;Info!$B$5&amp;"'!$A$6:$BB$1000"),54,0)))</f>
        <v>0</v>
      </c>
      <c r="W52" s="17">
        <f t="shared" ca="1" si="1"/>
        <v>32</v>
      </c>
      <c r="X52" s="18">
        <f t="shared" ca="1" si="2"/>
        <v>3868</v>
      </c>
      <c r="Y52" s="19">
        <f t="shared" ca="1" si="3"/>
        <v>0</v>
      </c>
      <c r="Z52" s="18">
        <f t="shared" ca="1" si="4"/>
        <v>0</v>
      </c>
    </row>
    <row r="53" spans="1:26" x14ac:dyDescent="0.25">
      <c r="A53" s="8">
        <f ca="1">IFERROR( VLOOKUP(A52+1,INDIRECT("'[" &amp;Info!$B$4&amp;"]"&amp;Info!$B$5&amp;"'!$A$6:$A$1000"),1,0),"")</f>
        <v>49</v>
      </c>
      <c r="B53" s="5" t="str">
        <f ca="1">IFERROR( IF(A53="","", VLOOKUP(A53,INDIRECT("'[" &amp;Info!$B$4&amp;"]"&amp;Info!$B$5&amp;"'!$A$6:$B$1000"),2,0)),"")</f>
        <v>C49</v>
      </c>
      <c r="C53" s="14" t="str">
        <f ca="1">IFERROR( IF(A53="","", VLOOKUP(A53,INDIRECT("'[" &amp;Info!$B$4&amp;"]"&amp;Info!$B$5&amp;"'!$A$6:$D$1000"),3,0)),"")</f>
        <v>FB535</v>
      </c>
      <c r="D53" s="31" t="str">
        <f ca="1">IF(C53="","", VLOOKUP(A53,INDIRECT("'[" &amp;Info!$B$4&amp;"]"&amp;Info!$B$5&amp;"'!$A$6:$T$1000"),20,0))</f>
        <v>C3604</v>
      </c>
      <c r="E53" s="6" t="str">
        <f ca="1">IF(D53="","", VLOOKUP(A53,INDIRECT("'[" &amp;Info!$B$4&amp;"]"&amp;Info!$B$5&amp;"'!$A$6:$U$1000"),21,0))</f>
        <v>GH</v>
      </c>
      <c r="F53" s="6" t="str">
        <f ca="1">IF(D53="","", VLOOKUP(A53,INDIRECT("'[" &amp;Info!$B$4&amp;"]"&amp;Info!$B$5&amp;"'!$A$6:$U$1000"),21,0))</f>
        <v>GH</v>
      </c>
      <c r="G53" s="6">
        <f ca="1">IF(D53="","", VLOOKUP(A53,INDIRECT("'[" &amp;Info!$B$4&amp;"]"&amp;Info!$B$5&amp;"'!$A$6:$V$1000"),22,0))</f>
        <v>6.5</v>
      </c>
      <c r="H53" s="6">
        <f ca="1">IF(D53="","", VLOOKUP(A53,INDIRECT("'[" &amp;Info!$B$4&amp;"]"&amp;Info!$B$5&amp;"'!$A$6:$W$1000"),23,0))</f>
        <v>0</v>
      </c>
      <c r="I53" s="6" t="str">
        <f ca="1">LOWER( IF(D53="","", VLOOKUP(A53,INDIRECT("'[" &amp;Info!$B$4&amp;"]"&amp;Info!$B$5&amp;"'!$A$6:$y$1000"),25,0)))</f>
        <v>h9</v>
      </c>
      <c r="J53" s="6">
        <f ca="1">IF(D53="","", VLOOKUP(A53,INDIRECT("'[" &amp;Info!$B$4&amp;"]"&amp;Info!$B$5&amp;"'!$A$6:$Z$1000"),26,0))</f>
        <v>2.5</v>
      </c>
      <c r="K53" s="35" t="str">
        <f ca="1">IF(D53="","", VLOOKUP(A53,INDIRECT("'[" &amp;Info!$B$4&amp;"]"&amp;Info!$B$5&amp;"'!$A$6:$AA$1000"),27,0))</f>
        <v>A17</v>
      </c>
      <c r="L53" s="35">
        <f ca="1">IF(D53="","", VLOOKUP(A53,INDIRECT("'[" &amp;Info!$B$4&amp;"]"&amp;Info!$B$5&amp;"'!$A$6:$H$1000"),8,0))</f>
        <v>0.42</v>
      </c>
      <c r="M53" s="35">
        <f ca="1">IF(D53="","", VLOOKUP(A53,INDIRECT("'[" &amp;Info!$B$4&amp;"]"&amp;Info!$B$5&amp;"'!$A$6:$F$1000"),6,0))</f>
        <v>383</v>
      </c>
      <c r="N53" s="33">
        <f ca="1">IF(C53="","", VLOOKUP(A53,INDIRECT("'[" &amp;Info!$B$4&amp;"]"&amp;Info!$B$5&amp;"'!$A$6:$Au$1000"),47,0))</f>
        <v>7</v>
      </c>
      <c r="O53" s="28">
        <f ca="1">IF(N53="","",IF(N53=0,0,VLOOKUP(A53,INDIRECT("'[" &amp;Info!$B$4&amp;"]"&amp;Info!$B$5&amp;"'!$A$6:$AH$1000"),34,0)))</f>
        <v>4</v>
      </c>
      <c r="P53" s="9">
        <f ca="1">IF(N53="","",IF(N53=0,0,VLOOKUP(A53,INDIRECT("'[" &amp;Info!$B$4&amp;"]"&amp;Info!$B$5&amp;"'!$A$6:$AW$1000"),49,0)))</f>
        <v>1683</v>
      </c>
      <c r="Q53" s="9">
        <f ca="1">IF(N53="","",IF(N53=0,0, VLOOKUP(A53,INDIRECT("'[" &amp;Info!$B$4&amp;"]"&amp;Info!$B$5&amp;"'!$A$6:$AX$1000"),50,0)))</f>
        <v>0</v>
      </c>
      <c r="R53" s="29">
        <f ca="1">IF(N53="","",IF(N53=0,0, VLOOKUP(A53,INDIRECT("'[" &amp;Info!$B$4&amp;"]"&amp;Info!$B$5&amp;"'!$A$6:$AY$1000"),51,0)))</f>
        <v>0</v>
      </c>
      <c r="S53" s="15">
        <f ca="1">IF(N53="","",IF(N53=0,0,VLOOKUP(A53,INDIRECT("'[" &amp;Info!$B$4&amp;"]"&amp;Info!$B$5&amp;"'!$A$6:$Ai$1000"),35,0)))</f>
        <v>6</v>
      </c>
      <c r="T53" s="7">
        <f ca="1">IF(N53="","",IF(N53=0,0, VLOOKUP(A53,INDIRECT("'[" &amp;Info!$B$4&amp;"]"&amp;Info!$B$5&amp;"'!$A$6:$Az$1000"),52,0)))</f>
        <v>0</v>
      </c>
      <c r="U53" s="7">
        <f ca="1">IF(N53="","",IF(N53=0,0, VLOOKUP(A53,INDIRECT("'[" &amp;Info!$B$4&amp;"]"&amp;Info!$B$5&amp;"'!$A$6:$BA$1000"),53,0)))</f>
        <v>2954</v>
      </c>
      <c r="V53" s="16">
        <f ca="1">IF(N53="","",IF(N53=0,0, VLOOKUP(A53,INDIRECT("'[" &amp;Info!$B$4&amp;"]"&amp;Info!$B$5&amp;"'!$A$6:$BB$1000"),54,0)))</f>
        <v>0</v>
      </c>
      <c r="W53" s="17">
        <f t="shared" ca="1" si="1"/>
        <v>10</v>
      </c>
      <c r="X53" s="18">
        <f t="shared" ca="1" si="2"/>
        <v>1683</v>
      </c>
      <c r="Y53" s="19">
        <f t="shared" ca="1" si="3"/>
        <v>2954</v>
      </c>
      <c r="Z53" s="18">
        <f t="shared" ca="1" si="4"/>
        <v>0</v>
      </c>
    </row>
    <row r="54" spans="1:26" x14ac:dyDescent="0.25">
      <c r="A54" s="8">
        <f ca="1">IFERROR( VLOOKUP(A53+1,INDIRECT("'[" &amp;Info!$B$4&amp;"]"&amp;Info!$B$5&amp;"'!$A$6:$A$1000"),1,0),"")</f>
        <v>50</v>
      </c>
      <c r="B54" s="5" t="str">
        <f ca="1">IFERROR( IF(A54="","", VLOOKUP(A54,INDIRECT("'[" &amp;Info!$B$4&amp;"]"&amp;Info!$B$5&amp;"'!$A$6:$B$1000"),2,0)),"")</f>
        <v>C50</v>
      </c>
      <c r="C54" s="14" t="str">
        <f ca="1">IFERROR( IF(A54="","", VLOOKUP(A54,INDIRECT("'[" &amp;Info!$B$4&amp;"]"&amp;Info!$B$5&amp;"'!$A$6:$D$1000"),3,0)),"")</f>
        <v>Y116S</v>
      </c>
      <c r="D54" s="31" t="str">
        <f ca="1">IF(C54="","", VLOOKUP(A54,INDIRECT("'[" &amp;Info!$B$4&amp;"]"&amp;Info!$B$5&amp;"'!$A$6:$T$1000"),20,0))</f>
        <v>A6063-T5</v>
      </c>
      <c r="E54" s="6" t="str">
        <f ca="1">IF(D54="","", VLOOKUP(A54,INDIRECT("'[" &amp;Info!$B$4&amp;"]"&amp;Info!$B$5&amp;"'!$A$6:$U$1000"),21,0))</f>
        <v>GW</v>
      </c>
      <c r="F54" s="6" t="str">
        <f ca="1">IF(D54="","", VLOOKUP(A54,INDIRECT("'[" &amp;Info!$B$4&amp;"]"&amp;Info!$B$5&amp;"'!$A$6:$U$1000"),21,0))</f>
        <v>GW</v>
      </c>
      <c r="G54" s="6">
        <f ca="1">IF(D54="","", VLOOKUP(A54,INDIRECT("'[" &amp;Info!$B$4&amp;"]"&amp;Info!$B$5&amp;"'!$A$6:$V$1000"),22,0))</f>
        <v>8.3000000000000007</v>
      </c>
      <c r="H54" s="6">
        <f ca="1">IF(D54="","", VLOOKUP(A54,INDIRECT("'[" &amp;Info!$B$4&amp;"]"&amp;Info!$B$5&amp;"'!$A$6:$W$1000"),23,0))</f>
        <v>0</v>
      </c>
      <c r="I54" s="6" t="str">
        <f ca="1">LOWER( IF(D54="","", VLOOKUP(A54,INDIRECT("'[" &amp;Info!$B$4&amp;"]"&amp;Info!$B$5&amp;"'!$A$6:$y$1000"),25,0)))</f>
        <v>h9</v>
      </c>
      <c r="J54" s="6">
        <f ca="1">IF(D54="","", VLOOKUP(A54,INDIRECT("'[" &amp;Info!$B$4&amp;"]"&amp;Info!$B$5&amp;"'!$A$6:$Z$1000"),26,0))</f>
        <v>3</v>
      </c>
      <c r="K54" s="35" t="str">
        <f ca="1">IF(D54="","", VLOOKUP(A54,INDIRECT("'[" &amp;Info!$B$4&amp;"]"&amp;Info!$B$5&amp;"'!$A$6:$AA$1000"),27,0))</f>
        <v>C16</v>
      </c>
      <c r="L54" s="35">
        <f ca="1">IF(D54="","", VLOOKUP(A54,INDIRECT("'[" &amp;Info!$B$4&amp;"]"&amp;Info!$B$5&amp;"'!$A$6:$H$1000"),8,0))</f>
        <v>0.92</v>
      </c>
      <c r="M54" s="35">
        <f ca="1">IF(D54="","", VLOOKUP(A54,INDIRECT("'[" &amp;Info!$B$4&amp;"]"&amp;Info!$B$5&amp;"'!$A$6:$F$1000"),6,0))</f>
        <v>329</v>
      </c>
      <c r="N54" s="33">
        <f ca="1">IF(C54="","", VLOOKUP(A54,INDIRECT("'[" &amp;Info!$B$4&amp;"]"&amp;Info!$B$5&amp;"'!$A$6:$Au$1000"),47,0))</f>
        <v>12</v>
      </c>
      <c r="O54" s="28">
        <f ca="1">IF(N54="","",IF(N54=0,0,VLOOKUP(A54,INDIRECT("'[" &amp;Info!$B$4&amp;"]"&amp;Info!$B$5&amp;"'!$A$6:$AH$1000"),34,0)))</f>
        <v>4</v>
      </c>
      <c r="P54" s="9">
        <f ca="1">IF(N54="","",IF(N54=0,0,VLOOKUP(A54,INDIRECT("'[" &amp;Info!$B$4&amp;"]"&amp;Info!$B$5&amp;"'!$A$6:$AW$1000"),49,0)))</f>
        <v>1534</v>
      </c>
      <c r="Q54" s="9">
        <f ca="1">IF(N54="","",IF(N54=0,0, VLOOKUP(A54,INDIRECT("'[" &amp;Info!$B$4&amp;"]"&amp;Info!$B$5&amp;"'!$A$6:$AX$1000"),50,0)))</f>
        <v>0</v>
      </c>
      <c r="R54" s="29">
        <f ca="1">IF(N54="","",IF(N54=0,0, VLOOKUP(A54,INDIRECT("'[" &amp;Info!$B$4&amp;"]"&amp;Info!$B$5&amp;"'!$A$6:$AY$1000"),51,0)))</f>
        <v>0</v>
      </c>
      <c r="S54" s="15">
        <f ca="1">IF(N54="","",IF(N54=0,0,VLOOKUP(A54,INDIRECT("'[" &amp;Info!$B$4&amp;"]"&amp;Info!$B$5&amp;"'!$A$6:$Ai$1000"),35,0)))</f>
        <v>1</v>
      </c>
      <c r="T54" s="7">
        <f ca="1">IF(N54="","",IF(N54=0,0, VLOOKUP(A54,INDIRECT("'[" &amp;Info!$B$4&amp;"]"&amp;Info!$B$5&amp;"'!$A$6:$Az$1000"),52,0)))</f>
        <v>804</v>
      </c>
      <c r="U54" s="7">
        <f ca="1">IF(N54="","",IF(N54=0,0, VLOOKUP(A54,INDIRECT("'[" &amp;Info!$B$4&amp;"]"&amp;Info!$B$5&amp;"'!$A$6:$BA$1000"),53,0)))</f>
        <v>0</v>
      </c>
      <c r="V54" s="16">
        <f ca="1">IF(N54="","",IF(N54=0,0, VLOOKUP(A54,INDIRECT("'[" &amp;Info!$B$4&amp;"]"&amp;Info!$B$5&amp;"'!$A$6:$BB$1000"),54,0)))</f>
        <v>0</v>
      </c>
      <c r="W54" s="17">
        <f t="shared" ca="1" si="1"/>
        <v>5</v>
      </c>
      <c r="X54" s="18">
        <f t="shared" ca="1" si="2"/>
        <v>2338</v>
      </c>
      <c r="Y54" s="19">
        <f t="shared" ca="1" si="3"/>
        <v>0</v>
      </c>
      <c r="Z54" s="18">
        <f t="shared" ca="1" si="4"/>
        <v>0</v>
      </c>
    </row>
    <row r="55" spans="1:26" x14ac:dyDescent="0.25">
      <c r="A55" s="8">
        <f ca="1">IFERROR( VLOOKUP(A54+1,INDIRECT("'[" &amp;Info!$B$4&amp;"]"&amp;Info!$B$5&amp;"'!$A$6:$A$1000"),1,0),"")</f>
        <v>51</v>
      </c>
      <c r="B55" s="5" t="str">
        <f ca="1">IFERROR( IF(A55="","", VLOOKUP(A55,INDIRECT("'[" &amp;Info!$B$4&amp;"]"&amp;Info!$B$5&amp;"'!$A$6:$B$1000"),2,0)),"")</f>
        <v>C51</v>
      </c>
      <c r="C55" s="14" t="str">
        <f ca="1">IFERROR( IF(A55="","", VLOOKUP(A55,INDIRECT("'[" &amp;Info!$B$4&amp;"]"&amp;Info!$B$5&amp;"'!$A$6:$D$1000"),3,0)),"")</f>
        <v>H2140</v>
      </c>
      <c r="D55" s="31" t="str">
        <f ca="1">IF(C55="","", VLOOKUP(A55,INDIRECT("'[" &amp;Info!$B$4&amp;"]"&amp;Info!$B$5&amp;"'!$A$6:$T$1000"),20,0))</f>
        <v>C3604</v>
      </c>
      <c r="E55" s="6" t="str">
        <f ca="1">IF(D55="","", VLOOKUP(A55,INDIRECT("'[" &amp;Info!$B$4&amp;"]"&amp;Info!$B$5&amp;"'!$A$6:$U$1000"),21,0))</f>
        <v>YH</v>
      </c>
      <c r="F55" s="6" t="str">
        <f ca="1">IF(D55="","", VLOOKUP(A55,INDIRECT("'[" &amp;Info!$B$4&amp;"]"&amp;Info!$B$5&amp;"'!$A$6:$U$1000"),21,0))</f>
        <v>YH</v>
      </c>
      <c r="G55" s="6">
        <f ca="1">IF(D55="","", VLOOKUP(A55,INDIRECT("'[" &amp;Info!$B$4&amp;"]"&amp;Info!$B$5&amp;"'!$A$6:$V$1000"),22,0))</f>
        <v>6</v>
      </c>
      <c r="H55" s="6">
        <f ca="1">IF(D55="","", VLOOKUP(A55,INDIRECT("'[" &amp;Info!$B$4&amp;"]"&amp;Info!$B$5&amp;"'!$A$6:$W$1000"),23,0))</f>
        <v>0</v>
      </c>
      <c r="I55" s="6" t="str">
        <f ca="1">LOWER( IF(D55="","", VLOOKUP(A55,INDIRECT("'[" &amp;Info!$B$4&amp;"]"&amp;Info!$B$5&amp;"'!$A$6:$y$1000"),25,0)))</f>
        <v>h11</v>
      </c>
      <c r="J55" s="6">
        <f ca="1">IF(D55="","", VLOOKUP(A55,INDIRECT("'[" &amp;Info!$B$4&amp;"]"&amp;Info!$B$5&amp;"'!$A$6:$Z$1000"),26,0))</f>
        <v>3</v>
      </c>
      <c r="K55" s="35" t="str">
        <f ca="1">IF(D55="","", VLOOKUP(A55,INDIRECT("'[" &amp;Info!$B$4&amp;"]"&amp;Info!$B$5&amp;"'!$A$6:$AA$1000"),27,0))</f>
        <v>B17</v>
      </c>
      <c r="L55" s="35">
        <f ca="1">IF(D55="","", VLOOKUP(A55,INDIRECT("'[" &amp;Info!$B$4&amp;"]"&amp;Info!$B$5&amp;"'!$A$6:$H$1000"),8,0))</f>
        <v>2.915</v>
      </c>
      <c r="M55" s="35">
        <f ca="1">IF(D55="","", VLOOKUP(A55,INDIRECT("'[" &amp;Info!$B$4&amp;"]"&amp;Info!$B$5&amp;"'!$A$6:$F$1000"),6,0))</f>
        <v>98</v>
      </c>
      <c r="N55" s="33">
        <f ca="1">IF(C55="","", VLOOKUP(A55,INDIRECT("'[" &amp;Info!$B$4&amp;"]"&amp;Info!$B$5&amp;"'!$A$6:$Au$1000"),47,0))</f>
        <v>12</v>
      </c>
      <c r="O55" s="28">
        <f ca="1">IF(N55="","",IF(N55=0,0,VLOOKUP(A55,INDIRECT("'[" &amp;Info!$B$4&amp;"]"&amp;Info!$B$5&amp;"'!$A$6:$AH$1000"),34,0)))</f>
        <v>7</v>
      </c>
      <c r="P55" s="9">
        <f ca="1">IF(N55="","",IF(N55=0,0,VLOOKUP(A55,INDIRECT("'[" &amp;Info!$B$4&amp;"]"&amp;Info!$B$5&amp;"'!$A$6:$AW$1000"),49,0)))</f>
        <v>770</v>
      </c>
      <c r="Q55" s="9">
        <f ca="1">IF(N55="","",IF(N55=0,0, VLOOKUP(A55,INDIRECT("'[" &amp;Info!$B$4&amp;"]"&amp;Info!$B$5&amp;"'!$A$6:$AX$1000"),50,0)))</f>
        <v>0</v>
      </c>
      <c r="R55" s="29">
        <f ca="1">IF(N55="","",IF(N55=0,0, VLOOKUP(A55,INDIRECT("'[" &amp;Info!$B$4&amp;"]"&amp;Info!$B$5&amp;"'!$A$6:$AY$1000"),51,0)))</f>
        <v>0</v>
      </c>
      <c r="S55" s="15">
        <f ca="1">IF(N55="","",IF(N55=0,0,VLOOKUP(A55,INDIRECT("'[" &amp;Info!$B$4&amp;"]"&amp;Info!$B$5&amp;"'!$A$6:$Ai$1000"),35,0)))</f>
        <v>0</v>
      </c>
      <c r="T55" s="7">
        <f ca="1">IF(N55="","",IF(N55=0,0, VLOOKUP(A55,INDIRECT("'[" &amp;Info!$B$4&amp;"]"&amp;Info!$B$5&amp;"'!$A$6:$Az$1000"),52,0)))</f>
        <v>0</v>
      </c>
      <c r="U55" s="7">
        <f ca="1">IF(N55="","",IF(N55=0,0, VLOOKUP(A55,INDIRECT("'[" &amp;Info!$B$4&amp;"]"&amp;Info!$B$5&amp;"'!$A$6:$BA$1000"),53,0)))</f>
        <v>0</v>
      </c>
      <c r="V55" s="16">
        <f ca="1">IF(N55="","",IF(N55=0,0, VLOOKUP(A55,INDIRECT("'[" &amp;Info!$B$4&amp;"]"&amp;Info!$B$5&amp;"'!$A$6:$BB$1000"),54,0)))</f>
        <v>0</v>
      </c>
      <c r="W55" s="17">
        <f t="shared" ca="1" si="1"/>
        <v>7</v>
      </c>
      <c r="X55" s="18">
        <f t="shared" ca="1" si="2"/>
        <v>770</v>
      </c>
      <c r="Y55" s="19">
        <f t="shared" ca="1" si="3"/>
        <v>0</v>
      </c>
      <c r="Z55" s="18">
        <f t="shared" ca="1" si="4"/>
        <v>0</v>
      </c>
    </row>
    <row r="56" spans="1:26" x14ac:dyDescent="0.25">
      <c r="A56" s="8">
        <f ca="1">IFERROR( VLOOKUP(A55+1,INDIRECT("'[" &amp;Info!$B$4&amp;"]"&amp;Info!$B$5&amp;"'!$A$6:$A$1000"),1,0),"")</f>
        <v>52</v>
      </c>
      <c r="B56" s="5" t="str">
        <f ca="1">IFERROR( IF(A56="","", VLOOKUP(A56,INDIRECT("'[" &amp;Info!$B$4&amp;"]"&amp;Info!$B$5&amp;"'!$A$6:$B$1000"),2,0)),"")</f>
        <v>C52</v>
      </c>
      <c r="C56" s="14" t="str">
        <f ca="1">IFERROR( IF(A56="","", VLOOKUP(A56,INDIRECT("'[" &amp;Info!$B$4&amp;"]"&amp;Info!$B$5&amp;"'!$A$6:$D$1000"),3,0)),"")</f>
        <v>A2 5550</v>
      </c>
      <c r="D56" s="31" t="str">
        <f ca="1">IF(C56="","", VLOOKUP(A56,INDIRECT("'[" &amp;Info!$B$4&amp;"]"&amp;Info!$B$5&amp;"'!$A$6:$T$1000"),20,0))</f>
        <v>C3604</v>
      </c>
      <c r="E56" s="6" t="str">
        <f ca="1">IF(D56="","", VLOOKUP(A56,INDIRECT("'[" &amp;Info!$B$4&amp;"]"&amp;Info!$B$5&amp;"'!$A$6:$U$1000"),21,0))</f>
        <v>IB</v>
      </c>
      <c r="F56" s="6" t="str">
        <f ca="1">IF(D56="","", VLOOKUP(A56,INDIRECT("'[" &amp;Info!$B$4&amp;"]"&amp;Info!$B$5&amp;"'!$A$6:$U$1000"),21,0))</f>
        <v>IB</v>
      </c>
      <c r="G56" s="6">
        <f ca="1">IF(D56="","", VLOOKUP(A56,INDIRECT("'[" &amp;Info!$B$4&amp;"]"&amp;Info!$B$5&amp;"'!$A$6:$V$1000"),22,0))</f>
        <v>6</v>
      </c>
      <c r="H56" s="6">
        <f ca="1">IF(D56="","", VLOOKUP(A56,INDIRECT("'[" &amp;Info!$B$4&amp;"]"&amp;Info!$B$5&amp;"'!$A$6:$W$1000"),23,0))</f>
        <v>0</v>
      </c>
      <c r="I56" s="6" t="str">
        <f ca="1">LOWER( IF(D56="","", VLOOKUP(A56,INDIRECT("'[" &amp;Info!$B$4&amp;"]"&amp;Info!$B$5&amp;"'!$A$6:$y$1000"),25,0)))</f>
        <v>h9</v>
      </c>
      <c r="J56" s="6">
        <f ca="1">IF(D56="","", VLOOKUP(A56,INDIRECT("'[" &amp;Info!$B$4&amp;"]"&amp;Info!$B$5&amp;"'!$A$6:$Z$1000"),26,0))</f>
        <v>3</v>
      </c>
      <c r="K56" s="35" t="str">
        <f ca="1">IF(D56="","", VLOOKUP(A56,INDIRECT("'[" &amp;Info!$B$4&amp;"]"&amp;Info!$B$5&amp;"'!$A$6:$AA$1000"),27,0))</f>
        <v>B15</v>
      </c>
      <c r="L56" s="35">
        <f ca="1">IF(D56="","", VLOOKUP(A56,INDIRECT("'[" &amp;Info!$B$4&amp;"]"&amp;Info!$B$5&amp;"'!$A$6:$H$1000"),8,0))</f>
        <v>0.79</v>
      </c>
      <c r="M56" s="35">
        <f ca="1">IF(D56="","", VLOOKUP(A56,INDIRECT("'[" &amp;Info!$B$4&amp;"]"&amp;Info!$B$5&amp;"'!$A$6:$F$1000"),6,0))</f>
        <v>430</v>
      </c>
      <c r="N56" s="33">
        <f ca="1">IF(C56="","", VLOOKUP(A56,INDIRECT("'[" &amp;Info!$B$4&amp;"]"&amp;Info!$B$5&amp;"'!$A$6:$Au$1000"),47,0))</f>
        <v>7</v>
      </c>
      <c r="O56" s="28">
        <f ca="1">IF(N56="","",IF(N56=0,0,VLOOKUP(A56,INDIRECT("'[" &amp;Info!$B$4&amp;"]"&amp;Info!$B$5&amp;"'!$A$6:$AH$1000"),34,0)))</f>
        <v>7</v>
      </c>
      <c r="P56" s="9">
        <f ca="1">IF(N56="","",IF(N56=0,0,VLOOKUP(A56,INDIRECT("'[" &amp;Info!$B$4&amp;"]"&amp;Info!$B$5&amp;"'!$A$6:$AW$1000"),49,0)))</f>
        <v>2584</v>
      </c>
      <c r="Q56" s="9">
        <f ca="1">IF(N56="","",IF(N56=0,0, VLOOKUP(A56,INDIRECT("'[" &amp;Info!$B$4&amp;"]"&amp;Info!$B$5&amp;"'!$A$6:$AX$1000"),50,0)))</f>
        <v>449</v>
      </c>
      <c r="R56" s="29">
        <f ca="1">IF(N56="","",IF(N56=0,0, VLOOKUP(A56,INDIRECT("'[" &amp;Info!$B$4&amp;"]"&amp;Info!$B$5&amp;"'!$A$6:$AY$1000"),51,0)))</f>
        <v>0</v>
      </c>
      <c r="S56" s="15">
        <f ca="1">IF(N56="","",IF(N56=0,0,VLOOKUP(A56,INDIRECT("'[" &amp;Info!$B$4&amp;"]"&amp;Info!$B$5&amp;"'!$A$6:$Ai$1000"),35,0)))</f>
        <v>5</v>
      </c>
      <c r="T56" s="7">
        <f ca="1">IF(N56="","",IF(N56=0,0, VLOOKUP(A56,INDIRECT("'[" &amp;Info!$B$4&amp;"]"&amp;Info!$B$5&amp;"'!$A$6:$Az$1000"),52,0)))</f>
        <v>2258</v>
      </c>
      <c r="U56" s="7">
        <f ca="1">IF(N56="","",IF(N56=0,0, VLOOKUP(A56,INDIRECT("'[" &amp;Info!$B$4&amp;"]"&amp;Info!$B$5&amp;"'!$A$6:$BA$1000"),53,0)))</f>
        <v>0</v>
      </c>
      <c r="V56" s="16">
        <f ca="1">IF(N56="","",IF(N56=0,0, VLOOKUP(A56,INDIRECT("'[" &amp;Info!$B$4&amp;"]"&amp;Info!$B$5&amp;"'!$A$6:$BB$1000"),54,0)))</f>
        <v>0</v>
      </c>
      <c r="W56" s="17">
        <f t="shared" ca="1" si="1"/>
        <v>12</v>
      </c>
      <c r="X56" s="18">
        <f t="shared" ca="1" si="2"/>
        <v>4842</v>
      </c>
      <c r="Y56" s="19">
        <f t="shared" ca="1" si="3"/>
        <v>449</v>
      </c>
      <c r="Z56" s="18">
        <f t="shared" ca="1" si="4"/>
        <v>0</v>
      </c>
    </row>
    <row r="57" spans="1:26" x14ac:dyDescent="0.25">
      <c r="A57" s="8">
        <f ca="1">IFERROR( VLOOKUP(A56+1,INDIRECT("'[" &amp;Info!$B$4&amp;"]"&amp;Info!$B$5&amp;"'!$A$6:$A$1000"),1,0),"")</f>
        <v>53</v>
      </c>
      <c r="B57" s="5" t="str">
        <f ca="1">IFERROR( IF(A57="","", VLOOKUP(A57,INDIRECT("'[" &amp;Info!$B$4&amp;"]"&amp;Info!$B$5&amp;"'!$A$6:$B$1000"),2,0)),"")</f>
        <v>C53</v>
      </c>
      <c r="C57" s="14" t="str">
        <f ca="1">IFERROR( IF(A57="","", VLOOKUP(A57,INDIRECT("'[" &amp;Info!$B$4&amp;"]"&amp;Info!$B$5&amp;"'!$A$6:$D$1000"),3,0)),"")</f>
        <v>S36000</v>
      </c>
      <c r="D57" s="31" t="str">
        <f ca="1">IF(C57="","", VLOOKUP(A57,INDIRECT("'[" &amp;Info!$B$4&amp;"]"&amp;Info!$B$5&amp;"'!$A$6:$T$1000"),20,0))</f>
        <v>SUS303</v>
      </c>
      <c r="E57" s="6" t="str">
        <f ca="1">IF(D57="","", VLOOKUP(A57,INDIRECT("'[" &amp;Info!$B$4&amp;"]"&amp;Info!$B$5&amp;"'!$A$6:$U$1000"),21,0))</f>
        <v>ME</v>
      </c>
      <c r="F57" s="6" t="str">
        <f ca="1">IF(D57="","", VLOOKUP(A57,INDIRECT("'[" &amp;Info!$B$4&amp;"]"&amp;Info!$B$5&amp;"'!$A$6:$U$1000"),21,0))</f>
        <v>ME</v>
      </c>
      <c r="G57" s="6">
        <f ca="1">IF(D57="","", VLOOKUP(A57,INDIRECT("'[" &amp;Info!$B$4&amp;"]"&amp;Info!$B$5&amp;"'!$A$6:$V$1000"),22,0))</f>
        <v>2.98</v>
      </c>
      <c r="H57" s="6">
        <f ca="1">IF(D57="","", VLOOKUP(A57,INDIRECT("'[" &amp;Info!$B$4&amp;"]"&amp;Info!$B$5&amp;"'!$A$6:$W$1000"),23,0))</f>
        <v>0</v>
      </c>
      <c r="I57" s="6" t="str">
        <f ca="1">LOWER( IF(D57="","", VLOOKUP(A57,INDIRECT("'[" &amp;Info!$B$4&amp;"]"&amp;Info!$B$5&amp;"'!$A$6:$y$1000"),25,0)))</f>
        <v>h9</v>
      </c>
      <c r="J57" s="6">
        <f ca="1">IF(D57="","", VLOOKUP(A57,INDIRECT("'[" &amp;Info!$B$4&amp;"]"&amp;Info!$B$5&amp;"'!$A$6:$Z$1000"),26,0))</f>
        <v>3</v>
      </c>
      <c r="K57" s="35" t="str">
        <f ca="1">IF(D57="","", VLOOKUP(A57,INDIRECT("'[" &amp;Info!$B$4&amp;"]"&amp;Info!$B$5&amp;"'!$A$6:$AA$1000"),27,0))</f>
        <v>B14</v>
      </c>
      <c r="L57" s="35">
        <f ca="1">IF(D57="","", VLOOKUP(A57,INDIRECT("'[" &amp;Info!$B$4&amp;"]"&amp;Info!$B$5&amp;"'!$A$6:$H$1000"),8,0))</f>
        <v>8.51</v>
      </c>
      <c r="M57" s="35">
        <f ca="1">IF(D57="","", VLOOKUP(A57,INDIRECT("'[" &amp;Info!$B$4&amp;"]"&amp;Info!$B$5&amp;"'!$A$6:$F$1000"),6,0))</f>
        <v>19</v>
      </c>
      <c r="N57" s="33">
        <f ca="1">IF(C57="","", VLOOKUP(A57,INDIRECT("'[" &amp;Info!$B$4&amp;"]"&amp;Info!$B$5&amp;"'!$A$6:$Au$1000"),47,0))</f>
        <v>12</v>
      </c>
      <c r="O57" s="28">
        <f ca="1">IF(N57="","",IF(N57=0,0,VLOOKUP(A57,INDIRECT("'[" &amp;Info!$B$4&amp;"]"&amp;Info!$B$5&amp;"'!$A$6:$AH$1000"),34,0)))</f>
        <v>46</v>
      </c>
      <c r="P57" s="9">
        <f ca="1">IF(N57="","",IF(N57=0,0,VLOOKUP(A57,INDIRECT("'[" &amp;Info!$B$4&amp;"]"&amp;Info!$B$5&amp;"'!$A$6:$AW$1000"),49,0)))</f>
        <v>787</v>
      </c>
      <c r="Q57" s="9">
        <f ca="1">IF(N57="","",IF(N57=0,0, VLOOKUP(A57,INDIRECT("'[" &amp;Info!$B$4&amp;"]"&amp;Info!$B$5&amp;"'!$A$6:$AX$1000"),50,0)))</f>
        <v>0</v>
      </c>
      <c r="R57" s="29">
        <f ca="1">IF(N57="","",IF(N57=0,0, VLOOKUP(A57,INDIRECT("'[" &amp;Info!$B$4&amp;"]"&amp;Info!$B$5&amp;"'!$A$6:$AY$1000"),51,0)))</f>
        <v>0</v>
      </c>
      <c r="S57" s="15">
        <f ca="1">IF(N57="","",IF(N57=0,0,VLOOKUP(A57,INDIRECT("'[" &amp;Info!$B$4&amp;"]"&amp;Info!$B$5&amp;"'!$A$6:$Ai$1000"),35,0)))</f>
        <v>39</v>
      </c>
      <c r="T57" s="7">
        <f ca="1">IF(N57="","",IF(N57=0,0, VLOOKUP(A57,INDIRECT("'[" &amp;Info!$B$4&amp;"]"&amp;Info!$B$5&amp;"'!$A$6:$Az$1000"),52,0)))</f>
        <v>658</v>
      </c>
      <c r="U57" s="7">
        <f ca="1">IF(N57="","",IF(N57=0,0, VLOOKUP(A57,INDIRECT("'[" &amp;Info!$B$4&amp;"]"&amp;Info!$B$5&amp;"'!$A$6:$BA$1000"),53,0)))</f>
        <v>0</v>
      </c>
      <c r="V57" s="16">
        <f ca="1">IF(N57="","",IF(N57=0,0, VLOOKUP(A57,INDIRECT("'[" &amp;Info!$B$4&amp;"]"&amp;Info!$B$5&amp;"'!$A$6:$BB$1000"),54,0)))</f>
        <v>0</v>
      </c>
      <c r="W57" s="17">
        <f t="shared" ca="1" si="1"/>
        <v>85</v>
      </c>
      <c r="X57" s="18">
        <f t="shared" ca="1" si="2"/>
        <v>1445</v>
      </c>
      <c r="Y57" s="19">
        <f t="shared" ca="1" si="3"/>
        <v>0</v>
      </c>
      <c r="Z57" s="18">
        <f t="shared" ca="1" si="4"/>
        <v>0</v>
      </c>
    </row>
    <row r="58" spans="1:26" x14ac:dyDescent="0.25">
      <c r="A58" s="8">
        <f ca="1">IFERROR( VLOOKUP(A57+1,INDIRECT("'[" &amp;Info!$B$4&amp;"]"&amp;Info!$B$5&amp;"'!$A$6:$A$1000"),1,0),"")</f>
        <v>54</v>
      </c>
      <c r="B58" s="5" t="str">
        <f ca="1">IFERROR( IF(A58="","", VLOOKUP(A58,INDIRECT("'[" &amp;Info!$B$4&amp;"]"&amp;Info!$B$5&amp;"'!$A$6:$B$1000"),2,0)),"")</f>
        <v>C54</v>
      </c>
      <c r="C58" s="14" t="str">
        <f ca="1">IFERROR( IF(A58="","", VLOOKUP(A58,INDIRECT("'[" &amp;Info!$B$4&amp;"]"&amp;Info!$B$5&amp;"'!$A$6:$D$1000"),3,0)),"")</f>
        <v>4B03</v>
      </c>
      <c r="D58" s="31" t="str">
        <f ca="1">IF(C58="","", VLOOKUP(A58,INDIRECT("'[" &amp;Info!$B$4&amp;"]"&amp;Info!$B$5&amp;"'!$A$6:$T$1000"),20,0))</f>
        <v>C3602</v>
      </c>
      <c r="E58" s="6" t="str">
        <f ca="1">IF(D58="","", VLOOKUP(A58,INDIRECT("'[" &amp;Info!$B$4&amp;"]"&amp;Info!$B$5&amp;"'!$A$6:$U$1000"),21,0))</f>
        <v>YH</v>
      </c>
      <c r="F58" s="6" t="str">
        <f ca="1">IF(D58="","", VLOOKUP(A58,INDIRECT("'[" &amp;Info!$B$4&amp;"]"&amp;Info!$B$5&amp;"'!$A$6:$U$1000"),21,0))</f>
        <v>YH</v>
      </c>
      <c r="G58" s="6">
        <f ca="1">IF(D58="","", VLOOKUP(A58,INDIRECT("'[" &amp;Info!$B$4&amp;"]"&amp;Info!$B$5&amp;"'!$A$6:$V$1000"),22,0))</f>
        <v>4</v>
      </c>
      <c r="H58" s="6">
        <f ca="1">IF(D58="","", VLOOKUP(A58,INDIRECT("'[" &amp;Info!$B$4&amp;"]"&amp;Info!$B$5&amp;"'!$A$6:$W$1000"),23,0))</f>
        <v>0</v>
      </c>
      <c r="I58" s="6" t="str">
        <f ca="1">LOWER( IF(D58="","", VLOOKUP(A58,INDIRECT("'[" &amp;Info!$B$4&amp;"]"&amp;Info!$B$5&amp;"'!$A$6:$y$1000"),25,0)))</f>
        <v>h9</v>
      </c>
      <c r="J58" s="6">
        <f ca="1">IF(D58="","", VLOOKUP(A58,INDIRECT("'[" &amp;Info!$B$4&amp;"]"&amp;Info!$B$5&amp;"'!$A$6:$Z$1000"),26,0))</f>
        <v>3</v>
      </c>
      <c r="K58" s="35" t="str">
        <f ca="1">IF(D58="","", VLOOKUP(A58,INDIRECT("'[" &amp;Info!$B$4&amp;"]"&amp;Info!$B$5&amp;"'!$A$6:$AA$1000"),27,0))</f>
        <v>A17</v>
      </c>
      <c r="L58" s="35">
        <f ca="1">IF(D58="","", VLOOKUP(A58,INDIRECT("'[" &amp;Info!$B$4&amp;"]"&amp;Info!$B$5&amp;"'!$A$6:$H$1000"),8,0))</f>
        <v>0.48</v>
      </c>
      <c r="M58" s="35">
        <f ca="1">IF(D58="","", VLOOKUP(A58,INDIRECT("'[" &amp;Info!$B$4&amp;"]"&amp;Info!$B$5&amp;"'!$A$6:$F$1000"),6,0))</f>
        <v>304</v>
      </c>
      <c r="N58" s="33">
        <f ca="1">IF(C58="","", VLOOKUP(A58,INDIRECT("'[" &amp;Info!$B$4&amp;"]"&amp;Info!$B$5&amp;"'!$A$6:$Au$1000"),47,0))</f>
        <v>3</v>
      </c>
      <c r="O58" s="28">
        <f ca="1">IF(N58="","",IF(N58=0,0,VLOOKUP(A58,INDIRECT("'[" &amp;Info!$B$4&amp;"]"&amp;Info!$B$5&amp;"'!$A$6:$AH$1000"),34,0)))</f>
        <v>9</v>
      </c>
      <c r="P58" s="9">
        <f ca="1">IF(N58="","",IF(N58=0,0,VLOOKUP(A58,INDIRECT("'[" &amp;Info!$B$4&amp;"]"&amp;Info!$B$5&amp;"'!$A$6:$AW$1000"),49,0)))</f>
        <v>2641</v>
      </c>
      <c r="Q58" s="9">
        <f ca="1">IF(N58="","",IF(N58=0,0, VLOOKUP(A58,INDIRECT("'[" &amp;Info!$B$4&amp;"]"&amp;Info!$B$5&amp;"'!$A$6:$AX$1000"),50,0)))</f>
        <v>0</v>
      </c>
      <c r="R58" s="29">
        <f ca="1">IF(N58="","",IF(N58=0,0, VLOOKUP(A58,INDIRECT("'[" &amp;Info!$B$4&amp;"]"&amp;Info!$B$5&amp;"'!$A$6:$AY$1000"),51,0)))</f>
        <v>0</v>
      </c>
      <c r="S58" s="15">
        <f ca="1">IF(N58="","",IF(N58=0,0,VLOOKUP(A58,INDIRECT("'[" &amp;Info!$B$4&amp;"]"&amp;Info!$B$5&amp;"'!$A$6:$Ai$1000"),35,0)))</f>
        <v>8</v>
      </c>
      <c r="T58" s="7">
        <f ca="1">IF(N58="","",IF(N58=0,0, VLOOKUP(A58,INDIRECT("'[" &amp;Info!$B$4&amp;"]"&amp;Info!$B$5&amp;"'!$A$6:$Az$1000"),52,0)))</f>
        <v>2437</v>
      </c>
      <c r="U58" s="7">
        <f ca="1">IF(N58="","",IF(N58=0,0, VLOOKUP(A58,INDIRECT("'[" &amp;Info!$B$4&amp;"]"&amp;Info!$B$5&amp;"'!$A$6:$BA$1000"),53,0)))</f>
        <v>0</v>
      </c>
      <c r="V58" s="16">
        <f ca="1">IF(N58="","",IF(N58=0,0, VLOOKUP(A58,INDIRECT("'[" &amp;Info!$B$4&amp;"]"&amp;Info!$B$5&amp;"'!$A$6:$BB$1000"),54,0)))</f>
        <v>0</v>
      </c>
      <c r="W58" s="17">
        <f t="shared" ca="1" si="1"/>
        <v>17</v>
      </c>
      <c r="X58" s="18">
        <f t="shared" ca="1" si="2"/>
        <v>5078</v>
      </c>
      <c r="Y58" s="19">
        <f t="shared" ca="1" si="3"/>
        <v>0</v>
      </c>
      <c r="Z58" s="18">
        <f t="shared" ca="1" si="4"/>
        <v>0</v>
      </c>
    </row>
    <row r="59" spans="1:26" x14ac:dyDescent="0.25">
      <c r="A59" s="8">
        <f ca="1">IFERROR( VLOOKUP(A58+1,INDIRECT("'[" &amp;Info!$B$4&amp;"]"&amp;Info!$B$5&amp;"'!$A$6:$A$1000"),1,0),"")</f>
        <v>55</v>
      </c>
      <c r="B59" s="5" t="str">
        <f ca="1">IFERROR( IF(A59="","", VLOOKUP(A59,INDIRECT("'[" &amp;Info!$B$4&amp;"]"&amp;Info!$B$5&amp;"'!$A$6:$B$1000"),2,0)),"")</f>
        <v>C55</v>
      </c>
      <c r="C59" s="14" t="str">
        <f ca="1">IFERROR( IF(A59="","", VLOOKUP(A59,INDIRECT("'[" &amp;Info!$B$4&amp;"]"&amp;Info!$B$5&amp;"'!$A$6:$D$1000"),3,0)),"")</f>
        <v>Oc Dong</v>
      </c>
      <c r="D59" s="31" t="str">
        <f ca="1">IF(C59="","", VLOOKUP(A59,INDIRECT("'[" &amp;Info!$B$4&amp;"]"&amp;Info!$B$5&amp;"'!$A$6:$T$1000"),20,0))</f>
        <v>C3604</v>
      </c>
      <c r="E59" s="6" t="str">
        <f ca="1">IF(D59="","", VLOOKUP(A59,INDIRECT("'[" &amp;Info!$B$4&amp;"]"&amp;Info!$B$5&amp;"'!$A$6:$U$1000"),21,0))</f>
        <v>YH</v>
      </c>
      <c r="F59" s="6" t="str">
        <f ca="1">IF(D59="","", VLOOKUP(A59,INDIRECT("'[" &amp;Info!$B$4&amp;"]"&amp;Info!$B$5&amp;"'!$A$6:$U$1000"),21,0))</f>
        <v>YH</v>
      </c>
      <c r="G59" s="6">
        <f ca="1">IF(D59="","", VLOOKUP(A59,INDIRECT("'[" &amp;Info!$B$4&amp;"]"&amp;Info!$B$5&amp;"'!$A$6:$V$1000"),22,0))</f>
        <v>5</v>
      </c>
      <c r="H59" s="6">
        <f ca="1">IF(D59="","", VLOOKUP(A59,INDIRECT("'[" &amp;Info!$B$4&amp;"]"&amp;Info!$B$5&amp;"'!$A$6:$W$1000"),23,0))</f>
        <v>0</v>
      </c>
      <c r="I59" s="6" t="str">
        <f ca="1">LOWER( IF(D59="","", VLOOKUP(A59,INDIRECT("'[" &amp;Info!$B$4&amp;"]"&amp;Info!$B$5&amp;"'!$A$6:$y$1000"),25,0)))</f>
        <v>h9</v>
      </c>
      <c r="J59" s="6">
        <f ca="1">IF(D59="","", VLOOKUP(A59,INDIRECT("'[" &amp;Info!$B$4&amp;"]"&amp;Info!$B$5&amp;"'!$A$6:$Z$1000"),26,0))</f>
        <v>3</v>
      </c>
      <c r="K59" s="35" t="str">
        <f ca="1">IF(D59="","", VLOOKUP(A59,INDIRECT("'[" &amp;Info!$B$4&amp;"]"&amp;Info!$B$5&amp;"'!$A$6:$AA$1000"),27,0))</f>
        <v>B17</v>
      </c>
      <c r="L59" s="35">
        <f ca="1">IF(D59="","", VLOOKUP(A59,INDIRECT("'[" &amp;Info!$B$4&amp;"]"&amp;Info!$B$5&amp;"'!$A$6:$H$1000"),8,0))</f>
        <v>0.46</v>
      </c>
      <c r="M59" s="35">
        <f ca="1">IF(D59="","", VLOOKUP(A59,INDIRECT("'[" &amp;Info!$B$4&amp;"]"&amp;Info!$B$5&amp;"'!$A$6:$F$1000"),6,0))</f>
        <v>409</v>
      </c>
      <c r="N59" s="33">
        <f ca="1">IF(C59="","", VLOOKUP(A59,INDIRECT("'[" &amp;Info!$B$4&amp;"]"&amp;Info!$B$5&amp;"'!$A$6:$Au$1000"),47,0))</f>
        <v>7</v>
      </c>
      <c r="O59" s="28">
        <f ca="1">IF(N59="","",IF(N59=0,0,VLOOKUP(A59,INDIRECT("'[" &amp;Info!$B$4&amp;"]"&amp;Info!$B$5&amp;"'!$A$6:$AH$1000"),34,0)))</f>
        <v>7</v>
      </c>
      <c r="P59" s="9">
        <f ca="1">IF(N59="","",IF(N59=0,0,VLOOKUP(A59,INDIRECT("'[" &amp;Info!$B$4&amp;"]"&amp;Info!$B$5&amp;"'!$A$6:$AW$1000"),49,0)))</f>
        <v>2884</v>
      </c>
      <c r="Q59" s="9">
        <f ca="1">IF(N59="","",IF(N59=0,0, VLOOKUP(A59,INDIRECT("'[" &amp;Info!$B$4&amp;"]"&amp;Info!$B$5&amp;"'!$A$6:$AX$1000"),50,0)))</f>
        <v>0</v>
      </c>
      <c r="R59" s="29">
        <f ca="1">IF(N59="","",IF(N59=0,0, VLOOKUP(A59,INDIRECT("'[" &amp;Info!$B$4&amp;"]"&amp;Info!$B$5&amp;"'!$A$6:$AY$1000"),51,0)))</f>
        <v>0</v>
      </c>
      <c r="S59" s="15">
        <f ca="1">IF(N59="","",IF(N59=0,0,VLOOKUP(A59,INDIRECT("'[" &amp;Info!$B$4&amp;"]"&amp;Info!$B$5&amp;"'!$A$6:$Ai$1000"),35,0)))</f>
        <v>7</v>
      </c>
      <c r="T59" s="7">
        <f ca="1">IF(N59="","",IF(N59=0,0, VLOOKUP(A59,INDIRECT("'[" &amp;Info!$B$4&amp;"]"&amp;Info!$B$5&amp;"'!$A$6:$Az$1000"),52,0)))</f>
        <v>3497</v>
      </c>
      <c r="U59" s="7">
        <f ca="1">IF(N59="","",IF(N59=0,0, VLOOKUP(A59,INDIRECT("'[" &amp;Info!$B$4&amp;"]"&amp;Info!$B$5&amp;"'!$A$6:$BA$1000"),53,0)))</f>
        <v>0</v>
      </c>
      <c r="V59" s="16">
        <f ca="1">IF(N59="","",IF(N59=0,0, VLOOKUP(A59,INDIRECT("'[" &amp;Info!$B$4&amp;"]"&amp;Info!$B$5&amp;"'!$A$6:$BB$1000"),54,0)))</f>
        <v>0</v>
      </c>
      <c r="W59" s="17">
        <f t="shared" ca="1" si="1"/>
        <v>14</v>
      </c>
      <c r="X59" s="18">
        <f t="shared" ca="1" si="2"/>
        <v>6381</v>
      </c>
      <c r="Y59" s="19">
        <f t="shared" ca="1" si="3"/>
        <v>0</v>
      </c>
      <c r="Z59" s="18">
        <f t="shared" ca="1" si="4"/>
        <v>0</v>
      </c>
    </row>
    <row r="60" spans="1:26" x14ac:dyDescent="0.25">
      <c r="A60" s="8">
        <f ca="1">IFERROR( VLOOKUP(A59+1,INDIRECT("'[" &amp;Info!$B$4&amp;"]"&amp;Info!$B$5&amp;"'!$A$6:$A$1000"),1,0),"")</f>
        <v>56</v>
      </c>
      <c r="B60" s="5" t="str">
        <f ca="1">IFERROR( IF(A60="","", VLOOKUP(A60,INDIRECT("'[" &amp;Info!$B$4&amp;"]"&amp;Info!$B$5&amp;"'!$A$6:$B$1000"),2,0)),"")</f>
        <v>C56</v>
      </c>
      <c r="C60" s="14" t="str">
        <f ca="1">IFERROR( IF(A60="","", VLOOKUP(A60,INDIRECT("'[" &amp;Info!$B$4&amp;"]"&amp;Info!$B$5&amp;"'!$A$6:$D$1000"),3,0)),"")</f>
        <v>Y116S</v>
      </c>
      <c r="D60" s="31" t="str">
        <f ca="1">IF(C60="","", VLOOKUP(A60,INDIRECT("'[" &amp;Info!$B$4&amp;"]"&amp;Info!$B$5&amp;"'!$A$6:$T$1000"),20,0))</f>
        <v>A6063-T5</v>
      </c>
      <c r="E60" s="6" t="str">
        <f ca="1">IF(D60="","", VLOOKUP(A60,INDIRECT("'[" &amp;Info!$B$4&amp;"]"&amp;Info!$B$5&amp;"'!$A$6:$U$1000"),21,0))</f>
        <v>GW</v>
      </c>
      <c r="F60" s="6" t="str">
        <f ca="1">IF(D60="","", VLOOKUP(A60,INDIRECT("'[" &amp;Info!$B$4&amp;"]"&amp;Info!$B$5&amp;"'!$A$6:$U$1000"),21,0))</f>
        <v>GW</v>
      </c>
      <c r="G60" s="6">
        <f ca="1">IF(D60="","", VLOOKUP(A60,INDIRECT("'[" &amp;Info!$B$4&amp;"]"&amp;Info!$B$5&amp;"'!$A$6:$V$1000"),22,0))</f>
        <v>8.3000000000000007</v>
      </c>
      <c r="H60" s="6">
        <f ca="1">IF(D60="","", VLOOKUP(A60,INDIRECT("'[" &amp;Info!$B$4&amp;"]"&amp;Info!$B$5&amp;"'!$A$6:$W$1000"),23,0))</f>
        <v>0</v>
      </c>
      <c r="I60" s="6" t="str">
        <f ca="1">LOWER( IF(D60="","", VLOOKUP(A60,INDIRECT("'[" &amp;Info!$B$4&amp;"]"&amp;Info!$B$5&amp;"'!$A$6:$y$1000"),25,0)))</f>
        <v>h9</v>
      </c>
      <c r="J60" s="6">
        <f ca="1">IF(D60="","", VLOOKUP(A60,INDIRECT("'[" &amp;Info!$B$4&amp;"]"&amp;Info!$B$5&amp;"'!$A$6:$Z$1000"),26,0))</f>
        <v>3</v>
      </c>
      <c r="K60" s="35" t="str">
        <f ca="1">IF(D60="","", VLOOKUP(A60,INDIRECT("'[" &amp;Info!$B$4&amp;"]"&amp;Info!$B$5&amp;"'!$A$6:$AA$1000"),27,0))</f>
        <v>C16</v>
      </c>
      <c r="L60" s="35">
        <f ca="1">IF(D60="","", VLOOKUP(A60,INDIRECT("'[" &amp;Info!$B$4&amp;"]"&amp;Info!$B$5&amp;"'!$A$6:$H$1000"),8,0))</f>
        <v>0.92</v>
      </c>
      <c r="M60" s="35">
        <f ca="1">IF(D60="","", VLOOKUP(A60,INDIRECT("'[" &amp;Info!$B$4&amp;"]"&amp;Info!$B$5&amp;"'!$A$6:$F$1000"),6,0))</f>
        <v>329</v>
      </c>
      <c r="N60" s="33">
        <f ca="1">IF(C60="","", VLOOKUP(A60,INDIRECT("'[" &amp;Info!$B$4&amp;"]"&amp;Info!$B$5&amp;"'!$A$6:$Au$1000"),47,0))</f>
        <v>12</v>
      </c>
      <c r="O60" s="28">
        <f ca="1">IF(N60="","",IF(N60=0,0,VLOOKUP(A60,INDIRECT("'[" &amp;Info!$B$4&amp;"]"&amp;Info!$B$5&amp;"'!$A$6:$AH$1000"),34,0)))</f>
        <v>6</v>
      </c>
      <c r="P60" s="9">
        <f ca="1">IF(N60="","",IF(N60=0,0,VLOOKUP(A60,INDIRECT("'[" &amp;Info!$B$4&amp;"]"&amp;Info!$B$5&amp;"'!$A$6:$AW$1000"),49,0)))</f>
        <v>828</v>
      </c>
      <c r="Q60" s="9">
        <f ca="1">IF(N60="","",IF(N60=0,0, VLOOKUP(A60,INDIRECT("'[" &amp;Info!$B$4&amp;"]"&amp;Info!$B$5&amp;"'!$A$6:$AX$1000"),50,0)))</f>
        <v>319</v>
      </c>
      <c r="R60" s="29">
        <f ca="1">IF(N60="","",IF(N60=0,0, VLOOKUP(A60,INDIRECT("'[" &amp;Info!$B$4&amp;"]"&amp;Info!$B$5&amp;"'!$A$6:$AY$1000"),51,0)))</f>
        <v>0</v>
      </c>
      <c r="S60" s="15">
        <f ca="1">IF(N60="","",IF(N60=0,0,VLOOKUP(A60,INDIRECT("'[" &amp;Info!$B$4&amp;"]"&amp;Info!$B$5&amp;"'!$A$6:$Ai$1000"),35,0)))</f>
        <v>2</v>
      </c>
      <c r="T60" s="7">
        <f ca="1">IF(N60="","",IF(N60=0,0, VLOOKUP(A60,INDIRECT("'[" &amp;Info!$B$4&amp;"]"&amp;Info!$B$5&amp;"'!$A$6:$Az$1000"),52,0)))</f>
        <v>13</v>
      </c>
      <c r="U60" s="7">
        <f ca="1">IF(N60="","",IF(N60=0,0, VLOOKUP(A60,INDIRECT("'[" &amp;Info!$B$4&amp;"]"&amp;Info!$B$5&amp;"'!$A$6:$BA$1000"),53,0)))</f>
        <v>0</v>
      </c>
      <c r="V60" s="16">
        <f ca="1">IF(N60="","",IF(N60=0,0, VLOOKUP(A60,INDIRECT("'[" &amp;Info!$B$4&amp;"]"&amp;Info!$B$5&amp;"'!$A$6:$BB$1000"),54,0)))</f>
        <v>0</v>
      </c>
      <c r="W60" s="17">
        <f t="shared" ca="1" si="1"/>
        <v>8</v>
      </c>
      <c r="X60" s="18">
        <f t="shared" ca="1" si="2"/>
        <v>841</v>
      </c>
      <c r="Y60" s="19">
        <f t="shared" ca="1" si="3"/>
        <v>319</v>
      </c>
      <c r="Z60" s="18">
        <f t="shared" ca="1" si="4"/>
        <v>0</v>
      </c>
    </row>
    <row r="61" spans="1:26" x14ac:dyDescent="0.25">
      <c r="A61" s="8">
        <f ca="1">IFERROR( VLOOKUP(A60+1,INDIRECT("'[" &amp;Info!$B$4&amp;"]"&amp;Info!$B$5&amp;"'!$A$6:$A$1000"),1,0),"")</f>
        <v>57</v>
      </c>
      <c r="B61" s="5" t="str">
        <f ca="1">IFERROR( IF(A61="","", VLOOKUP(A61,INDIRECT("'[" &amp;Info!$B$4&amp;"]"&amp;Info!$B$5&amp;"'!$A$6:$B$1000"),2,0)),"")</f>
        <v>C57</v>
      </c>
      <c r="C61" s="14" t="str">
        <f ca="1">IFERROR( IF(A61="","", VLOOKUP(A61,INDIRECT("'[" &amp;Info!$B$4&amp;"]"&amp;Info!$B$5&amp;"'!$A$6:$D$1000"),3,0)),"")</f>
        <v>F3104</v>
      </c>
      <c r="D61" s="31" t="str">
        <f ca="1">IF(C61="","", VLOOKUP(A61,INDIRECT("'[" &amp;Info!$B$4&amp;"]"&amp;Info!$B$5&amp;"'!$A$6:$T$1000"),20,0))</f>
        <v>SUS303</v>
      </c>
      <c r="E61" s="6" t="str">
        <f ca="1">IF(D61="","", VLOOKUP(A61,INDIRECT("'[" &amp;Info!$B$4&amp;"]"&amp;Info!$B$5&amp;"'!$A$6:$U$1000"),21,0))</f>
        <v>ME</v>
      </c>
      <c r="F61" s="6" t="str">
        <f ca="1">IF(D61="","", VLOOKUP(A61,INDIRECT("'[" &amp;Info!$B$4&amp;"]"&amp;Info!$B$5&amp;"'!$A$6:$U$1000"),21,0))</f>
        <v>ME</v>
      </c>
      <c r="G61" s="6">
        <f ca="1">IF(D61="","", VLOOKUP(A61,INDIRECT("'[" &amp;Info!$B$4&amp;"]"&amp;Info!$B$5&amp;"'!$A$6:$V$1000"),22,0))</f>
        <v>2.98</v>
      </c>
      <c r="H61" s="6">
        <f ca="1">IF(D61="","", VLOOKUP(A61,INDIRECT("'[" &amp;Info!$B$4&amp;"]"&amp;Info!$B$5&amp;"'!$A$6:$W$1000"),23,0))</f>
        <v>0</v>
      </c>
      <c r="I61" s="6" t="str">
        <f ca="1">LOWER( IF(D61="","", VLOOKUP(A61,INDIRECT("'[" &amp;Info!$B$4&amp;"]"&amp;Info!$B$5&amp;"'!$A$6:$y$1000"),25,0)))</f>
        <v>h9</v>
      </c>
      <c r="J61" s="6">
        <f ca="1">IF(D61="","", VLOOKUP(A61,INDIRECT("'[" &amp;Info!$B$4&amp;"]"&amp;Info!$B$5&amp;"'!$A$6:$Z$1000"),26,0))</f>
        <v>3</v>
      </c>
      <c r="K61" s="35" t="str">
        <f ca="1">IF(D61="","", VLOOKUP(A61,INDIRECT("'[" &amp;Info!$B$4&amp;"]"&amp;Info!$B$5&amp;"'!$A$6:$AA$1000"),27,0))</f>
        <v>B14</v>
      </c>
      <c r="L61" s="35">
        <f ca="1">IF(D61="","", VLOOKUP(A61,INDIRECT("'[" &amp;Info!$B$4&amp;"]"&amp;Info!$B$5&amp;"'!$A$6:$H$1000"),8,0))</f>
        <v>0.03</v>
      </c>
      <c r="M61" s="35">
        <f ca="1">IF(D61="","", VLOOKUP(A61,INDIRECT("'[" &amp;Info!$B$4&amp;"]"&amp;Info!$B$5&amp;"'!$A$6:$F$1000"),6,0))</f>
        <v>394</v>
      </c>
      <c r="N61" s="33">
        <f ca="1">IF(C61="","", VLOOKUP(A61,INDIRECT("'[" &amp;Info!$B$4&amp;"]"&amp;Info!$B$5&amp;"'!$A$6:$Au$1000"),47,0))</f>
        <v>4</v>
      </c>
      <c r="O61" s="28">
        <f ca="1">IF(N61="","",IF(N61=0,0,VLOOKUP(A61,INDIRECT("'[" &amp;Info!$B$4&amp;"]"&amp;Info!$B$5&amp;"'!$A$6:$AH$1000"),34,0)))</f>
        <v>1</v>
      </c>
      <c r="P61" s="9">
        <f ca="1">IF(N61="","",IF(N61=0,0,VLOOKUP(A61,INDIRECT("'[" &amp;Info!$B$4&amp;"]"&amp;Info!$B$5&amp;"'!$A$6:$AW$1000"),49,0)))</f>
        <v>233</v>
      </c>
      <c r="Q61" s="9">
        <f ca="1">IF(N61="","",IF(N61=0,0, VLOOKUP(A61,INDIRECT("'[" &amp;Info!$B$4&amp;"]"&amp;Info!$B$5&amp;"'!$A$6:$AX$1000"),50,0)))</f>
        <v>0</v>
      </c>
      <c r="R61" s="29">
        <f ca="1">IF(N61="","",IF(N61=0,0, VLOOKUP(A61,INDIRECT("'[" &amp;Info!$B$4&amp;"]"&amp;Info!$B$5&amp;"'!$A$6:$AY$1000"),51,0)))</f>
        <v>0</v>
      </c>
      <c r="S61" s="15">
        <f ca="1">IF(N61="","",IF(N61=0,0,VLOOKUP(A61,INDIRECT("'[" &amp;Info!$B$4&amp;"]"&amp;Info!$B$5&amp;"'!$A$6:$Ai$1000"),35,0)))</f>
        <v>1</v>
      </c>
      <c r="T61" s="7">
        <f ca="1">IF(N61="","",IF(N61=0,0, VLOOKUP(A61,INDIRECT("'[" &amp;Info!$B$4&amp;"]"&amp;Info!$B$5&amp;"'!$A$6:$Az$1000"),52,0)))</f>
        <v>400</v>
      </c>
      <c r="U61" s="7">
        <f ca="1">IF(N61="","",IF(N61=0,0, VLOOKUP(A61,INDIRECT("'[" &amp;Info!$B$4&amp;"]"&amp;Info!$B$5&amp;"'!$A$6:$BA$1000"),53,0)))</f>
        <v>0</v>
      </c>
      <c r="V61" s="16">
        <f ca="1">IF(N61="","",IF(N61=0,0, VLOOKUP(A61,INDIRECT("'[" &amp;Info!$B$4&amp;"]"&amp;Info!$B$5&amp;"'!$A$6:$BB$1000"),54,0)))</f>
        <v>0</v>
      </c>
      <c r="W61" s="17">
        <f t="shared" ca="1" si="1"/>
        <v>2</v>
      </c>
      <c r="X61" s="18">
        <f t="shared" ca="1" si="2"/>
        <v>633</v>
      </c>
      <c r="Y61" s="19">
        <f t="shared" ca="1" si="3"/>
        <v>0</v>
      </c>
      <c r="Z61" s="18">
        <f t="shared" ca="1" si="4"/>
        <v>0</v>
      </c>
    </row>
    <row r="62" spans="1:26" x14ac:dyDescent="0.25">
      <c r="A62" s="8">
        <f ca="1">IFERROR( VLOOKUP(A61+1,INDIRECT("'[" &amp;Info!$B$4&amp;"]"&amp;Info!$B$5&amp;"'!$A$6:$A$1000"),1,0),"")</f>
        <v>58</v>
      </c>
      <c r="B62" s="5" t="str">
        <f ca="1">IFERROR( IF(A62="","", VLOOKUP(A62,INDIRECT("'[" &amp;Info!$B$4&amp;"]"&amp;Info!$B$5&amp;"'!$A$6:$B$1000"),2,0)),"")</f>
        <v>C58</v>
      </c>
      <c r="C62" s="14" t="str">
        <f ca="1">IFERROR( IF(A62="","", VLOOKUP(A62,INDIRECT("'[" &amp;Info!$B$4&amp;"]"&amp;Info!$B$5&amp;"'!$A$6:$D$1000"),3,0)),"")</f>
        <v>P9</v>
      </c>
      <c r="D62" s="31" t="str">
        <f ca="1">IF(C62="","", VLOOKUP(A62,INDIRECT("'[" &amp;Info!$B$4&amp;"]"&amp;Info!$B$5&amp;"'!$A$6:$T$1000"),20,0))</f>
        <v>SUS303</v>
      </c>
      <c r="E62" s="6" t="str">
        <f ca="1">IF(D62="","", VLOOKUP(A62,INDIRECT("'[" &amp;Info!$B$4&amp;"]"&amp;Info!$B$5&amp;"'!$A$6:$U$1000"),21,0))</f>
        <v>ME</v>
      </c>
      <c r="F62" s="6" t="str">
        <f ca="1">IF(D62="","", VLOOKUP(A62,INDIRECT("'[" &amp;Info!$B$4&amp;"]"&amp;Info!$B$5&amp;"'!$A$6:$U$1000"),21,0))</f>
        <v>ME</v>
      </c>
      <c r="G62" s="6">
        <f ca="1">IF(D62="","", VLOOKUP(A62,INDIRECT("'[" &amp;Info!$B$4&amp;"]"&amp;Info!$B$5&amp;"'!$A$6:$V$1000"),22,0))</f>
        <v>3.17</v>
      </c>
      <c r="H62" s="6">
        <f ca="1">IF(D62="","", VLOOKUP(A62,INDIRECT("'[" &amp;Info!$B$4&amp;"]"&amp;Info!$B$5&amp;"'!$A$6:$W$1000"),23,0))</f>
        <v>0</v>
      </c>
      <c r="I62" s="6" t="str">
        <f ca="1">LOWER( IF(D62="","", VLOOKUP(A62,INDIRECT("'[" &amp;Info!$B$4&amp;"]"&amp;Info!$B$5&amp;"'!$A$6:$y$1000"),25,0)))</f>
        <v>h9</v>
      </c>
      <c r="J62" s="6">
        <f ca="1">IF(D62="","", VLOOKUP(A62,INDIRECT("'[" &amp;Info!$B$4&amp;"]"&amp;Info!$B$5&amp;"'!$A$6:$Z$1000"),26,0))</f>
        <v>3</v>
      </c>
      <c r="K62" s="35" t="str">
        <f ca="1">IF(D62="","", VLOOKUP(A62,INDIRECT("'[" &amp;Info!$B$4&amp;"]"&amp;Info!$B$5&amp;"'!$A$6:$AA$1000"),27,0))</f>
        <v>A11</v>
      </c>
      <c r="L62" s="35">
        <f ca="1">IF(D62="","", VLOOKUP(A62,INDIRECT("'[" &amp;Info!$B$4&amp;"]"&amp;Info!$B$5&amp;"'!$A$6:$H$1000"),8,0))</f>
        <v>0.45</v>
      </c>
      <c r="M62" s="35">
        <f ca="1">IF(D62="","", VLOOKUP(A62,INDIRECT("'[" &amp;Info!$B$4&amp;"]"&amp;Info!$B$5&amp;"'!$A$6:$F$1000"),6,0))</f>
        <v>168</v>
      </c>
      <c r="N62" s="33">
        <f ca="1">IF(C62="","", VLOOKUP(A62,INDIRECT("'[" &amp;Info!$B$4&amp;"]"&amp;Info!$B$5&amp;"'!$A$6:$Au$1000"),47,0))</f>
        <v>12</v>
      </c>
      <c r="O62" s="28">
        <f ca="1">IF(N62="","",IF(N62=0,0,VLOOKUP(A62,INDIRECT("'[" &amp;Info!$B$4&amp;"]"&amp;Info!$B$5&amp;"'!$A$6:$AH$1000"),34,0)))</f>
        <v>8</v>
      </c>
      <c r="P62" s="9">
        <f ca="1">IF(N62="","",IF(N62=0,0,VLOOKUP(A62,INDIRECT("'[" &amp;Info!$B$4&amp;"]"&amp;Info!$B$5&amp;"'!$A$6:$AW$1000"),49,0)))</f>
        <v>684</v>
      </c>
      <c r="Q62" s="9">
        <f ca="1">IF(N62="","",IF(N62=0,0, VLOOKUP(A62,INDIRECT("'[" &amp;Info!$B$4&amp;"]"&amp;Info!$B$5&amp;"'!$A$6:$AX$1000"),50,0)))</f>
        <v>182</v>
      </c>
      <c r="R62" s="29">
        <f ca="1">IF(N62="","",IF(N62=0,0, VLOOKUP(A62,INDIRECT("'[" &amp;Info!$B$4&amp;"]"&amp;Info!$B$5&amp;"'!$A$6:$AY$1000"),51,0)))</f>
        <v>0</v>
      </c>
      <c r="S62" s="15">
        <f ca="1">IF(N62="","",IF(N62=0,0,VLOOKUP(A62,INDIRECT("'[" &amp;Info!$B$4&amp;"]"&amp;Info!$B$5&amp;"'!$A$6:$Ai$1000"),35,0)))</f>
        <v>0</v>
      </c>
      <c r="T62" s="7">
        <f ca="1">IF(N62="","",IF(N62=0,0, VLOOKUP(A62,INDIRECT("'[" &amp;Info!$B$4&amp;"]"&amp;Info!$B$5&amp;"'!$A$6:$Az$1000"),52,0)))</f>
        <v>0</v>
      </c>
      <c r="U62" s="7">
        <f ca="1">IF(N62="","",IF(N62=0,0, VLOOKUP(A62,INDIRECT("'[" &amp;Info!$B$4&amp;"]"&amp;Info!$B$5&amp;"'!$A$6:$BA$1000"),53,0)))</f>
        <v>0</v>
      </c>
      <c r="V62" s="16">
        <f ca="1">IF(N62="","",IF(N62=0,0, VLOOKUP(A62,INDIRECT("'[" &amp;Info!$B$4&amp;"]"&amp;Info!$B$5&amp;"'!$A$6:$BB$1000"),54,0)))</f>
        <v>0</v>
      </c>
      <c r="W62" s="17">
        <f t="shared" ca="1" si="1"/>
        <v>8</v>
      </c>
      <c r="X62" s="18">
        <f t="shared" ca="1" si="2"/>
        <v>684</v>
      </c>
      <c r="Y62" s="19">
        <f t="shared" ca="1" si="3"/>
        <v>182</v>
      </c>
      <c r="Z62" s="18">
        <f t="shared" ca="1" si="4"/>
        <v>0</v>
      </c>
    </row>
    <row r="63" spans="1:26" x14ac:dyDescent="0.25">
      <c r="A63" s="8">
        <f ca="1">IFERROR( VLOOKUP(A62+1,INDIRECT("'[" &amp;Info!$B$4&amp;"]"&amp;Info!$B$5&amp;"'!$A$6:$A$1000"),1,0),"")</f>
        <v>59</v>
      </c>
      <c r="B63" s="5" t="str">
        <f ca="1">IFERROR( IF(A63="","", VLOOKUP(A63,INDIRECT("'[" &amp;Info!$B$4&amp;"]"&amp;Info!$B$5&amp;"'!$A$6:$B$1000"),2,0)),"")</f>
        <v>C59</v>
      </c>
      <c r="C63" s="14" t="str">
        <f ca="1">IFERROR( IF(A63="","", VLOOKUP(A63,INDIRECT("'[" &amp;Info!$B$4&amp;"]"&amp;Info!$B$5&amp;"'!$A$6:$D$1000"),3,0)),"")</f>
        <v>PL8</v>
      </c>
      <c r="D63" s="31" t="str">
        <f ca="1">IF(C63="","", VLOOKUP(A63,INDIRECT("'[" &amp;Info!$B$4&amp;"]"&amp;Info!$B$5&amp;"'!$A$6:$T$1000"),20,0))</f>
        <v>SUS303Cu</v>
      </c>
      <c r="E63" s="6" t="str">
        <f ca="1">IF(D63="","", VLOOKUP(A63,INDIRECT("'[" &amp;Info!$B$4&amp;"]"&amp;Info!$B$5&amp;"'!$A$6:$U$1000"),21,0))</f>
        <v>ME</v>
      </c>
      <c r="F63" s="6" t="str">
        <f ca="1">IF(D63="","", VLOOKUP(A63,INDIRECT("'[" &amp;Info!$B$4&amp;"]"&amp;Info!$B$5&amp;"'!$A$6:$U$1000"),21,0))</f>
        <v>ME</v>
      </c>
      <c r="G63" s="6">
        <f ca="1">IF(D63="","", VLOOKUP(A63,INDIRECT("'[" &amp;Info!$B$4&amp;"]"&amp;Info!$B$5&amp;"'!$A$6:$V$1000"),22,0))</f>
        <v>2.5</v>
      </c>
      <c r="H63" s="6">
        <f ca="1">IF(D63="","", VLOOKUP(A63,INDIRECT("'[" &amp;Info!$B$4&amp;"]"&amp;Info!$B$5&amp;"'!$A$6:$W$1000"),23,0))</f>
        <v>0</v>
      </c>
      <c r="I63" s="6" t="str">
        <f ca="1">LOWER( IF(D63="","", VLOOKUP(A63,INDIRECT("'[" &amp;Info!$B$4&amp;"]"&amp;Info!$B$5&amp;"'!$A$6:$y$1000"),25,0)))</f>
        <v>h9</v>
      </c>
      <c r="J63" s="6">
        <f ca="1">IF(D63="","", VLOOKUP(A63,INDIRECT("'[" &amp;Info!$B$4&amp;"]"&amp;Info!$B$5&amp;"'!$A$6:$Z$1000"),26,0))</f>
        <v>3</v>
      </c>
      <c r="K63" s="35" t="str">
        <f ca="1">IF(D63="","", VLOOKUP(A63,INDIRECT("'[" &amp;Info!$B$4&amp;"]"&amp;Info!$B$5&amp;"'!$A$6:$AA$1000"),27,0))</f>
        <v>A17</v>
      </c>
      <c r="L63" s="35">
        <f ca="1">IF(D63="","", VLOOKUP(A63,INDIRECT("'[" &amp;Info!$B$4&amp;"]"&amp;Info!$B$5&amp;"'!$A$6:$H$1000"),8,0))</f>
        <v>1.47</v>
      </c>
      <c r="M63" s="35">
        <f ca="1">IF(D63="","", VLOOKUP(A63,INDIRECT("'[" &amp;Info!$B$4&amp;"]"&amp;Info!$B$5&amp;"'!$A$6:$F$1000"),6,0))</f>
        <v>69</v>
      </c>
      <c r="N63" s="33">
        <f ca="1">IF(C63="","", VLOOKUP(A63,INDIRECT("'[" &amp;Info!$B$4&amp;"]"&amp;Info!$B$5&amp;"'!$A$6:$Au$1000"),47,0))</f>
        <v>12</v>
      </c>
      <c r="O63" s="28">
        <f ca="1">IF(N63="","",IF(N63=0,0,VLOOKUP(A63,INDIRECT("'[" &amp;Info!$B$4&amp;"]"&amp;Info!$B$5&amp;"'!$A$6:$AH$1000"),34,0)))</f>
        <v>11</v>
      </c>
      <c r="P63" s="9">
        <f ca="1">IF(N63="","",IF(N63=0,0,VLOOKUP(A63,INDIRECT("'[" &amp;Info!$B$4&amp;"]"&amp;Info!$B$5&amp;"'!$A$6:$AW$1000"),49,0)))</f>
        <v>354</v>
      </c>
      <c r="Q63" s="9">
        <f ca="1">IF(N63="","",IF(N63=0,0, VLOOKUP(A63,INDIRECT("'[" &amp;Info!$B$4&amp;"]"&amp;Info!$B$5&amp;"'!$A$6:$AX$1000"),50,0)))</f>
        <v>0</v>
      </c>
      <c r="R63" s="29">
        <f ca="1">IF(N63="","",IF(N63=0,0, VLOOKUP(A63,INDIRECT("'[" &amp;Info!$B$4&amp;"]"&amp;Info!$B$5&amp;"'!$A$6:$AY$1000"),51,0)))</f>
        <v>1159</v>
      </c>
      <c r="S63" s="15">
        <f ca="1">IF(N63="","",IF(N63=0,0,VLOOKUP(A63,INDIRECT("'[" &amp;Info!$B$4&amp;"]"&amp;Info!$B$5&amp;"'!$A$6:$Ai$1000"),35,0)))</f>
        <v>18</v>
      </c>
      <c r="T63" s="7">
        <f ca="1">IF(N63="","",IF(N63=0,0, VLOOKUP(A63,INDIRECT("'[" &amp;Info!$B$4&amp;"]"&amp;Info!$B$5&amp;"'!$A$6:$Az$1000"),52,0)))</f>
        <v>1219</v>
      </c>
      <c r="U63" s="7">
        <f ca="1">IF(N63="","",IF(N63=0,0, VLOOKUP(A63,INDIRECT("'[" &amp;Info!$B$4&amp;"]"&amp;Info!$B$5&amp;"'!$A$6:$BA$1000"),53,0)))</f>
        <v>0</v>
      </c>
      <c r="V63" s="16">
        <f ca="1">IF(N63="","",IF(N63=0,0, VLOOKUP(A63,INDIRECT("'[" &amp;Info!$B$4&amp;"]"&amp;Info!$B$5&amp;"'!$A$6:$BB$1000"),54,0)))</f>
        <v>0</v>
      </c>
      <c r="W63" s="17">
        <f t="shared" ca="1" si="1"/>
        <v>29</v>
      </c>
      <c r="X63" s="18">
        <f t="shared" ca="1" si="2"/>
        <v>1573</v>
      </c>
      <c r="Y63" s="19">
        <f t="shared" ca="1" si="3"/>
        <v>0</v>
      </c>
      <c r="Z63" s="18">
        <f t="shared" ca="1" si="4"/>
        <v>1159</v>
      </c>
    </row>
    <row r="64" spans="1:26" x14ac:dyDescent="0.25">
      <c r="A64" s="8">
        <f ca="1">IFERROR( VLOOKUP(A63+1,INDIRECT("'[" &amp;Info!$B$4&amp;"]"&amp;Info!$B$5&amp;"'!$A$6:$A$1000"),1,0),"")</f>
        <v>60</v>
      </c>
      <c r="B64" s="5" t="str">
        <f ca="1">IFERROR( IF(A64="","", VLOOKUP(A64,INDIRECT("'[" &amp;Info!$B$4&amp;"]"&amp;Info!$B$5&amp;"'!$A$6:$B$1000"),2,0)),"")</f>
        <v>C60</v>
      </c>
      <c r="C64" s="14" t="str">
        <f ca="1">IFERROR( IF(A64="","", VLOOKUP(A64,INDIRECT("'[" &amp;Info!$B$4&amp;"]"&amp;Info!$B$5&amp;"'!$A$6:$D$1000"),3,0)),"")</f>
        <v>H2140</v>
      </c>
      <c r="D64" s="31" t="str">
        <f ca="1">IF(C64="","", VLOOKUP(A64,INDIRECT("'[" &amp;Info!$B$4&amp;"]"&amp;Info!$B$5&amp;"'!$A$6:$T$1000"),20,0))</f>
        <v>C3604</v>
      </c>
      <c r="E64" s="6" t="str">
        <f ca="1">IF(D64="","", VLOOKUP(A64,INDIRECT("'[" &amp;Info!$B$4&amp;"]"&amp;Info!$B$5&amp;"'!$A$6:$U$1000"),21,0))</f>
        <v>YH</v>
      </c>
      <c r="F64" s="6" t="str">
        <f ca="1">IF(D64="","", VLOOKUP(A64,INDIRECT("'[" &amp;Info!$B$4&amp;"]"&amp;Info!$B$5&amp;"'!$A$6:$U$1000"),21,0))</f>
        <v>YH</v>
      </c>
      <c r="G64" s="6">
        <f ca="1">IF(D64="","", VLOOKUP(A64,INDIRECT("'[" &amp;Info!$B$4&amp;"]"&amp;Info!$B$5&amp;"'!$A$6:$V$1000"),22,0))</f>
        <v>6</v>
      </c>
      <c r="H64" s="6">
        <f ca="1">IF(D64="","", VLOOKUP(A64,INDIRECT("'[" &amp;Info!$B$4&amp;"]"&amp;Info!$B$5&amp;"'!$A$6:$W$1000"),23,0))</f>
        <v>0</v>
      </c>
      <c r="I64" s="6" t="str">
        <f ca="1">LOWER( IF(D64="","", VLOOKUP(A64,INDIRECT("'[" &amp;Info!$B$4&amp;"]"&amp;Info!$B$5&amp;"'!$A$6:$y$1000"),25,0)))</f>
        <v>h11</v>
      </c>
      <c r="J64" s="6">
        <f ca="1">IF(D64="","", VLOOKUP(A64,INDIRECT("'[" &amp;Info!$B$4&amp;"]"&amp;Info!$B$5&amp;"'!$A$6:$Z$1000"),26,0))</f>
        <v>3</v>
      </c>
      <c r="K64" s="35" t="str">
        <f ca="1">IF(D64="","", VLOOKUP(A64,INDIRECT("'[" &amp;Info!$B$4&amp;"]"&amp;Info!$B$5&amp;"'!$A$6:$AA$1000"),27,0))</f>
        <v>B17</v>
      </c>
      <c r="L64" s="35">
        <f ca="1">IF(D64="","", VLOOKUP(A64,INDIRECT("'[" &amp;Info!$B$4&amp;"]"&amp;Info!$B$5&amp;"'!$A$6:$H$1000"),8,0))</f>
        <v>2.915</v>
      </c>
      <c r="M64" s="35">
        <f ca="1">IF(D64="","", VLOOKUP(A64,INDIRECT("'[" &amp;Info!$B$4&amp;"]"&amp;Info!$B$5&amp;"'!$A$6:$F$1000"),6,0))</f>
        <v>98</v>
      </c>
      <c r="N64" s="33">
        <f ca="1">IF(C64="","", VLOOKUP(A64,INDIRECT("'[" &amp;Info!$B$4&amp;"]"&amp;Info!$B$5&amp;"'!$A$6:$Au$1000"),47,0))</f>
        <v>12</v>
      </c>
      <c r="O64" s="28">
        <f ca="1">IF(N64="","",IF(N64=0,0,VLOOKUP(A64,INDIRECT("'[" &amp;Info!$B$4&amp;"]"&amp;Info!$B$5&amp;"'!$A$6:$AH$1000"),34,0)))</f>
        <v>5</v>
      </c>
      <c r="P64" s="9">
        <f ca="1">IF(N64="","",IF(N64=0,0,VLOOKUP(A64,INDIRECT("'[" &amp;Info!$B$4&amp;"]"&amp;Info!$B$5&amp;"'!$A$6:$AW$1000"),49,0)))</f>
        <v>462</v>
      </c>
      <c r="Q64" s="9">
        <f ca="1">IF(N64="","",IF(N64=0,0, VLOOKUP(A64,INDIRECT("'[" &amp;Info!$B$4&amp;"]"&amp;Info!$B$5&amp;"'!$A$6:$AX$1000"),50,0)))</f>
        <v>0</v>
      </c>
      <c r="R64" s="29">
        <f ca="1">IF(N64="","",IF(N64=0,0, VLOOKUP(A64,INDIRECT("'[" &amp;Info!$B$4&amp;"]"&amp;Info!$B$5&amp;"'!$A$6:$AY$1000"),51,0)))</f>
        <v>377</v>
      </c>
      <c r="S64" s="15">
        <f ca="1">IF(N64="","",IF(N64=0,0,VLOOKUP(A64,INDIRECT("'[" &amp;Info!$B$4&amp;"]"&amp;Info!$B$5&amp;"'!$A$6:$Ai$1000"),35,0)))</f>
        <v>0</v>
      </c>
      <c r="T64" s="7">
        <f ca="1">IF(N64="","",IF(N64=0,0, VLOOKUP(A64,INDIRECT("'[" &amp;Info!$B$4&amp;"]"&amp;Info!$B$5&amp;"'!$A$6:$Az$1000"),52,0)))</f>
        <v>0</v>
      </c>
      <c r="U64" s="7">
        <f ca="1">IF(N64="","",IF(N64=0,0, VLOOKUP(A64,INDIRECT("'[" &amp;Info!$B$4&amp;"]"&amp;Info!$B$5&amp;"'!$A$6:$BA$1000"),53,0)))</f>
        <v>0</v>
      </c>
      <c r="V64" s="16">
        <f ca="1">IF(N64="","",IF(N64=0,0, VLOOKUP(A64,INDIRECT("'[" &amp;Info!$B$4&amp;"]"&amp;Info!$B$5&amp;"'!$A$6:$BB$1000"),54,0)))</f>
        <v>0</v>
      </c>
      <c r="W64" s="17">
        <f t="shared" ca="1" si="1"/>
        <v>5</v>
      </c>
      <c r="X64" s="18">
        <f t="shared" ca="1" si="2"/>
        <v>462</v>
      </c>
      <c r="Y64" s="19">
        <f t="shared" ca="1" si="3"/>
        <v>0</v>
      </c>
      <c r="Z64" s="18">
        <f t="shared" ca="1" si="4"/>
        <v>377</v>
      </c>
    </row>
    <row r="65" spans="1:26" x14ac:dyDescent="0.25">
      <c r="A65" s="8">
        <f ca="1">IFERROR( VLOOKUP(A64+1,INDIRECT("'[" &amp;Info!$B$4&amp;"]"&amp;Info!$B$5&amp;"'!$A$6:$A$1000"),1,0),"")</f>
        <v>61</v>
      </c>
      <c r="B65" s="5" t="str">
        <f ca="1">IFERROR( IF(A65="","", VLOOKUP(A65,INDIRECT("'[" &amp;Info!$B$4&amp;"]"&amp;Info!$B$5&amp;"'!$A$6:$B$1000"),2,0)),"")</f>
        <v>C61</v>
      </c>
      <c r="C65" s="14" t="str">
        <f ca="1">IFERROR( IF(A65="","", VLOOKUP(A65,INDIRECT("'[" &amp;Info!$B$4&amp;"]"&amp;Info!$B$5&amp;"'!$A$6:$D$1000"),3,0)),"")</f>
        <v>Y17034</v>
      </c>
      <c r="D65" s="31" t="str">
        <f ca="1">IF(C65="","", VLOOKUP(A65,INDIRECT("'[" &amp;Info!$B$4&amp;"]"&amp;Info!$B$5&amp;"'!$A$6:$T$1000"),20,0))</f>
        <v>A2011-T3</v>
      </c>
      <c r="E65" s="6" t="str">
        <f ca="1">IF(D65="","", VLOOKUP(A65,INDIRECT("'[" &amp;Info!$B$4&amp;"]"&amp;Info!$B$5&amp;"'!$A$6:$U$1000"),21,0))</f>
        <v>SS</v>
      </c>
      <c r="F65" s="6" t="str">
        <f ca="1">IF(D65="","", VLOOKUP(A65,INDIRECT("'[" &amp;Info!$B$4&amp;"]"&amp;Info!$B$5&amp;"'!$A$6:$U$1000"),21,0))</f>
        <v>SS</v>
      </c>
      <c r="G65" s="6">
        <f ca="1">IF(D65="","", VLOOKUP(A65,INDIRECT("'[" &amp;Info!$B$4&amp;"]"&amp;Info!$B$5&amp;"'!$A$6:$V$1000"),22,0))</f>
        <v>9</v>
      </c>
      <c r="H65" s="6">
        <f ca="1">IF(D65="","", VLOOKUP(A65,INDIRECT("'[" &amp;Info!$B$4&amp;"]"&amp;Info!$B$5&amp;"'!$A$6:$W$1000"),23,0))</f>
        <v>0</v>
      </c>
      <c r="I65" s="6" t="str">
        <f ca="1">LOWER( IF(D65="","", VLOOKUP(A65,INDIRECT("'[" &amp;Info!$B$4&amp;"]"&amp;Info!$B$5&amp;"'!$A$6:$y$1000"),25,0)))</f>
        <v>h9</v>
      </c>
      <c r="J65" s="6">
        <f ca="1">IF(D65="","", VLOOKUP(A65,INDIRECT("'[" &amp;Info!$B$4&amp;"]"&amp;Info!$B$5&amp;"'!$A$6:$Z$1000"),26,0))</f>
        <v>3</v>
      </c>
      <c r="K65" s="35" t="str">
        <f ca="1">IF(D65="","", VLOOKUP(A65,INDIRECT("'[" &amp;Info!$B$4&amp;"]"&amp;Info!$B$5&amp;"'!$A$6:$AA$1000"),27,0))</f>
        <v>A11</v>
      </c>
      <c r="L65" s="35">
        <f ca="1">IF(D65="","", VLOOKUP(A65,INDIRECT("'[" &amp;Info!$B$4&amp;"]"&amp;Info!$B$5&amp;"'!$A$6:$H$1000"),8,0))</f>
        <v>0.56999999999999995</v>
      </c>
      <c r="M65" s="35">
        <f ca="1">IF(D65="","", VLOOKUP(A65,INDIRECT("'[" &amp;Info!$B$4&amp;"]"&amp;Info!$B$5&amp;"'!$A$6:$F$1000"),6,0))</f>
        <v>430</v>
      </c>
      <c r="N65" s="33">
        <f ca="1">IF(C65="","", VLOOKUP(A65,INDIRECT("'[" &amp;Info!$B$4&amp;"]"&amp;Info!$B$5&amp;"'!$A$6:$Au$1000"),47,0))</f>
        <v>7</v>
      </c>
      <c r="O65" s="28">
        <f ca="1">IF(N65="","",IF(N65=0,0,VLOOKUP(A65,INDIRECT("'[" &amp;Info!$B$4&amp;"]"&amp;Info!$B$5&amp;"'!$A$6:$AH$1000"),34,0)))</f>
        <v>6</v>
      </c>
      <c r="P65" s="9">
        <f ca="1">IF(N65="","",IF(N65=0,0,VLOOKUP(A65,INDIRECT("'[" &amp;Info!$B$4&amp;"]"&amp;Info!$B$5&amp;"'!$A$6:$AW$1000"),49,0)))</f>
        <v>2205</v>
      </c>
      <c r="Q65" s="9">
        <f ca="1">IF(N65="","",IF(N65=0,0, VLOOKUP(A65,INDIRECT("'[" &amp;Info!$B$4&amp;"]"&amp;Info!$B$5&amp;"'!$A$6:$AX$1000"),50,0)))</f>
        <v>0</v>
      </c>
      <c r="R65" s="29">
        <f ca="1">IF(N65="","",IF(N65=0,0, VLOOKUP(A65,INDIRECT("'[" &amp;Info!$B$4&amp;"]"&amp;Info!$B$5&amp;"'!$A$6:$AY$1000"),51,0)))</f>
        <v>0</v>
      </c>
      <c r="S65" s="15">
        <f ca="1">IF(N65="","",IF(N65=0,0,VLOOKUP(A65,INDIRECT("'[" &amp;Info!$B$4&amp;"]"&amp;Info!$B$5&amp;"'!$A$6:$Ai$1000"),35,0)))</f>
        <v>5</v>
      </c>
      <c r="T65" s="7">
        <f ca="1">IF(N65="","",IF(N65=0,0, VLOOKUP(A65,INDIRECT("'[" &amp;Info!$B$4&amp;"]"&amp;Info!$B$5&amp;"'!$A$6:$Az$1000"),52,0)))</f>
        <v>2166</v>
      </c>
      <c r="U65" s="7">
        <f ca="1">IF(N65="","",IF(N65=0,0, VLOOKUP(A65,INDIRECT("'[" &amp;Info!$B$4&amp;"]"&amp;Info!$B$5&amp;"'!$A$6:$BA$1000"),53,0)))</f>
        <v>0</v>
      </c>
      <c r="V65" s="16">
        <f ca="1">IF(N65="","",IF(N65=0,0, VLOOKUP(A65,INDIRECT("'[" &amp;Info!$B$4&amp;"]"&amp;Info!$B$5&amp;"'!$A$6:$BB$1000"),54,0)))</f>
        <v>0</v>
      </c>
      <c r="W65" s="17">
        <f t="shared" ca="1" si="1"/>
        <v>11</v>
      </c>
      <c r="X65" s="18">
        <f t="shared" ca="1" si="2"/>
        <v>4371</v>
      </c>
      <c r="Y65" s="19">
        <f t="shared" ca="1" si="3"/>
        <v>0</v>
      </c>
      <c r="Z65" s="18">
        <f t="shared" ca="1" si="4"/>
        <v>0</v>
      </c>
    </row>
    <row r="66" spans="1:26" x14ac:dyDescent="0.25">
      <c r="A66" s="8">
        <f ca="1">IFERROR( VLOOKUP(A65+1,INDIRECT("'[" &amp;Info!$B$4&amp;"]"&amp;Info!$B$5&amp;"'!$A$6:$A$1000"),1,0),"")</f>
        <v>62</v>
      </c>
      <c r="B66" s="5" t="str">
        <f ca="1">IFERROR( IF(A66="","", VLOOKUP(A66,INDIRECT("'[" &amp;Info!$B$4&amp;"]"&amp;Info!$B$5&amp;"'!$A$6:$B$1000"),2,0)),"")</f>
        <v>C62</v>
      </c>
      <c r="C66" s="14" t="str">
        <f ca="1">IFERROR( IF(A66="","", VLOOKUP(A66,INDIRECT("'[" &amp;Info!$B$4&amp;"]"&amp;Info!$B$5&amp;"'!$A$6:$D$1000"),3,0)),"")</f>
        <v>F3 105A</v>
      </c>
      <c r="D66" s="31" t="str">
        <f ca="1">IF(C66="","", VLOOKUP(A66,INDIRECT("'[" &amp;Info!$B$4&amp;"]"&amp;Info!$B$5&amp;"'!$A$6:$T$1000"),20,0))</f>
        <v>A6063-T5</v>
      </c>
      <c r="E66" s="6" t="str">
        <f ca="1">IF(D66="","", VLOOKUP(A66,INDIRECT("'[" &amp;Info!$B$4&amp;"]"&amp;Info!$B$5&amp;"'!$A$6:$U$1000"),21,0))</f>
        <v>GW</v>
      </c>
      <c r="F66" s="6" t="str">
        <f ca="1">IF(D66="","", VLOOKUP(A66,INDIRECT("'[" &amp;Info!$B$4&amp;"]"&amp;Info!$B$5&amp;"'!$A$6:$U$1000"),21,0))</f>
        <v>GW</v>
      </c>
      <c r="G66" s="6">
        <f ca="1">IF(D66="","", VLOOKUP(A66,INDIRECT("'[" &amp;Info!$B$4&amp;"]"&amp;Info!$B$5&amp;"'!$A$6:$V$1000"),22,0))</f>
        <v>6</v>
      </c>
      <c r="H66" s="6">
        <f ca="1">IF(D66="","", VLOOKUP(A66,INDIRECT("'[" &amp;Info!$B$4&amp;"]"&amp;Info!$B$5&amp;"'!$A$6:$W$1000"),23,0))</f>
        <v>0</v>
      </c>
      <c r="I66" s="6" t="str">
        <f ca="1">LOWER( IF(D66="","", VLOOKUP(A66,INDIRECT("'[" &amp;Info!$B$4&amp;"]"&amp;Info!$B$5&amp;"'!$A$6:$y$1000"),25,0)))</f>
        <v>h9</v>
      </c>
      <c r="J66" s="6">
        <f ca="1">IF(D66="","", VLOOKUP(A66,INDIRECT("'[" &amp;Info!$B$4&amp;"]"&amp;Info!$B$5&amp;"'!$A$6:$Z$1000"),26,0))</f>
        <v>3</v>
      </c>
      <c r="K66" s="35" t="str">
        <f ca="1">IF(D66="","", VLOOKUP(A66,INDIRECT("'[" &amp;Info!$B$4&amp;"]"&amp;Info!$B$5&amp;"'!$A$6:$AA$1000"),27,0))</f>
        <v>D17</v>
      </c>
      <c r="L66" s="35">
        <f ca="1">IF(D66="","", VLOOKUP(A66,INDIRECT("'[" &amp;Info!$B$4&amp;"]"&amp;Info!$B$5&amp;"'!$A$6:$H$1000"),8,0))</f>
        <v>0.154</v>
      </c>
      <c r="M66" s="35">
        <f ca="1">IF(D66="","", VLOOKUP(A66,INDIRECT("'[" &amp;Info!$B$4&amp;"]"&amp;Info!$B$5&amp;"'!$A$6:$F$1000"),6,0))</f>
        <v>243</v>
      </c>
      <c r="N66" s="33">
        <f ca="1">IF(C66="","", VLOOKUP(A66,INDIRECT("'[" &amp;Info!$B$4&amp;"]"&amp;Info!$B$5&amp;"'!$A$6:$Au$1000"),47,0))</f>
        <v>5</v>
      </c>
      <c r="O66" s="28">
        <f ca="1">IF(N66="","",IF(N66=0,0,VLOOKUP(A66,INDIRECT("'[" &amp;Info!$B$4&amp;"]"&amp;Info!$B$5&amp;"'!$A$6:$AH$1000"),34,0)))</f>
        <v>7</v>
      </c>
      <c r="P66" s="9">
        <f ca="1">IF(N66="","",IF(N66=0,0,VLOOKUP(A66,INDIRECT("'[" &amp;Info!$B$4&amp;"]"&amp;Info!$B$5&amp;"'!$A$6:$AW$1000"),49,0)))</f>
        <v>1246</v>
      </c>
      <c r="Q66" s="9">
        <f ca="1">IF(N66="","",IF(N66=0,0, VLOOKUP(A66,INDIRECT("'[" &amp;Info!$B$4&amp;"]"&amp;Info!$B$5&amp;"'!$A$6:$AX$1000"),50,0)))</f>
        <v>448</v>
      </c>
      <c r="R66" s="29">
        <f ca="1">IF(N66="","",IF(N66=0,0, VLOOKUP(A66,INDIRECT("'[" &amp;Info!$B$4&amp;"]"&amp;Info!$B$5&amp;"'!$A$6:$AY$1000"),51,0)))</f>
        <v>0</v>
      </c>
      <c r="S66" s="15">
        <f ca="1">IF(N66="","",IF(N66=0,0,VLOOKUP(A66,INDIRECT("'[" &amp;Info!$B$4&amp;"]"&amp;Info!$B$5&amp;"'!$A$6:$Ai$1000"),35,0)))</f>
        <v>0</v>
      </c>
      <c r="T66" s="7">
        <f ca="1">IF(N66="","",IF(N66=0,0, VLOOKUP(A66,INDIRECT("'[" &amp;Info!$B$4&amp;"]"&amp;Info!$B$5&amp;"'!$A$6:$Az$1000"),52,0)))</f>
        <v>0</v>
      </c>
      <c r="U66" s="7">
        <f ca="1">IF(N66="","",IF(N66=0,0, VLOOKUP(A66,INDIRECT("'[" &amp;Info!$B$4&amp;"]"&amp;Info!$B$5&amp;"'!$A$6:$BA$1000"),53,0)))</f>
        <v>0</v>
      </c>
      <c r="V66" s="16">
        <f ca="1">IF(N66="","",IF(N66=0,0, VLOOKUP(A66,INDIRECT("'[" &amp;Info!$B$4&amp;"]"&amp;Info!$B$5&amp;"'!$A$6:$BB$1000"),54,0)))</f>
        <v>0</v>
      </c>
      <c r="W66" s="17">
        <f t="shared" ca="1" si="1"/>
        <v>7</v>
      </c>
      <c r="X66" s="18">
        <f t="shared" ca="1" si="2"/>
        <v>1246</v>
      </c>
      <c r="Y66" s="19">
        <f t="shared" ca="1" si="3"/>
        <v>448</v>
      </c>
      <c r="Z66" s="18">
        <f t="shared" ca="1" si="4"/>
        <v>0</v>
      </c>
    </row>
    <row r="67" spans="1:26" x14ac:dyDescent="0.25">
      <c r="A67" s="8">
        <f ca="1">IFERROR( VLOOKUP(A66+1,INDIRECT("'[" &amp;Info!$B$4&amp;"]"&amp;Info!$B$5&amp;"'!$A$6:$A$1000"),1,0),"")</f>
        <v>63</v>
      </c>
      <c r="B67" s="5" t="str">
        <f ca="1">IFERROR( IF(A67="","", VLOOKUP(A67,INDIRECT("'[" &amp;Info!$B$4&amp;"]"&amp;Info!$B$5&amp;"'!$A$6:$B$1000"),2,0)),"")</f>
        <v>C63</v>
      </c>
      <c r="C67" s="14" t="str">
        <f ca="1">IFERROR( IF(A67="","", VLOOKUP(A67,INDIRECT("'[" &amp;Info!$B$4&amp;"]"&amp;Info!$B$5&amp;"'!$A$6:$D$1000"),3,0)),"")</f>
        <v>3201</v>
      </c>
      <c r="D67" s="31" t="str">
        <f ca="1">IF(C67="","", VLOOKUP(A67,INDIRECT("'[" &amp;Info!$B$4&amp;"]"&amp;Info!$B$5&amp;"'!$A$6:$T$1000"),20,0))</f>
        <v>C2700</v>
      </c>
      <c r="E67" s="6" t="str">
        <f ca="1">IF(D67="","", VLOOKUP(A67,INDIRECT("'[" &amp;Info!$B$4&amp;"]"&amp;Info!$B$5&amp;"'!$A$6:$U$1000"),21,0))</f>
        <v>YH</v>
      </c>
      <c r="F67" s="6" t="str">
        <f ca="1">IF(D67="","", VLOOKUP(A67,INDIRECT("'[" &amp;Info!$B$4&amp;"]"&amp;Info!$B$5&amp;"'!$A$6:$U$1000"),21,0))</f>
        <v>YH</v>
      </c>
      <c r="G67" s="6">
        <f ca="1">IF(D67="","", VLOOKUP(A67,INDIRECT("'[" &amp;Info!$B$4&amp;"]"&amp;Info!$B$5&amp;"'!$A$6:$V$1000"),22,0))</f>
        <v>5.5</v>
      </c>
      <c r="H67" s="6">
        <f ca="1">IF(D67="","", VLOOKUP(A67,INDIRECT("'[" &amp;Info!$B$4&amp;"]"&amp;Info!$B$5&amp;"'!$A$6:$W$1000"),23,0))</f>
        <v>0</v>
      </c>
      <c r="I67" s="6" t="str">
        <f ca="1">LOWER( IF(D67="","", VLOOKUP(A67,INDIRECT("'[" &amp;Info!$B$4&amp;"]"&amp;Info!$B$5&amp;"'!$A$6:$y$1000"),25,0)))</f>
        <v>h9</v>
      </c>
      <c r="J67" s="6">
        <f ca="1">IF(D67="","", VLOOKUP(A67,INDIRECT("'[" &amp;Info!$B$4&amp;"]"&amp;Info!$B$5&amp;"'!$A$6:$Z$1000"),26,0))</f>
        <v>3</v>
      </c>
      <c r="K67" s="35" t="str">
        <f ca="1">IF(D67="","", VLOOKUP(A67,INDIRECT("'[" &amp;Info!$B$4&amp;"]"&amp;Info!$B$5&amp;"'!$A$6:$AA$1000"),27,0))</f>
        <v>A17</v>
      </c>
      <c r="L67" s="35">
        <f ca="1">IF(D67="","", VLOOKUP(A67,INDIRECT("'[" &amp;Info!$B$4&amp;"]"&amp;Info!$B$5&amp;"'!$A$6:$H$1000"),8,0))</f>
        <v>1.0760000000000001</v>
      </c>
      <c r="M67" s="35">
        <f ca="1">IF(D67="","", VLOOKUP(A67,INDIRECT("'[" &amp;Info!$B$4&amp;"]"&amp;Info!$B$5&amp;"'!$A$6:$F$1000"),6,0))</f>
        <v>167</v>
      </c>
      <c r="N67" s="33">
        <f ca="1">IF(C67="","", VLOOKUP(A67,INDIRECT("'[" &amp;Info!$B$4&amp;"]"&amp;Info!$B$5&amp;"'!$A$6:$Au$1000"),47,0))</f>
        <v>12</v>
      </c>
      <c r="O67" s="28">
        <f ca="1">IF(N67="","",IF(N67=0,0,VLOOKUP(A67,INDIRECT("'[" &amp;Info!$B$4&amp;"]"&amp;Info!$B$5&amp;"'!$A$6:$AH$1000"),34,0)))</f>
        <v>10</v>
      </c>
      <c r="P67" s="9">
        <f ca="1">IF(N67="","",IF(N67=0,0,VLOOKUP(A67,INDIRECT("'[" &amp;Info!$B$4&amp;"]"&amp;Info!$B$5&amp;"'!$A$6:$AW$1000"),49,0)))</f>
        <v>1513</v>
      </c>
      <c r="Q67" s="9">
        <f ca="1">IF(N67="","",IF(N67=0,0, VLOOKUP(A67,INDIRECT("'[" &amp;Info!$B$4&amp;"]"&amp;Info!$B$5&amp;"'!$A$6:$AX$1000"),50,0)))</f>
        <v>0</v>
      </c>
      <c r="R67" s="29">
        <f ca="1">IF(N67="","",IF(N67=0,0, VLOOKUP(A67,INDIRECT("'[" &amp;Info!$B$4&amp;"]"&amp;Info!$B$5&amp;"'!$A$6:$AY$1000"),51,0)))</f>
        <v>0</v>
      </c>
      <c r="S67" s="15">
        <f ca="1">IF(N67="","",IF(N67=0,0,VLOOKUP(A67,INDIRECT("'[" &amp;Info!$B$4&amp;"]"&amp;Info!$B$5&amp;"'!$A$6:$Ai$1000"),35,0)))</f>
        <v>9</v>
      </c>
      <c r="T67" s="7">
        <f ca="1">IF(N67="","",IF(N67=0,0, VLOOKUP(A67,INDIRECT("'[" &amp;Info!$B$4&amp;"]"&amp;Info!$B$5&amp;"'!$A$6:$Az$1000"),52,0)))</f>
        <v>1385</v>
      </c>
      <c r="U67" s="7">
        <f ca="1">IF(N67="","",IF(N67=0,0, VLOOKUP(A67,INDIRECT("'[" &amp;Info!$B$4&amp;"]"&amp;Info!$B$5&amp;"'!$A$6:$BA$1000"),53,0)))</f>
        <v>0</v>
      </c>
      <c r="V67" s="16">
        <f ca="1">IF(N67="","",IF(N67=0,0, VLOOKUP(A67,INDIRECT("'[" &amp;Info!$B$4&amp;"]"&amp;Info!$B$5&amp;"'!$A$6:$BB$1000"),54,0)))</f>
        <v>0</v>
      </c>
      <c r="W67" s="17">
        <f t="shared" ca="1" si="1"/>
        <v>19</v>
      </c>
      <c r="X67" s="18">
        <f t="shared" ca="1" si="2"/>
        <v>2898</v>
      </c>
      <c r="Y67" s="19">
        <f t="shared" ca="1" si="3"/>
        <v>0</v>
      </c>
      <c r="Z67" s="18">
        <f t="shared" ca="1" si="4"/>
        <v>0</v>
      </c>
    </row>
    <row r="68" spans="1:26" x14ac:dyDescent="0.25">
      <c r="A68" s="8">
        <f ca="1">IFERROR( VLOOKUP(A67+1,INDIRECT("'[" &amp;Info!$B$4&amp;"]"&amp;Info!$B$5&amp;"'!$A$6:$A$1000"),1,0),"")</f>
        <v>64</v>
      </c>
      <c r="B68" s="5" t="str">
        <f ca="1">IFERROR( IF(A68="","", VLOOKUP(A68,INDIRECT("'[" &amp;Info!$B$4&amp;"]"&amp;Info!$B$5&amp;"'!$A$6:$B$1000"),2,0)),"")</f>
        <v>C64</v>
      </c>
      <c r="C68" s="14" t="str">
        <f ca="1">IFERROR( IF(A68="","", VLOOKUP(A68,INDIRECT("'[" &amp;Info!$B$4&amp;"]"&amp;Info!$B$5&amp;"'!$A$6:$D$1000"),3,0)),"")</f>
        <v>B25 - 0000</v>
      </c>
      <c r="D68" s="31" t="str">
        <f ca="1">IF(C68="","", VLOOKUP(A68,INDIRECT("'[" &amp;Info!$B$4&amp;"]"&amp;Info!$B$5&amp;"'!$A$6:$T$1000"),20,0))</f>
        <v>C3604</v>
      </c>
      <c r="E68" s="6" t="str">
        <f ca="1">IF(D68="","", VLOOKUP(A68,INDIRECT("'[" &amp;Info!$B$4&amp;"]"&amp;Info!$B$5&amp;"'!$A$6:$U$1000"),21,0))</f>
        <v>GH</v>
      </c>
      <c r="F68" s="6" t="str">
        <f ca="1">IF(D68="","", VLOOKUP(A68,INDIRECT("'[" &amp;Info!$B$4&amp;"]"&amp;Info!$B$5&amp;"'!$A$6:$U$1000"),21,0))</f>
        <v>GH</v>
      </c>
      <c r="G68" s="6">
        <f ca="1">IF(D68="","", VLOOKUP(A68,INDIRECT("'[" &amp;Info!$B$4&amp;"]"&amp;Info!$B$5&amp;"'!$A$6:$V$1000"),22,0))</f>
        <v>5</v>
      </c>
      <c r="H68" s="6">
        <f ca="1">IF(D68="","", VLOOKUP(A68,INDIRECT("'[" &amp;Info!$B$4&amp;"]"&amp;Info!$B$5&amp;"'!$A$6:$W$1000"),23,0))</f>
        <v>0</v>
      </c>
      <c r="I68" s="6" t="str">
        <f ca="1">LOWER( IF(D68="","", VLOOKUP(A68,INDIRECT("'[" &amp;Info!$B$4&amp;"]"&amp;Info!$B$5&amp;"'!$A$6:$y$1000"),25,0)))</f>
        <v>h9</v>
      </c>
      <c r="J68" s="6">
        <f ca="1">IF(D68="","", VLOOKUP(A68,INDIRECT("'[" &amp;Info!$B$4&amp;"]"&amp;Info!$B$5&amp;"'!$A$6:$Z$1000"),26,0))</f>
        <v>2.5</v>
      </c>
      <c r="K68" s="35" t="str">
        <f ca="1">IF(D68="","", VLOOKUP(A68,INDIRECT("'[" &amp;Info!$B$4&amp;"]"&amp;Info!$B$5&amp;"'!$A$6:$AA$1000"),27,0))</f>
        <v>B17</v>
      </c>
      <c r="L68" s="35">
        <f ca="1">IF(D68="","", VLOOKUP(A68,INDIRECT("'[" &amp;Info!$B$4&amp;"]"&amp;Info!$B$5&amp;"'!$A$6:$H$1000"),8,0))</f>
        <v>1.8859999999999999</v>
      </c>
      <c r="M68" s="35">
        <f ca="1">IF(D68="","", VLOOKUP(A68,INDIRECT("'[" &amp;Info!$B$4&amp;"]"&amp;Info!$B$5&amp;"'!$A$6:$F$1000"),6,0))</f>
        <v>94</v>
      </c>
      <c r="N68" s="33">
        <f ca="1">IF(C68="","", VLOOKUP(A68,INDIRECT("'[" &amp;Info!$B$4&amp;"]"&amp;Info!$B$5&amp;"'!$A$6:$Au$1000"),47,0))</f>
        <v>7</v>
      </c>
      <c r="O68" s="28">
        <f ca="1">IF(N68="","",IF(N68=0,0,VLOOKUP(A68,INDIRECT("'[" &amp;Info!$B$4&amp;"]"&amp;Info!$B$5&amp;"'!$A$6:$AH$1000"),34,0)))</f>
        <v>10</v>
      </c>
      <c r="P68" s="9">
        <f ca="1">IF(N68="","",IF(N68=0,0,VLOOKUP(A68,INDIRECT("'[" &amp;Info!$B$4&amp;"]"&amp;Info!$B$5&amp;"'!$A$6:$AW$1000"),49,0)))</f>
        <v>750</v>
      </c>
      <c r="Q68" s="9">
        <f ca="1">IF(N68="","",IF(N68=0,0, VLOOKUP(A68,INDIRECT("'[" &amp;Info!$B$4&amp;"]"&amp;Info!$B$5&amp;"'!$A$6:$AX$1000"),50,0)))</f>
        <v>0</v>
      </c>
      <c r="R68" s="29">
        <f ca="1">IF(N68="","",IF(N68=0,0, VLOOKUP(A68,INDIRECT("'[" &amp;Info!$B$4&amp;"]"&amp;Info!$B$5&amp;"'!$A$6:$AY$1000"),51,0)))</f>
        <v>0</v>
      </c>
      <c r="S68" s="15">
        <f ca="1">IF(N68="","",IF(N68=0,0,VLOOKUP(A68,INDIRECT("'[" &amp;Info!$B$4&amp;"]"&amp;Info!$B$5&amp;"'!$A$6:$Ai$1000"),35,0)))</f>
        <v>16</v>
      </c>
      <c r="T68" s="7">
        <f ca="1">IF(N68="","",IF(N68=0,0, VLOOKUP(A68,INDIRECT("'[" &amp;Info!$B$4&amp;"]"&amp;Info!$B$5&amp;"'!$A$6:$Az$1000"),52,0)))</f>
        <v>1165</v>
      </c>
      <c r="U68" s="7">
        <f ca="1">IF(N68="","",IF(N68=0,0, VLOOKUP(A68,INDIRECT("'[" &amp;Info!$B$4&amp;"]"&amp;Info!$B$5&amp;"'!$A$6:$BA$1000"),53,0)))</f>
        <v>24</v>
      </c>
      <c r="V68" s="16">
        <f ca="1">IF(N68="","",IF(N68=0,0, VLOOKUP(A68,INDIRECT("'[" &amp;Info!$B$4&amp;"]"&amp;Info!$B$5&amp;"'!$A$6:$BB$1000"),54,0)))</f>
        <v>0</v>
      </c>
      <c r="W68" s="17">
        <f t="shared" ca="1" si="1"/>
        <v>26</v>
      </c>
      <c r="X68" s="18">
        <f t="shared" ca="1" si="2"/>
        <v>1915</v>
      </c>
      <c r="Y68" s="19">
        <f t="shared" ca="1" si="3"/>
        <v>24</v>
      </c>
      <c r="Z68" s="18">
        <f t="shared" ca="1" si="4"/>
        <v>0</v>
      </c>
    </row>
    <row r="69" spans="1:26" x14ac:dyDescent="0.25">
      <c r="A69" s="8">
        <f ca="1">IFERROR( VLOOKUP(A68+1,INDIRECT("'[" &amp;Info!$B$4&amp;"]"&amp;Info!$B$5&amp;"'!$A$6:$A$1000"),1,0),"")</f>
        <v>65</v>
      </c>
      <c r="B69" s="5" t="str">
        <f ca="1">IFERROR( IF(A69="","", VLOOKUP(A69,INDIRECT("'[" &amp;Info!$B$4&amp;"]"&amp;Info!$B$5&amp;"'!$A$6:$B$1000"),2,0)),"")</f>
        <v>C65</v>
      </c>
      <c r="C69" s="14" t="str">
        <f ca="1">IFERROR( IF(A69="","", VLOOKUP(A69,INDIRECT("'[" &amp;Info!$B$4&amp;"]"&amp;Info!$B$5&amp;"'!$A$6:$D$1000"),3,0)),"")</f>
        <v>Y16800</v>
      </c>
      <c r="D69" s="31" t="str">
        <f ca="1">IF(C69="","", VLOOKUP(A69,INDIRECT("'[" &amp;Info!$B$4&amp;"]"&amp;Info!$B$5&amp;"'!$A$6:$T$1000"),20,0))</f>
        <v>A2011-T3</v>
      </c>
      <c r="E69" s="6" t="str">
        <f ca="1">IF(D69="","", VLOOKUP(A69,INDIRECT("'[" &amp;Info!$B$4&amp;"]"&amp;Info!$B$5&amp;"'!$A$6:$U$1000"),21,0))</f>
        <v>TV</v>
      </c>
      <c r="F69" s="6" t="str">
        <f ca="1">IF(D69="","", VLOOKUP(A69,INDIRECT("'[" &amp;Info!$B$4&amp;"]"&amp;Info!$B$5&amp;"'!$A$6:$U$1000"),21,0))</f>
        <v>TV</v>
      </c>
      <c r="G69" s="6">
        <f ca="1">IF(D69="","", VLOOKUP(A69,INDIRECT("'[" &amp;Info!$B$4&amp;"]"&amp;Info!$B$5&amp;"'!$A$6:$V$1000"),22,0))</f>
        <v>6.35</v>
      </c>
      <c r="H69" s="6">
        <f ca="1">IF(D69="","", VLOOKUP(A69,INDIRECT("'[" &amp;Info!$B$4&amp;"]"&amp;Info!$B$5&amp;"'!$A$6:$W$1000"),23,0))</f>
        <v>0</v>
      </c>
      <c r="I69" s="6" t="str">
        <f ca="1">LOWER( IF(D69="","", VLOOKUP(A69,INDIRECT("'[" &amp;Info!$B$4&amp;"]"&amp;Info!$B$5&amp;"'!$A$6:$y$1000"),25,0)))</f>
        <v>h9</v>
      </c>
      <c r="J69" s="6">
        <f ca="1">IF(D69="","", VLOOKUP(A69,INDIRECT("'[" &amp;Info!$B$4&amp;"]"&amp;Info!$B$5&amp;"'!$A$6:$Z$1000"),26,0))</f>
        <v>3</v>
      </c>
      <c r="K69" s="35" t="str">
        <f ca="1">IF(D69="","", VLOOKUP(A69,INDIRECT("'[" &amp;Info!$B$4&amp;"]"&amp;Info!$B$5&amp;"'!$A$6:$AA$1000"),27,0))</f>
        <v>B16</v>
      </c>
      <c r="L69" s="35">
        <f ca="1">IF(D69="","", VLOOKUP(A69,INDIRECT("'[" &amp;Info!$B$4&amp;"]"&amp;Info!$B$5&amp;"'!$A$6:$H$1000"),8,0))</f>
        <v>0.42</v>
      </c>
      <c r="M69" s="35">
        <f ca="1">IF(D69="","", VLOOKUP(A69,INDIRECT("'[" &amp;Info!$B$4&amp;"]"&amp;Info!$B$5&amp;"'!$A$6:$F$1000"),6,0))</f>
        <v>441</v>
      </c>
      <c r="N69" s="33">
        <f ca="1">IF(C69="","", VLOOKUP(A69,INDIRECT("'[" &amp;Info!$B$4&amp;"]"&amp;Info!$B$5&amp;"'!$A$6:$Au$1000"),47,0))</f>
        <v>7</v>
      </c>
      <c r="O69" s="28">
        <f ca="1">IF(N69="","",IF(N69=0,0,VLOOKUP(A69,INDIRECT("'[" &amp;Info!$B$4&amp;"]"&amp;Info!$B$5&amp;"'!$A$6:$AH$1000"),34,0)))</f>
        <v>6</v>
      </c>
      <c r="P69" s="9">
        <f ca="1">IF(N69="","",IF(N69=0,0,VLOOKUP(A69,INDIRECT("'[" &amp;Info!$B$4&amp;"]"&amp;Info!$B$5&amp;"'!$A$6:$AW$1000"),49,0)))</f>
        <v>2638</v>
      </c>
      <c r="Q69" s="9">
        <f ca="1">IF(N69="","",IF(N69=0,0, VLOOKUP(A69,INDIRECT("'[" &amp;Info!$B$4&amp;"]"&amp;Info!$B$5&amp;"'!$A$6:$AX$1000"),50,0)))</f>
        <v>0</v>
      </c>
      <c r="R69" s="29">
        <f ca="1">IF(N69="","",IF(N69=0,0, VLOOKUP(A69,INDIRECT("'[" &amp;Info!$B$4&amp;"]"&amp;Info!$B$5&amp;"'!$A$6:$AY$1000"),51,0)))</f>
        <v>0</v>
      </c>
      <c r="S69" s="15">
        <f ca="1">IF(N69="","",IF(N69=0,0,VLOOKUP(A69,INDIRECT("'[" &amp;Info!$B$4&amp;"]"&amp;Info!$B$5&amp;"'!$A$6:$Ai$1000"),35,0)))</f>
        <v>5</v>
      </c>
      <c r="T69" s="7">
        <f ca="1">IF(N69="","",IF(N69=0,0, VLOOKUP(A69,INDIRECT("'[" &amp;Info!$B$4&amp;"]"&amp;Info!$B$5&amp;"'!$A$6:$Az$1000"),52,0)))</f>
        <v>2247</v>
      </c>
      <c r="U69" s="7">
        <f ca="1">IF(N69="","",IF(N69=0,0, VLOOKUP(A69,INDIRECT("'[" &amp;Info!$B$4&amp;"]"&amp;Info!$B$5&amp;"'!$A$6:$BA$1000"),53,0)))</f>
        <v>0</v>
      </c>
      <c r="V69" s="16">
        <f ca="1">IF(N69="","",IF(N69=0,0, VLOOKUP(A69,INDIRECT("'[" &amp;Info!$B$4&amp;"]"&amp;Info!$B$5&amp;"'!$A$6:$BB$1000"),54,0)))</f>
        <v>0</v>
      </c>
      <c r="W69" s="17">
        <f t="shared" ca="1" si="1"/>
        <v>11</v>
      </c>
      <c r="X69" s="18">
        <f t="shared" ca="1" si="2"/>
        <v>4885</v>
      </c>
      <c r="Y69" s="19">
        <f t="shared" ca="1" si="3"/>
        <v>0</v>
      </c>
      <c r="Z69" s="18">
        <f t="shared" ca="1" si="4"/>
        <v>0</v>
      </c>
    </row>
    <row r="70" spans="1:26" x14ac:dyDescent="0.25">
      <c r="A70" s="8">
        <f ca="1">IFERROR( VLOOKUP(A69+1,INDIRECT("'[" &amp;Info!$B$4&amp;"]"&amp;Info!$B$5&amp;"'!$A$6:$A$1000"),1,0),"")</f>
        <v>66</v>
      </c>
      <c r="B70" s="5" t="str">
        <f ca="1">IFERROR( IF(A70="","", VLOOKUP(A70,INDIRECT("'[" &amp;Info!$B$4&amp;"]"&amp;Info!$B$5&amp;"'!$A$6:$B$1000"),2,0)),"")</f>
        <v>C66</v>
      </c>
      <c r="C70" s="14" t="str">
        <f ca="1">IFERROR( IF(A70="","", VLOOKUP(A70,INDIRECT("'[" &amp;Info!$B$4&amp;"]"&amp;Info!$B$5&amp;"'!$A$6:$D$1000"),3,0)),"")</f>
        <v>F3 105A</v>
      </c>
      <c r="D70" s="31" t="str">
        <f ca="1">IF(C70="","", VLOOKUP(A70,INDIRECT("'[" &amp;Info!$B$4&amp;"]"&amp;Info!$B$5&amp;"'!$A$6:$T$1000"),20,0))</f>
        <v>A6063-T5</v>
      </c>
      <c r="E70" s="6" t="str">
        <f ca="1">IF(D70="","", VLOOKUP(A70,INDIRECT("'[" &amp;Info!$B$4&amp;"]"&amp;Info!$B$5&amp;"'!$A$6:$U$1000"),21,0))</f>
        <v>GW</v>
      </c>
      <c r="F70" s="6" t="str">
        <f ca="1">IF(D70="","", VLOOKUP(A70,INDIRECT("'[" &amp;Info!$B$4&amp;"]"&amp;Info!$B$5&amp;"'!$A$6:$U$1000"),21,0))</f>
        <v>GW</v>
      </c>
      <c r="G70" s="6">
        <f ca="1">IF(D70="","", VLOOKUP(A70,INDIRECT("'[" &amp;Info!$B$4&amp;"]"&amp;Info!$B$5&amp;"'!$A$6:$V$1000"),22,0))</f>
        <v>6</v>
      </c>
      <c r="H70" s="6">
        <f ca="1">IF(D70="","", VLOOKUP(A70,INDIRECT("'[" &amp;Info!$B$4&amp;"]"&amp;Info!$B$5&amp;"'!$A$6:$W$1000"),23,0))</f>
        <v>0</v>
      </c>
      <c r="I70" s="6" t="str">
        <f ca="1">LOWER( IF(D70="","", VLOOKUP(A70,INDIRECT("'[" &amp;Info!$B$4&amp;"]"&amp;Info!$B$5&amp;"'!$A$6:$y$1000"),25,0)))</f>
        <v>h9</v>
      </c>
      <c r="J70" s="6">
        <f ca="1">IF(D70="","", VLOOKUP(A70,INDIRECT("'[" &amp;Info!$B$4&amp;"]"&amp;Info!$B$5&amp;"'!$A$6:$Z$1000"),26,0))</f>
        <v>3</v>
      </c>
      <c r="K70" s="35" t="str">
        <f ca="1">IF(D70="","", VLOOKUP(A70,INDIRECT("'[" &amp;Info!$B$4&amp;"]"&amp;Info!$B$5&amp;"'!$A$6:$AA$1000"),27,0))</f>
        <v>D17</v>
      </c>
      <c r="L70" s="35">
        <f ca="1">IF(D70="","", VLOOKUP(A70,INDIRECT("'[" &amp;Info!$B$4&amp;"]"&amp;Info!$B$5&amp;"'!$A$6:$H$1000"),8,0))</f>
        <v>0.154</v>
      </c>
      <c r="M70" s="35">
        <f ca="1">IF(D70="","", VLOOKUP(A70,INDIRECT("'[" &amp;Info!$B$4&amp;"]"&amp;Info!$B$5&amp;"'!$A$6:$F$1000"),6,0))</f>
        <v>243</v>
      </c>
      <c r="N70" s="33">
        <f ca="1">IF(C70="","", VLOOKUP(A70,INDIRECT("'[" &amp;Info!$B$4&amp;"]"&amp;Info!$B$5&amp;"'!$A$6:$Au$1000"),47,0))</f>
        <v>5</v>
      </c>
      <c r="O70" s="28">
        <f ca="1">IF(N70="","",IF(N70=0,0,VLOOKUP(A70,INDIRECT("'[" &amp;Info!$B$4&amp;"]"&amp;Info!$B$5&amp;"'!$A$6:$AH$1000"),34,0)))</f>
        <v>2</v>
      </c>
      <c r="P70" s="9">
        <f ca="1">IF(N70="","",IF(N70=0,0,VLOOKUP(A70,INDIRECT("'[" &amp;Info!$B$4&amp;"]"&amp;Info!$B$5&amp;"'!$A$6:$AW$1000"),49,0)))</f>
        <v>461</v>
      </c>
      <c r="Q70" s="9">
        <f ca="1">IF(N70="","",IF(N70=0,0, VLOOKUP(A70,INDIRECT("'[" &amp;Info!$B$4&amp;"]"&amp;Info!$B$5&amp;"'!$A$6:$AX$1000"),50,0)))</f>
        <v>0</v>
      </c>
      <c r="R70" s="29">
        <f ca="1">IF(N70="","",IF(N70=0,0, VLOOKUP(A70,INDIRECT("'[" &amp;Info!$B$4&amp;"]"&amp;Info!$B$5&amp;"'!$A$6:$AY$1000"),51,0)))</f>
        <v>0</v>
      </c>
      <c r="S70" s="15">
        <f ca="1">IF(N70="","",IF(N70=0,0,VLOOKUP(A70,INDIRECT("'[" &amp;Info!$B$4&amp;"]"&amp;Info!$B$5&amp;"'!$A$6:$Ai$1000"),35,0)))</f>
        <v>0</v>
      </c>
      <c r="T70" s="7">
        <f ca="1">IF(N70="","",IF(N70=0,0, VLOOKUP(A70,INDIRECT("'[" &amp;Info!$B$4&amp;"]"&amp;Info!$B$5&amp;"'!$A$6:$Az$1000"),52,0)))</f>
        <v>0</v>
      </c>
      <c r="U70" s="7">
        <f ca="1">IF(N70="","",IF(N70=0,0, VLOOKUP(A70,INDIRECT("'[" &amp;Info!$B$4&amp;"]"&amp;Info!$B$5&amp;"'!$A$6:$BA$1000"),53,0)))</f>
        <v>0</v>
      </c>
      <c r="V70" s="16">
        <f ca="1">IF(N70="","",IF(N70=0,0, VLOOKUP(A70,INDIRECT("'[" &amp;Info!$B$4&amp;"]"&amp;Info!$B$5&amp;"'!$A$6:$BB$1000"),54,0)))</f>
        <v>0</v>
      </c>
      <c r="W70" s="17">
        <f t="shared" ref="W70:W133" ca="1" si="5">IF(N71="","",O70+S70)</f>
        <v>2</v>
      </c>
      <c r="X70" s="18">
        <f t="shared" ref="X70:X133" ca="1" si="6">IF(N71="","",P70+T70)</f>
        <v>461</v>
      </c>
      <c r="Y70" s="19">
        <f t="shared" ref="Y70:Y133" ca="1" si="7">IF(N71="","",Q70+U70)</f>
        <v>0</v>
      </c>
      <c r="Z70" s="18">
        <f t="shared" ref="Z70:Z133" ca="1" si="8">IF(N71="","",R70+V70)</f>
        <v>0</v>
      </c>
    </row>
    <row r="71" spans="1:26" x14ac:dyDescent="0.25">
      <c r="A71" s="8">
        <f ca="1">IFERROR( VLOOKUP(A70+1,INDIRECT("'[" &amp;Info!$B$4&amp;"]"&amp;Info!$B$5&amp;"'!$A$6:$A$1000"),1,0),"")</f>
        <v>67</v>
      </c>
      <c r="B71" s="5" t="str">
        <f ca="1">IFERROR( IF(A71="","", VLOOKUP(A71,INDIRECT("'[" &amp;Info!$B$4&amp;"]"&amp;Info!$B$5&amp;"'!$A$6:$B$1000"),2,0)),"")</f>
        <v>C67</v>
      </c>
      <c r="C71" s="14" t="str">
        <f ca="1">IFERROR( IF(A71="","", VLOOKUP(A71,INDIRECT("'[" &amp;Info!$B$4&amp;"]"&amp;Info!$B$5&amp;"'!$A$6:$D$1000"),3,0)),"")</f>
        <v>F3104</v>
      </c>
      <c r="D71" s="31" t="str">
        <f ca="1">IF(C71="","", VLOOKUP(A71,INDIRECT("'[" &amp;Info!$B$4&amp;"]"&amp;Info!$B$5&amp;"'!$A$6:$T$1000"),20,0))</f>
        <v>SUS303Cu</v>
      </c>
      <c r="E71" s="6" t="str">
        <f ca="1">IF(D71="","", VLOOKUP(A71,INDIRECT("'[" &amp;Info!$B$4&amp;"]"&amp;Info!$B$5&amp;"'!$A$6:$U$1000"),21,0))</f>
        <v>ME</v>
      </c>
      <c r="F71" s="6" t="str">
        <f ca="1">IF(D71="","", VLOOKUP(A71,INDIRECT("'[" &amp;Info!$B$4&amp;"]"&amp;Info!$B$5&amp;"'!$A$6:$U$1000"),21,0))</f>
        <v>ME</v>
      </c>
      <c r="G71" s="6">
        <f ca="1">IF(D71="","", VLOOKUP(A71,INDIRECT("'[" &amp;Info!$B$4&amp;"]"&amp;Info!$B$5&amp;"'!$A$6:$V$1000"),22,0))</f>
        <v>2.5</v>
      </c>
      <c r="H71" s="6">
        <f ca="1">IF(D71="","", VLOOKUP(A71,INDIRECT("'[" &amp;Info!$B$4&amp;"]"&amp;Info!$B$5&amp;"'!$A$6:$W$1000"),23,0))</f>
        <v>0</v>
      </c>
      <c r="I71" s="6" t="str">
        <f ca="1">LOWER( IF(D71="","", VLOOKUP(A71,INDIRECT("'[" &amp;Info!$B$4&amp;"]"&amp;Info!$B$5&amp;"'!$A$6:$y$1000"),25,0)))</f>
        <v>h9</v>
      </c>
      <c r="J71" s="6">
        <f ca="1">IF(D71="","", VLOOKUP(A71,INDIRECT("'[" &amp;Info!$B$4&amp;"]"&amp;Info!$B$5&amp;"'!$A$6:$Z$1000"),26,0))</f>
        <v>3</v>
      </c>
      <c r="K71" s="35" t="str">
        <f ca="1">IF(D71="","", VLOOKUP(A71,INDIRECT("'[" &amp;Info!$B$4&amp;"]"&amp;Info!$B$5&amp;"'!$A$6:$AA$1000"),27,0))</f>
        <v>A17</v>
      </c>
      <c r="L71" s="35">
        <f ca="1">IF(D71="","", VLOOKUP(A71,INDIRECT("'[" &amp;Info!$B$4&amp;"]"&amp;Info!$B$5&amp;"'!$A$6:$H$1000"),8,0))</f>
        <v>0.03</v>
      </c>
      <c r="M71" s="35">
        <f ca="1">IF(D71="","", VLOOKUP(A71,INDIRECT("'[" &amp;Info!$B$4&amp;"]"&amp;Info!$B$5&amp;"'!$A$6:$F$1000"),6,0))</f>
        <v>394</v>
      </c>
      <c r="N71" s="33">
        <f ca="1">IF(C71="","", VLOOKUP(A71,INDIRECT("'[" &amp;Info!$B$4&amp;"]"&amp;Info!$B$5&amp;"'!$A$6:$Au$1000"),47,0))</f>
        <v>0</v>
      </c>
      <c r="O71" s="28">
        <f ca="1">IF(N71="","",IF(N71=0,0,VLOOKUP(A71,INDIRECT("'[" &amp;Info!$B$4&amp;"]"&amp;Info!$B$5&amp;"'!$A$6:$AH$1000"),34,0)))</f>
        <v>0</v>
      </c>
      <c r="P71" s="9">
        <f ca="1">IF(N71="","",IF(N71=0,0,VLOOKUP(A71,INDIRECT("'[" &amp;Info!$B$4&amp;"]"&amp;Info!$B$5&amp;"'!$A$6:$AW$1000"),49,0)))</f>
        <v>0</v>
      </c>
      <c r="Q71" s="9">
        <f ca="1">IF(N71="","",IF(N71=0,0, VLOOKUP(A71,INDIRECT("'[" &amp;Info!$B$4&amp;"]"&amp;Info!$B$5&amp;"'!$A$6:$AX$1000"),50,0)))</f>
        <v>0</v>
      </c>
      <c r="R71" s="29">
        <f ca="1">IF(N71="","",IF(N71=0,0, VLOOKUP(A71,INDIRECT("'[" &amp;Info!$B$4&amp;"]"&amp;Info!$B$5&amp;"'!$A$6:$AY$1000"),51,0)))</f>
        <v>0</v>
      </c>
      <c r="S71" s="15">
        <f ca="1">IF(N71="","",IF(N71=0,0,VLOOKUP(A71,INDIRECT("'[" &amp;Info!$B$4&amp;"]"&amp;Info!$B$5&amp;"'!$A$6:$Ai$1000"),35,0)))</f>
        <v>0</v>
      </c>
      <c r="T71" s="7">
        <f ca="1">IF(N71="","",IF(N71=0,0, VLOOKUP(A71,INDIRECT("'[" &amp;Info!$B$4&amp;"]"&amp;Info!$B$5&amp;"'!$A$6:$Az$1000"),52,0)))</f>
        <v>0</v>
      </c>
      <c r="U71" s="7">
        <f ca="1">IF(N71="","",IF(N71=0,0, VLOOKUP(A71,INDIRECT("'[" &amp;Info!$B$4&amp;"]"&amp;Info!$B$5&amp;"'!$A$6:$BA$1000"),53,0)))</f>
        <v>0</v>
      </c>
      <c r="V71" s="16">
        <f ca="1">IF(N71="","",IF(N71=0,0, VLOOKUP(A71,INDIRECT("'[" &amp;Info!$B$4&amp;"]"&amp;Info!$B$5&amp;"'!$A$6:$BB$1000"),54,0)))</f>
        <v>0</v>
      </c>
      <c r="W71" s="17">
        <f t="shared" ca="1" si="5"/>
        <v>0</v>
      </c>
      <c r="X71" s="18">
        <f t="shared" ca="1" si="6"/>
        <v>0</v>
      </c>
      <c r="Y71" s="19">
        <f t="shared" ca="1" si="7"/>
        <v>0</v>
      </c>
      <c r="Z71" s="18">
        <f t="shared" ca="1" si="8"/>
        <v>0</v>
      </c>
    </row>
    <row r="72" spans="1:26" x14ac:dyDescent="0.25">
      <c r="A72" s="8">
        <f ca="1">IFERROR( VLOOKUP(A71+1,INDIRECT("'[" &amp;Info!$B$4&amp;"]"&amp;Info!$B$5&amp;"'!$A$6:$A$1000"),1,0),"")</f>
        <v>68</v>
      </c>
      <c r="B72" s="5" t="str">
        <f ca="1">IFERROR( IF(A72="","", VLOOKUP(A72,INDIRECT("'[" &amp;Info!$B$4&amp;"]"&amp;Info!$B$5&amp;"'!$A$6:$B$1000"),2,0)),"")</f>
        <v>C68</v>
      </c>
      <c r="C72" s="14" t="str">
        <f ca="1">IFERROR( IF(A72="","", VLOOKUP(A72,INDIRECT("'[" &amp;Info!$B$4&amp;"]"&amp;Info!$B$5&amp;"'!$A$6:$D$1000"),3,0)),"")</f>
        <v>H2213</v>
      </c>
      <c r="D72" s="31" t="str">
        <f ca="1">IF(C72="","", VLOOKUP(A72,INDIRECT("'[" &amp;Info!$B$4&amp;"]"&amp;Info!$B$5&amp;"'!$A$6:$T$1000"),20,0))</f>
        <v>C3604</v>
      </c>
      <c r="E72" s="6" t="str">
        <f ca="1">IF(D72="","", VLOOKUP(A72,INDIRECT("'[" &amp;Info!$B$4&amp;"]"&amp;Info!$B$5&amp;"'!$A$6:$U$1000"),21,0))</f>
        <v>YH</v>
      </c>
      <c r="F72" s="6" t="str">
        <f ca="1">IF(D72="","", VLOOKUP(A72,INDIRECT("'[" &amp;Info!$B$4&amp;"]"&amp;Info!$B$5&amp;"'!$A$6:$U$1000"),21,0))</f>
        <v>YH</v>
      </c>
      <c r="G72" s="6">
        <f ca="1">IF(D72="","", VLOOKUP(A72,INDIRECT("'[" &amp;Info!$B$4&amp;"]"&amp;Info!$B$5&amp;"'!$A$6:$V$1000"),22,0))</f>
        <v>7</v>
      </c>
      <c r="H72" s="6">
        <f ca="1">IF(D72="","", VLOOKUP(A72,INDIRECT("'[" &amp;Info!$B$4&amp;"]"&amp;Info!$B$5&amp;"'!$A$6:$W$1000"),23,0))</f>
        <v>0</v>
      </c>
      <c r="I72" s="6" t="str">
        <f ca="1">LOWER( IF(D72="","", VLOOKUP(A72,INDIRECT("'[" &amp;Info!$B$4&amp;"]"&amp;Info!$B$5&amp;"'!$A$6:$y$1000"),25,0)))</f>
        <v>h11</v>
      </c>
      <c r="J72" s="6">
        <f ca="1">IF(D72="","", VLOOKUP(A72,INDIRECT("'[" &amp;Info!$B$4&amp;"]"&amp;Info!$B$5&amp;"'!$A$6:$Z$1000"),26,0))</f>
        <v>3</v>
      </c>
      <c r="K72" s="35" t="str">
        <f ca="1">IF(D72="","", VLOOKUP(A72,INDIRECT("'[" &amp;Info!$B$4&amp;"]"&amp;Info!$B$5&amp;"'!$A$6:$AA$1000"),27,0))</f>
        <v>B17</v>
      </c>
      <c r="L72" s="35">
        <f ca="1">IF(D72="","", VLOOKUP(A72,INDIRECT("'[" &amp;Info!$B$4&amp;"]"&amp;Info!$B$5&amp;"'!$A$6:$H$1000"),8,0))</f>
        <v>5.53</v>
      </c>
      <c r="M72" s="35">
        <f ca="1">IF(D72="","", VLOOKUP(A72,INDIRECT("'[" &amp;Info!$B$4&amp;"]"&amp;Info!$B$5&amp;"'!$A$6:$F$1000"),6,0))</f>
        <v>101</v>
      </c>
      <c r="N72" s="33">
        <f ca="1">IF(C72="","", VLOOKUP(A72,INDIRECT("'[" &amp;Info!$B$4&amp;"]"&amp;Info!$B$5&amp;"'!$A$6:$Au$1000"),47,0))</f>
        <v>12</v>
      </c>
      <c r="O72" s="28">
        <f ca="1">IF(N72="","",IF(N72=0,0,VLOOKUP(A72,INDIRECT("'[" &amp;Info!$B$4&amp;"]"&amp;Info!$B$5&amp;"'!$A$6:$AH$1000"),34,0)))</f>
        <v>18</v>
      </c>
      <c r="P72" s="9">
        <f ca="1">IF(N72="","",IF(N72=0,0,VLOOKUP(A72,INDIRECT("'[" &amp;Info!$B$4&amp;"]"&amp;Info!$B$5&amp;"'!$A$6:$AW$1000"),49,0)))</f>
        <v>1593</v>
      </c>
      <c r="Q72" s="9">
        <f ca="1">IF(N72="","",IF(N72=0,0, VLOOKUP(A72,INDIRECT("'[" &amp;Info!$B$4&amp;"]"&amp;Info!$B$5&amp;"'!$A$6:$AX$1000"),50,0)))</f>
        <v>0</v>
      </c>
      <c r="R72" s="29">
        <f ca="1">IF(N72="","",IF(N72=0,0, VLOOKUP(A72,INDIRECT("'[" &amp;Info!$B$4&amp;"]"&amp;Info!$B$5&amp;"'!$A$6:$AY$1000"),51,0)))</f>
        <v>403</v>
      </c>
      <c r="S72" s="15">
        <f ca="1">IF(N72="","",IF(N72=0,0,VLOOKUP(A72,INDIRECT("'[" &amp;Info!$B$4&amp;"]"&amp;Info!$B$5&amp;"'!$A$6:$Ai$1000"),35,0)))</f>
        <v>15</v>
      </c>
      <c r="T72" s="7">
        <f ca="1">IF(N72="","",IF(N72=0,0, VLOOKUP(A72,INDIRECT("'[" &amp;Info!$B$4&amp;"]"&amp;Info!$B$5&amp;"'!$A$6:$Az$1000"),52,0)))</f>
        <v>1547</v>
      </c>
      <c r="U72" s="7">
        <f ca="1">IF(N72="","",IF(N72=0,0, VLOOKUP(A72,INDIRECT("'[" &amp;Info!$B$4&amp;"]"&amp;Info!$B$5&amp;"'!$A$6:$BA$1000"),53,0)))</f>
        <v>0</v>
      </c>
      <c r="V72" s="16">
        <f ca="1">IF(N72="","",IF(N72=0,0, VLOOKUP(A72,INDIRECT("'[" &amp;Info!$B$4&amp;"]"&amp;Info!$B$5&amp;"'!$A$6:$BB$1000"),54,0)))</f>
        <v>0</v>
      </c>
      <c r="W72" s="17">
        <f t="shared" ca="1" si="5"/>
        <v>33</v>
      </c>
      <c r="X72" s="18">
        <f t="shared" ca="1" si="6"/>
        <v>3140</v>
      </c>
      <c r="Y72" s="19">
        <f t="shared" ca="1" si="7"/>
        <v>0</v>
      </c>
      <c r="Z72" s="18">
        <f t="shared" ca="1" si="8"/>
        <v>403</v>
      </c>
    </row>
    <row r="73" spans="1:26" x14ac:dyDescent="0.25">
      <c r="A73" s="8">
        <f ca="1">IFERROR( VLOOKUP(A72+1,INDIRECT("'[" &amp;Info!$B$4&amp;"]"&amp;Info!$B$5&amp;"'!$A$6:$A$1000"),1,0),"")</f>
        <v>69</v>
      </c>
      <c r="B73" s="5" t="str">
        <f ca="1">IFERROR( IF(A73="","", VLOOKUP(A73,INDIRECT("'[" &amp;Info!$B$4&amp;"]"&amp;Info!$B$5&amp;"'!$A$6:$B$1000"),2,0)),"")</f>
        <v>C69</v>
      </c>
      <c r="C73" s="14" t="str">
        <f ca="1">IFERROR( IF(A73="","", VLOOKUP(A73,INDIRECT("'[" &amp;Info!$B$4&amp;"]"&amp;Info!$B$5&amp;"'!$A$6:$D$1000"),3,0)),"")</f>
        <v>F3 105A</v>
      </c>
      <c r="D73" s="31" t="str">
        <f ca="1">IF(C73="","", VLOOKUP(A73,INDIRECT("'[" &amp;Info!$B$4&amp;"]"&amp;Info!$B$5&amp;"'!$A$6:$T$1000"),20,0))</f>
        <v>A6063-T5</v>
      </c>
      <c r="E73" s="6" t="str">
        <f ca="1">IF(D73="","", VLOOKUP(A73,INDIRECT("'[" &amp;Info!$B$4&amp;"]"&amp;Info!$B$5&amp;"'!$A$6:$U$1000"),21,0))</f>
        <v>GW</v>
      </c>
      <c r="F73" s="6" t="str">
        <f ca="1">IF(D73="","", VLOOKUP(A73,INDIRECT("'[" &amp;Info!$B$4&amp;"]"&amp;Info!$B$5&amp;"'!$A$6:$U$1000"),21,0))</f>
        <v>GW</v>
      </c>
      <c r="G73" s="6">
        <f ca="1">IF(D73="","", VLOOKUP(A73,INDIRECT("'[" &amp;Info!$B$4&amp;"]"&amp;Info!$B$5&amp;"'!$A$6:$V$1000"),22,0))</f>
        <v>6</v>
      </c>
      <c r="H73" s="6">
        <f ca="1">IF(D73="","", VLOOKUP(A73,INDIRECT("'[" &amp;Info!$B$4&amp;"]"&amp;Info!$B$5&amp;"'!$A$6:$W$1000"),23,0))</f>
        <v>0</v>
      </c>
      <c r="I73" s="6" t="str">
        <f ca="1">LOWER( IF(D73="","", VLOOKUP(A73,INDIRECT("'[" &amp;Info!$B$4&amp;"]"&amp;Info!$B$5&amp;"'!$A$6:$y$1000"),25,0)))</f>
        <v>h9</v>
      </c>
      <c r="J73" s="6">
        <f ca="1">IF(D73="","", VLOOKUP(A73,INDIRECT("'[" &amp;Info!$B$4&amp;"]"&amp;Info!$B$5&amp;"'!$A$6:$Z$1000"),26,0))</f>
        <v>3</v>
      </c>
      <c r="K73" s="35" t="str">
        <f ca="1">IF(D73="","", VLOOKUP(A73,INDIRECT("'[" &amp;Info!$B$4&amp;"]"&amp;Info!$B$5&amp;"'!$A$6:$AA$1000"),27,0))</f>
        <v>D17</v>
      </c>
      <c r="L73" s="35">
        <f ca="1">IF(D73="","", VLOOKUP(A73,INDIRECT("'[" &amp;Info!$B$4&amp;"]"&amp;Info!$B$5&amp;"'!$A$6:$H$1000"),8,0))</f>
        <v>0.154</v>
      </c>
      <c r="M73" s="35">
        <f ca="1">IF(D73="","", VLOOKUP(A73,INDIRECT("'[" &amp;Info!$B$4&amp;"]"&amp;Info!$B$5&amp;"'!$A$6:$F$1000"),6,0))</f>
        <v>243</v>
      </c>
      <c r="N73" s="33">
        <f ca="1">IF(C73="","", VLOOKUP(A73,INDIRECT("'[" &amp;Info!$B$4&amp;"]"&amp;Info!$B$5&amp;"'!$A$6:$Au$1000"),47,0))</f>
        <v>5</v>
      </c>
      <c r="O73" s="28">
        <f ca="1">IF(N73="","",IF(N73=0,0,VLOOKUP(A73,INDIRECT("'[" &amp;Info!$B$4&amp;"]"&amp;Info!$B$5&amp;"'!$A$6:$AH$1000"),34,0)))</f>
        <v>7</v>
      </c>
      <c r="P73" s="9">
        <f ca="1">IF(N73="","",IF(N73=0,0,VLOOKUP(A73,INDIRECT("'[" &amp;Info!$B$4&amp;"]"&amp;Info!$B$5&amp;"'!$A$6:$AW$1000"),49,0)))</f>
        <v>1688</v>
      </c>
      <c r="Q73" s="9">
        <f ca="1">IF(N73="","",IF(N73=0,0, VLOOKUP(A73,INDIRECT("'[" &amp;Info!$B$4&amp;"]"&amp;Info!$B$5&amp;"'!$A$6:$AX$1000"),50,0)))</f>
        <v>0</v>
      </c>
      <c r="R73" s="29">
        <f ca="1">IF(N73="","",IF(N73=0,0, VLOOKUP(A73,INDIRECT("'[" &amp;Info!$B$4&amp;"]"&amp;Info!$B$5&amp;"'!$A$6:$AY$1000"),51,0)))</f>
        <v>0</v>
      </c>
      <c r="S73" s="15">
        <f ca="1">IF(N73="","",IF(N73=0,0,VLOOKUP(A73,INDIRECT("'[" &amp;Info!$B$4&amp;"]"&amp;Info!$B$5&amp;"'!$A$6:$Ai$1000"),35,0)))</f>
        <v>3</v>
      </c>
      <c r="T73" s="7">
        <f ca="1">IF(N73="","",IF(N73=0,0, VLOOKUP(A73,INDIRECT("'[" &amp;Info!$B$4&amp;"]"&amp;Info!$B$5&amp;"'!$A$6:$Az$1000"),52,0)))</f>
        <v>1038</v>
      </c>
      <c r="U73" s="7">
        <f ca="1">IF(N73="","",IF(N73=0,0, VLOOKUP(A73,INDIRECT("'[" &amp;Info!$B$4&amp;"]"&amp;Info!$B$5&amp;"'!$A$6:$BA$1000"),53,0)))</f>
        <v>0</v>
      </c>
      <c r="V73" s="16">
        <f ca="1">IF(N73="","",IF(N73=0,0, VLOOKUP(A73,INDIRECT("'[" &amp;Info!$B$4&amp;"]"&amp;Info!$B$5&amp;"'!$A$6:$BB$1000"),54,0)))</f>
        <v>0</v>
      </c>
      <c r="W73" s="17">
        <f t="shared" ca="1" si="5"/>
        <v>10</v>
      </c>
      <c r="X73" s="18">
        <f t="shared" ca="1" si="6"/>
        <v>2726</v>
      </c>
      <c r="Y73" s="19">
        <f t="shared" ca="1" si="7"/>
        <v>0</v>
      </c>
      <c r="Z73" s="18">
        <f t="shared" ca="1" si="8"/>
        <v>0</v>
      </c>
    </row>
    <row r="74" spans="1:26" x14ac:dyDescent="0.25">
      <c r="A74" s="8">
        <f ca="1">IFERROR( VLOOKUP(A73+1,INDIRECT("'[" &amp;Info!$B$4&amp;"]"&amp;Info!$B$5&amp;"'!$A$6:$A$1000"),1,0),"")</f>
        <v>70</v>
      </c>
      <c r="B74" s="5" t="str">
        <f ca="1">IFERROR( IF(A74="","", VLOOKUP(A74,INDIRECT("'[" &amp;Info!$B$4&amp;"]"&amp;Info!$B$5&amp;"'!$A$6:$B$1000"),2,0)),"")</f>
        <v>C70</v>
      </c>
      <c r="C74" s="14" t="str">
        <f ca="1">IFERROR( IF(A74="","", VLOOKUP(A74,INDIRECT("'[" &amp;Info!$B$4&amp;"]"&amp;Info!$B$5&amp;"'!$A$6:$D$1000"),3,0)),"")</f>
        <v>F3104</v>
      </c>
      <c r="D74" s="31" t="str">
        <f ca="1">IF(C74="","", VLOOKUP(A74,INDIRECT("'[" &amp;Info!$B$4&amp;"]"&amp;Info!$B$5&amp;"'!$A$6:$T$1000"),20,0))</f>
        <v>SUS303Cu</v>
      </c>
      <c r="E74" s="6" t="str">
        <f ca="1">IF(D74="","", VLOOKUP(A74,INDIRECT("'[" &amp;Info!$B$4&amp;"]"&amp;Info!$B$5&amp;"'!$A$6:$U$1000"),21,0))</f>
        <v>ME</v>
      </c>
      <c r="F74" s="6" t="str">
        <f ca="1">IF(D74="","", VLOOKUP(A74,INDIRECT("'[" &amp;Info!$B$4&amp;"]"&amp;Info!$B$5&amp;"'!$A$6:$U$1000"),21,0))</f>
        <v>ME</v>
      </c>
      <c r="G74" s="6">
        <f ca="1">IF(D74="","", VLOOKUP(A74,INDIRECT("'[" &amp;Info!$B$4&amp;"]"&amp;Info!$B$5&amp;"'!$A$6:$V$1000"),22,0))</f>
        <v>2.5</v>
      </c>
      <c r="H74" s="6">
        <f ca="1">IF(D74="","", VLOOKUP(A74,INDIRECT("'[" &amp;Info!$B$4&amp;"]"&amp;Info!$B$5&amp;"'!$A$6:$W$1000"),23,0))</f>
        <v>0</v>
      </c>
      <c r="I74" s="6" t="str">
        <f ca="1">LOWER( IF(D74="","", VLOOKUP(A74,INDIRECT("'[" &amp;Info!$B$4&amp;"]"&amp;Info!$B$5&amp;"'!$A$6:$y$1000"),25,0)))</f>
        <v>h9</v>
      </c>
      <c r="J74" s="6">
        <f ca="1">IF(D74="","", VLOOKUP(A74,INDIRECT("'[" &amp;Info!$B$4&amp;"]"&amp;Info!$B$5&amp;"'!$A$6:$Z$1000"),26,0))</f>
        <v>3</v>
      </c>
      <c r="K74" s="35" t="str">
        <f ca="1">IF(D74="","", VLOOKUP(A74,INDIRECT("'[" &amp;Info!$B$4&amp;"]"&amp;Info!$B$5&amp;"'!$A$6:$AA$1000"),27,0))</f>
        <v>A17</v>
      </c>
      <c r="L74" s="35">
        <f ca="1">IF(D74="","", VLOOKUP(A74,INDIRECT("'[" &amp;Info!$B$4&amp;"]"&amp;Info!$B$5&amp;"'!$A$6:$H$1000"),8,0))</f>
        <v>0.03</v>
      </c>
      <c r="M74" s="35">
        <f ca="1">IF(D74="","", VLOOKUP(A74,INDIRECT("'[" &amp;Info!$B$4&amp;"]"&amp;Info!$B$5&amp;"'!$A$6:$F$1000"),6,0))</f>
        <v>394</v>
      </c>
      <c r="N74" s="33">
        <f ca="1">IF(C74="","", VLOOKUP(A74,INDIRECT("'[" &amp;Info!$B$4&amp;"]"&amp;Info!$B$5&amp;"'!$A$6:$Au$1000"),47,0))</f>
        <v>4</v>
      </c>
      <c r="O74" s="28">
        <f ca="1">IF(N74="","",IF(N74=0,0,VLOOKUP(A74,INDIRECT("'[" &amp;Info!$B$4&amp;"]"&amp;Info!$B$5&amp;"'!$A$6:$AH$1000"),34,0)))</f>
        <v>2</v>
      </c>
      <c r="P74" s="9">
        <f ca="1">IF(N74="","",IF(N74=0,0,VLOOKUP(A74,INDIRECT("'[" &amp;Info!$B$4&amp;"]"&amp;Info!$B$5&amp;"'!$A$6:$AW$1000"),49,0)))</f>
        <v>500</v>
      </c>
      <c r="Q74" s="9">
        <f ca="1">IF(N74="","",IF(N74=0,0, VLOOKUP(A74,INDIRECT("'[" &amp;Info!$B$4&amp;"]"&amp;Info!$B$5&amp;"'!$A$6:$AX$1000"),50,0)))</f>
        <v>0</v>
      </c>
      <c r="R74" s="29">
        <f ca="1">IF(N74="","",IF(N74=0,0, VLOOKUP(A74,INDIRECT("'[" &amp;Info!$B$4&amp;"]"&amp;Info!$B$5&amp;"'!$A$6:$AY$1000"),51,0)))</f>
        <v>0</v>
      </c>
      <c r="S74" s="15">
        <f ca="1">IF(N74="","",IF(N74=0,0,VLOOKUP(A74,INDIRECT("'[" &amp;Info!$B$4&amp;"]"&amp;Info!$B$5&amp;"'!$A$6:$Ai$1000"),35,0)))</f>
        <v>2</v>
      </c>
      <c r="T74" s="7">
        <f ca="1">IF(N74="","",IF(N74=0,0, VLOOKUP(A74,INDIRECT("'[" &amp;Info!$B$4&amp;"]"&amp;Info!$B$5&amp;"'!$A$6:$Az$1000"),52,0)))</f>
        <v>866</v>
      </c>
      <c r="U74" s="7">
        <f ca="1">IF(N74="","",IF(N74=0,0, VLOOKUP(A74,INDIRECT("'[" &amp;Info!$B$4&amp;"]"&amp;Info!$B$5&amp;"'!$A$6:$BA$1000"),53,0)))</f>
        <v>0</v>
      </c>
      <c r="V74" s="16">
        <f ca="1">IF(N74="","",IF(N74=0,0, VLOOKUP(A74,INDIRECT("'[" &amp;Info!$B$4&amp;"]"&amp;Info!$B$5&amp;"'!$A$6:$BB$1000"),54,0)))</f>
        <v>0</v>
      </c>
      <c r="W74" s="17">
        <f t="shared" ca="1" si="5"/>
        <v>4</v>
      </c>
      <c r="X74" s="18">
        <f t="shared" ca="1" si="6"/>
        <v>1366</v>
      </c>
      <c r="Y74" s="19">
        <f t="shared" ca="1" si="7"/>
        <v>0</v>
      </c>
      <c r="Z74" s="18">
        <f t="shared" ca="1" si="8"/>
        <v>0</v>
      </c>
    </row>
    <row r="75" spans="1:26" x14ac:dyDescent="0.25">
      <c r="A75" s="8">
        <f ca="1">IFERROR( VLOOKUP(A74+1,INDIRECT("'[" &amp;Info!$B$4&amp;"]"&amp;Info!$B$5&amp;"'!$A$6:$A$1000"),1,0),"")</f>
        <v>71</v>
      </c>
      <c r="B75" s="5" t="str">
        <f ca="1">IFERROR( IF(A75="","", VLOOKUP(A75,INDIRECT("'[" &amp;Info!$B$4&amp;"]"&amp;Info!$B$5&amp;"'!$A$6:$B$1000"),2,0)),"")</f>
        <v>C71</v>
      </c>
      <c r="C75" s="14" t="str">
        <f ca="1">IFERROR( IF(A75="","", VLOOKUP(A75,INDIRECT("'[" &amp;Info!$B$4&amp;"]"&amp;Info!$B$5&amp;"'!$A$6:$D$1000"),3,0)),"")</f>
        <v>GN5-9100</v>
      </c>
      <c r="D75" s="31" t="str">
        <f ca="1">IF(C75="","", VLOOKUP(A75,INDIRECT("'[" &amp;Info!$B$4&amp;"]"&amp;Info!$B$5&amp;"'!$A$6:$T$1000"),20,0))</f>
        <v>S18C</v>
      </c>
      <c r="E75" s="6" t="str">
        <f ca="1">IF(D75="","", VLOOKUP(A75,INDIRECT("'[" &amp;Info!$B$4&amp;"]"&amp;Info!$B$5&amp;"'!$A$6:$U$1000"),21,0))</f>
        <v>TV</v>
      </c>
      <c r="F75" s="6" t="str">
        <f ca="1">IF(D75="","", VLOOKUP(A75,INDIRECT("'[" &amp;Info!$B$4&amp;"]"&amp;Info!$B$5&amp;"'!$A$6:$U$1000"),21,0))</f>
        <v>TV</v>
      </c>
      <c r="G75" s="6">
        <f ca="1">IF(D75="","", VLOOKUP(A75,INDIRECT("'[" &amp;Info!$B$4&amp;"]"&amp;Info!$B$5&amp;"'!$A$6:$V$1000"),22,0))</f>
        <v>2</v>
      </c>
      <c r="H75" s="6">
        <f ca="1">IF(D75="","", VLOOKUP(A75,INDIRECT("'[" &amp;Info!$B$4&amp;"]"&amp;Info!$B$5&amp;"'!$A$6:$W$1000"),23,0))</f>
        <v>0</v>
      </c>
      <c r="I75" s="6" t="str">
        <f ca="1">LOWER( IF(D75="","", VLOOKUP(A75,INDIRECT("'[" &amp;Info!$B$4&amp;"]"&amp;Info!$B$5&amp;"'!$A$6:$y$1000"),25,0)))</f>
        <v>h9</v>
      </c>
      <c r="J75" s="6">
        <f ca="1">IF(D75="","", VLOOKUP(A75,INDIRECT("'[" &amp;Info!$B$4&amp;"]"&amp;Info!$B$5&amp;"'!$A$6:$Z$1000"),26,0))</f>
        <v>2</v>
      </c>
      <c r="K75" s="35" t="str">
        <f ca="1">IF(D75="","", VLOOKUP(A75,INDIRECT("'[" &amp;Info!$B$4&amp;"]"&amp;Info!$B$5&amp;"'!$A$6:$AA$1000"),27,0))</f>
        <v>A14</v>
      </c>
      <c r="L75" s="35">
        <f ca="1">IF(D75="","", VLOOKUP(A75,INDIRECT("'[" &amp;Info!$B$4&amp;"]"&amp;Info!$B$5&amp;"'!$A$6:$H$1000"),8,0))</f>
        <v>3.5000000000000003E-2</v>
      </c>
      <c r="M75" s="35">
        <f ca="1">IF(D75="","", VLOOKUP(A75,INDIRECT("'[" &amp;Info!$B$4&amp;"]"&amp;Info!$B$5&amp;"'!$A$6:$F$1000"),6,0))</f>
        <v>501</v>
      </c>
      <c r="N75" s="33">
        <f ca="1">IF(C75="","", VLOOKUP(A75,INDIRECT("'[" &amp;Info!$B$4&amp;"]"&amp;Info!$B$5&amp;"'!$A$6:$Au$1000"),47,0))</f>
        <v>4</v>
      </c>
      <c r="O75" s="28">
        <f ca="1">IF(N75="","",IF(N75=0,0,VLOOKUP(A75,INDIRECT("'[" &amp;Info!$B$4&amp;"]"&amp;Info!$B$5&amp;"'!$A$6:$AH$1000"),34,0)))</f>
        <v>3</v>
      </c>
      <c r="P75" s="9">
        <f ca="1">IF(N75="","",IF(N75=0,0,VLOOKUP(A75,INDIRECT("'[" &amp;Info!$B$4&amp;"]"&amp;Info!$B$5&amp;"'!$A$6:$AW$1000"),49,0)))</f>
        <v>1942</v>
      </c>
      <c r="Q75" s="9">
        <f ca="1">IF(N75="","",IF(N75=0,0, VLOOKUP(A75,INDIRECT("'[" &amp;Info!$B$4&amp;"]"&amp;Info!$B$5&amp;"'!$A$6:$AX$1000"),50,0)))</f>
        <v>0</v>
      </c>
      <c r="R75" s="29">
        <f ca="1">IF(N75="","",IF(N75=0,0, VLOOKUP(A75,INDIRECT("'[" &amp;Info!$B$4&amp;"]"&amp;Info!$B$5&amp;"'!$A$6:$AY$1000"),51,0)))</f>
        <v>0</v>
      </c>
      <c r="S75" s="15">
        <f ca="1">IF(N75="","",IF(N75=0,0,VLOOKUP(A75,INDIRECT("'[" &amp;Info!$B$4&amp;"]"&amp;Info!$B$5&amp;"'!$A$6:$Ai$1000"),35,0)))</f>
        <v>3</v>
      </c>
      <c r="T75" s="7">
        <f ca="1">IF(N75="","",IF(N75=0,0, VLOOKUP(A75,INDIRECT("'[" &amp;Info!$B$4&amp;"]"&amp;Info!$B$5&amp;"'!$A$6:$Az$1000"),52,0)))</f>
        <v>1457</v>
      </c>
      <c r="U75" s="7">
        <f ca="1">IF(N75="","",IF(N75=0,0, VLOOKUP(A75,INDIRECT("'[" &amp;Info!$B$4&amp;"]"&amp;Info!$B$5&amp;"'!$A$6:$BA$1000"),53,0)))</f>
        <v>0</v>
      </c>
      <c r="V75" s="16">
        <f ca="1">IF(N75="","",IF(N75=0,0, VLOOKUP(A75,INDIRECT("'[" &amp;Info!$B$4&amp;"]"&amp;Info!$B$5&amp;"'!$A$6:$BB$1000"),54,0)))</f>
        <v>0</v>
      </c>
      <c r="W75" s="17">
        <f t="shared" ca="1" si="5"/>
        <v>6</v>
      </c>
      <c r="X75" s="18">
        <f t="shared" ca="1" si="6"/>
        <v>3399</v>
      </c>
      <c r="Y75" s="19">
        <f t="shared" ca="1" si="7"/>
        <v>0</v>
      </c>
      <c r="Z75" s="18">
        <f t="shared" ca="1" si="8"/>
        <v>0</v>
      </c>
    </row>
    <row r="76" spans="1:26" x14ac:dyDescent="0.25">
      <c r="A76" s="8">
        <f ca="1">IFERROR( VLOOKUP(A75+1,INDIRECT("'[" &amp;Info!$B$4&amp;"]"&amp;Info!$B$5&amp;"'!$A$6:$A$1000"),1,0),"")</f>
        <v>72</v>
      </c>
      <c r="B76" s="5" t="str">
        <f ca="1">IFERROR( IF(A76="","", VLOOKUP(A76,INDIRECT("'[" &amp;Info!$B$4&amp;"]"&amp;Info!$B$5&amp;"'!$A$6:$B$1000"),2,0)),"")</f>
        <v>C72</v>
      </c>
      <c r="C76" s="14" t="str">
        <f ca="1">IFERROR( IF(A76="","", VLOOKUP(A76,INDIRECT("'[" &amp;Info!$B$4&amp;"]"&amp;Info!$B$5&amp;"'!$A$6:$D$1000"),3,0)),"")</f>
        <v>K2SD2</v>
      </c>
      <c r="D76" s="31" t="str">
        <f ca="1">IF(C76="","", VLOOKUP(A76,INDIRECT("'[" &amp;Info!$B$4&amp;"]"&amp;Info!$B$5&amp;"'!$A$6:$T$1000"),20,0))</f>
        <v>12L14</v>
      </c>
      <c r="E76" s="6" t="str">
        <f ca="1">IF(D76="","", VLOOKUP(A76,INDIRECT("'[" &amp;Info!$B$4&amp;"]"&amp;Info!$B$5&amp;"'!$A$6:$U$1000"),21,0))</f>
        <v>LT</v>
      </c>
      <c r="F76" s="6" t="str">
        <f ca="1">IF(D76="","", VLOOKUP(A76,INDIRECT("'[" &amp;Info!$B$4&amp;"]"&amp;Info!$B$5&amp;"'!$A$6:$U$1000"),21,0))</f>
        <v>LT</v>
      </c>
      <c r="G76" s="6">
        <f ca="1">IF(D76="","", VLOOKUP(A76,INDIRECT("'[" &amp;Info!$B$4&amp;"]"&amp;Info!$B$5&amp;"'!$A$6:$V$1000"),22,0))</f>
        <v>5</v>
      </c>
      <c r="H76" s="6">
        <f ca="1">IF(D76="","", VLOOKUP(A76,INDIRECT("'[" &amp;Info!$B$4&amp;"]"&amp;Info!$B$5&amp;"'!$A$6:$W$1000"),23,0))</f>
        <v>0</v>
      </c>
      <c r="I76" s="6" t="str">
        <f ca="1">LOWER( IF(D76="","", VLOOKUP(A76,INDIRECT("'[" &amp;Info!$B$4&amp;"]"&amp;Info!$B$5&amp;"'!$A$6:$y$1000"),25,0)))</f>
        <v>h11</v>
      </c>
      <c r="J76" s="6">
        <f ca="1">IF(D76="","", VLOOKUP(A76,INDIRECT("'[" &amp;Info!$B$4&amp;"]"&amp;Info!$B$5&amp;"'!$A$6:$Z$1000"),26,0))</f>
        <v>3</v>
      </c>
      <c r="K76" s="35" t="str">
        <f ca="1">IF(D76="","", VLOOKUP(A76,INDIRECT("'[" &amp;Info!$B$4&amp;"]"&amp;Info!$B$5&amp;"'!$A$6:$AA$1000"),27,0))</f>
        <v>C16</v>
      </c>
      <c r="L76" s="35">
        <f ca="1">IF(D76="","", VLOOKUP(A76,INDIRECT("'[" &amp;Info!$B$4&amp;"]"&amp;Info!$B$5&amp;"'!$A$6:$H$1000"),8,0))</f>
        <v>1.73</v>
      </c>
      <c r="M76" s="35">
        <f ca="1">IF(D76="","", VLOOKUP(A76,INDIRECT("'[" &amp;Info!$B$4&amp;"]"&amp;Info!$B$5&amp;"'!$A$6:$F$1000"),6,0))</f>
        <v>186</v>
      </c>
      <c r="N76" s="33">
        <f ca="1">IF(C76="","", VLOOKUP(A76,INDIRECT("'[" &amp;Info!$B$4&amp;"]"&amp;Info!$B$5&amp;"'!$A$6:$Au$1000"),47,0))</f>
        <v>0</v>
      </c>
      <c r="O76" s="28">
        <f ca="1">IF(N76="","",IF(N76=0,0,VLOOKUP(A76,INDIRECT("'[" &amp;Info!$B$4&amp;"]"&amp;Info!$B$5&amp;"'!$A$6:$AH$1000"),34,0)))</f>
        <v>0</v>
      </c>
      <c r="P76" s="9">
        <f ca="1">IF(N76="","",IF(N76=0,0,VLOOKUP(A76,INDIRECT("'[" &amp;Info!$B$4&amp;"]"&amp;Info!$B$5&amp;"'!$A$6:$AW$1000"),49,0)))</f>
        <v>0</v>
      </c>
      <c r="Q76" s="9">
        <f ca="1">IF(N76="","",IF(N76=0,0, VLOOKUP(A76,INDIRECT("'[" &amp;Info!$B$4&amp;"]"&amp;Info!$B$5&amp;"'!$A$6:$AX$1000"),50,0)))</f>
        <v>0</v>
      </c>
      <c r="R76" s="29">
        <f ca="1">IF(N76="","",IF(N76=0,0, VLOOKUP(A76,INDIRECT("'[" &amp;Info!$B$4&amp;"]"&amp;Info!$B$5&amp;"'!$A$6:$AY$1000"),51,0)))</f>
        <v>0</v>
      </c>
      <c r="S76" s="15">
        <f ca="1">IF(N76="","",IF(N76=0,0,VLOOKUP(A76,INDIRECT("'[" &amp;Info!$B$4&amp;"]"&amp;Info!$B$5&amp;"'!$A$6:$Ai$1000"),35,0)))</f>
        <v>0</v>
      </c>
      <c r="T76" s="7">
        <f ca="1">IF(N76="","",IF(N76=0,0, VLOOKUP(A76,INDIRECT("'[" &amp;Info!$B$4&amp;"]"&amp;Info!$B$5&amp;"'!$A$6:$Az$1000"),52,0)))</f>
        <v>0</v>
      </c>
      <c r="U76" s="7">
        <f ca="1">IF(N76="","",IF(N76=0,0, VLOOKUP(A76,INDIRECT("'[" &amp;Info!$B$4&amp;"]"&amp;Info!$B$5&amp;"'!$A$6:$BA$1000"),53,0)))</f>
        <v>0</v>
      </c>
      <c r="V76" s="16">
        <f ca="1">IF(N76="","",IF(N76=0,0, VLOOKUP(A76,INDIRECT("'[" &amp;Info!$B$4&amp;"]"&amp;Info!$B$5&amp;"'!$A$6:$BB$1000"),54,0)))</f>
        <v>0</v>
      </c>
      <c r="W76" s="17">
        <f t="shared" ca="1" si="5"/>
        <v>0</v>
      </c>
      <c r="X76" s="18">
        <f t="shared" ca="1" si="6"/>
        <v>0</v>
      </c>
      <c r="Y76" s="19">
        <f t="shared" ca="1" si="7"/>
        <v>0</v>
      </c>
      <c r="Z76" s="18">
        <f t="shared" ca="1" si="8"/>
        <v>0</v>
      </c>
    </row>
    <row r="77" spans="1:26" x14ac:dyDescent="0.25">
      <c r="A77" s="8">
        <f ca="1">IFERROR( VLOOKUP(A76+1,INDIRECT("'[" &amp;Info!$B$4&amp;"]"&amp;Info!$B$5&amp;"'!$A$6:$A$1000"),1,0),"")</f>
        <v>73</v>
      </c>
      <c r="B77" s="5" t="str">
        <f ca="1">IFERROR( IF(A77="","", VLOOKUP(A77,INDIRECT("'[" &amp;Info!$B$4&amp;"]"&amp;Info!$B$5&amp;"'!$A$6:$B$1000"),2,0)),"")</f>
        <v>C73</v>
      </c>
      <c r="C77" s="14" t="str">
        <f ca="1">IFERROR( IF(A77="","", VLOOKUP(A77,INDIRECT("'[" &amp;Info!$B$4&amp;"]"&amp;Info!$B$5&amp;"'!$A$6:$D$1000"),3,0)),"")</f>
        <v>3201</v>
      </c>
      <c r="D77" s="31" t="str">
        <f ca="1">IF(C77="","", VLOOKUP(A77,INDIRECT("'[" &amp;Info!$B$4&amp;"]"&amp;Info!$B$5&amp;"'!$A$6:$T$1000"),20,0))</f>
        <v>C2700</v>
      </c>
      <c r="E77" s="6" t="str">
        <f ca="1">IF(D77="","", VLOOKUP(A77,INDIRECT("'[" &amp;Info!$B$4&amp;"]"&amp;Info!$B$5&amp;"'!$A$6:$U$1000"),21,0))</f>
        <v>YH</v>
      </c>
      <c r="F77" s="6" t="str">
        <f ca="1">IF(D77="","", VLOOKUP(A77,INDIRECT("'[" &amp;Info!$B$4&amp;"]"&amp;Info!$B$5&amp;"'!$A$6:$U$1000"),21,0))</f>
        <v>YH</v>
      </c>
      <c r="G77" s="6">
        <f ca="1">IF(D77="","", VLOOKUP(A77,INDIRECT("'[" &amp;Info!$B$4&amp;"]"&amp;Info!$B$5&amp;"'!$A$6:$V$1000"),22,0))</f>
        <v>5.5</v>
      </c>
      <c r="H77" s="6">
        <f ca="1">IF(D77="","", VLOOKUP(A77,INDIRECT("'[" &amp;Info!$B$4&amp;"]"&amp;Info!$B$5&amp;"'!$A$6:$W$1000"),23,0))</f>
        <v>0</v>
      </c>
      <c r="I77" s="6" t="str">
        <f ca="1">LOWER( IF(D77="","", VLOOKUP(A77,INDIRECT("'[" &amp;Info!$B$4&amp;"]"&amp;Info!$B$5&amp;"'!$A$6:$y$1000"),25,0)))</f>
        <v>h9</v>
      </c>
      <c r="J77" s="6">
        <f ca="1">IF(D77="","", VLOOKUP(A77,INDIRECT("'[" &amp;Info!$B$4&amp;"]"&amp;Info!$B$5&amp;"'!$A$6:$Z$1000"),26,0))</f>
        <v>3</v>
      </c>
      <c r="K77" s="35" t="str">
        <f ca="1">IF(D77="","", VLOOKUP(A77,INDIRECT("'[" &amp;Info!$B$4&amp;"]"&amp;Info!$B$5&amp;"'!$A$6:$AA$1000"),27,0))</f>
        <v>A17</v>
      </c>
      <c r="L77" s="35">
        <f ca="1">IF(D77="","", VLOOKUP(A77,INDIRECT("'[" &amp;Info!$B$4&amp;"]"&amp;Info!$B$5&amp;"'!$A$6:$H$1000"),8,0))</f>
        <v>1.0760000000000001</v>
      </c>
      <c r="M77" s="35">
        <f ca="1">IF(D77="","", VLOOKUP(A77,INDIRECT("'[" &amp;Info!$B$4&amp;"]"&amp;Info!$B$5&amp;"'!$A$6:$F$1000"),6,0))</f>
        <v>167</v>
      </c>
      <c r="N77" s="33">
        <f ca="1">IF(C77="","", VLOOKUP(A77,INDIRECT("'[" &amp;Info!$B$4&amp;"]"&amp;Info!$B$5&amp;"'!$A$6:$Au$1000"),47,0))</f>
        <v>12</v>
      </c>
      <c r="O77" s="28">
        <f ca="1">IF(N77="","",IF(N77=0,0,VLOOKUP(A77,INDIRECT("'[" &amp;Info!$B$4&amp;"]"&amp;Info!$B$5&amp;"'!$A$6:$AH$1000"),34,0)))</f>
        <v>3</v>
      </c>
      <c r="P77" s="9">
        <f ca="1">IF(N77="","",IF(N77=0,0,VLOOKUP(A77,INDIRECT("'[" &amp;Info!$B$4&amp;"]"&amp;Info!$B$5&amp;"'!$A$6:$AW$1000"),49,0)))</f>
        <v>0</v>
      </c>
      <c r="Q77" s="9">
        <f ca="1">IF(N77="","",IF(N77=0,0, VLOOKUP(A77,INDIRECT("'[" &amp;Info!$B$4&amp;"]"&amp;Info!$B$5&amp;"'!$A$6:$AX$1000"),50,0)))</f>
        <v>529</v>
      </c>
      <c r="R77" s="29">
        <f ca="1">IF(N77="","",IF(N77=0,0, VLOOKUP(A77,INDIRECT("'[" &amp;Info!$B$4&amp;"]"&amp;Info!$B$5&amp;"'!$A$6:$AY$1000"),51,0)))</f>
        <v>0</v>
      </c>
      <c r="S77" s="15">
        <f ca="1">IF(N77="","",IF(N77=0,0,VLOOKUP(A77,INDIRECT("'[" &amp;Info!$B$4&amp;"]"&amp;Info!$B$5&amp;"'!$A$6:$Ai$1000"),35,0)))</f>
        <v>0</v>
      </c>
      <c r="T77" s="7">
        <f ca="1">IF(N77="","",IF(N77=0,0, VLOOKUP(A77,INDIRECT("'[" &amp;Info!$B$4&amp;"]"&amp;Info!$B$5&amp;"'!$A$6:$Az$1000"),52,0)))</f>
        <v>0</v>
      </c>
      <c r="U77" s="7">
        <f ca="1">IF(N77="","",IF(N77=0,0, VLOOKUP(A77,INDIRECT("'[" &amp;Info!$B$4&amp;"]"&amp;Info!$B$5&amp;"'!$A$6:$BA$1000"),53,0)))</f>
        <v>0</v>
      </c>
      <c r="V77" s="16">
        <f ca="1">IF(N77="","",IF(N77=0,0, VLOOKUP(A77,INDIRECT("'[" &amp;Info!$B$4&amp;"]"&amp;Info!$B$5&amp;"'!$A$6:$BB$1000"),54,0)))</f>
        <v>0</v>
      </c>
      <c r="W77" s="17">
        <f t="shared" ca="1" si="5"/>
        <v>3</v>
      </c>
      <c r="X77" s="18">
        <f t="shared" ca="1" si="6"/>
        <v>0</v>
      </c>
      <c r="Y77" s="19">
        <f t="shared" ca="1" si="7"/>
        <v>529</v>
      </c>
      <c r="Z77" s="18">
        <f t="shared" ca="1" si="8"/>
        <v>0</v>
      </c>
    </row>
    <row r="78" spans="1:26" x14ac:dyDescent="0.25">
      <c r="A78" s="8">
        <f ca="1">IFERROR( VLOOKUP(A77+1,INDIRECT("'[" &amp;Info!$B$4&amp;"]"&amp;Info!$B$5&amp;"'!$A$6:$A$1000"),1,0),"")</f>
        <v>74</v>
      </c>
      <c r="B78" s="5" t="str">
        <f ca="1">IFERROR( IF(A78="","", VLOOKUP(A78,INDIRECT("'[" &amp;Info!$B$4&amp;"]"&amp;Info!$B$5&amp;"'!$A$6:$B$1000"),2,0)),"")</f>
        <v>C74</v>
      </c>
      <c r="C78" s="14" t="str">
        <f ca="1">IFERROR( IF(A78="","", VLOOKUP(A78,INDIRECT("'[" &amp;Info!$B$4&amp;"]"&amp;Info!$B$5&amp;"'!$A$6:$D$1000"),3,0)),"")</f>
        <v>H2 233B</v>
      </c>
      <c r="D78" s="31" t="str">
        <f ca="1">IF(C78="","", VLOOKUP(A78,INDIRECT("'[" &amp;Info!$B$4&amp;"]"&amp;Info!$B$5&amp;"'!$A$6:$T$1000"),20,0))</f>
        <v>C3604</v>
      </c>
      <c r="E78" s="6" t="str">
        <f ca="1">IF(D78="","", VLOOKUP(A78,INDIRECT("'[" &amp;Info!$B$4&amp;"]"&amp;Info!$B$5&amp;"'!$A$6:$U$1000"),21,0))</f>
        <v>YH</v>
      </c>
      <c r="F78" s="6" t="str">
        <f ca="1">IF(D78="","", VLOOKUP(A78,INDIRECT("'[" &amp;Info!$B$4&amp;"]"&amp;Info!$B$5&amp;"'!$A$6:$U$1000"),21,0))</f>
        <v>YH</v>
      </c>
      <c r="G78" s="6">
        <f ca="1">IF(D78="","", VLOOKUP(A78,INDIRECT("'[" &amp;Info!$B$4&amp;"]"&amp;Info!$B$5&amp;"'!$A$6:$V$1000"),22,0))</f>
        <v>7</v>
      </c>
      <c r="H78" s="6">
        <f ca="1">IF(D78="","", VLOOKUP(A78,INDIRECT("'[" &amp;Info!$B$4&amp;"]"&amp;Info!$B$5&amp;"'!$A$6:$W$1000"),23,0))</f>
        <v>0</v>
      </c>
      <c r="I78" s="6" t="str">
        <f ca="1">LOWER( IF(D78="","", VLOOKUP(A78,INDIRECT("'[" &amp;Info!$B$4&amp;"]"&amp;Info!$B$5&amp;"'!$A$6:$y$1000"),25,0)))</f>
        <v>h11</v>
      </c>
      <c r="J78" s="6">
        <f ca="1">IF(D78="","", VLOOKUP(A78,INDIRECT("'[" &amp;Info!$B$4&amp;"]"&amp;Info!$B$5&amp;"'!$A$6:$Z$1000"),26,0))</f>
        <v>3</v>
      </c>
      <c r="K78" s="35" t="str">
        <f ca="1">IF(D78="","", VLOOKUP(A78,INDIRECT("'[" &amp;Info!$B$4&amp;"]"&amp;Info!$B$5&amp;"'!$A$6:$AA$1000"),27,0))</f>
        <v>B17</v>
      </c>
      <c r="L78" s="35">
        <f ca="1">IF(D78="","", VLOOKUP(A78,INDIRECT("'[" &amp;Info!$B$4&amp;"]"&amp;Info!$B$5&amp;"'!$A$6:$H$1000"),8,0))</f>
        <v>2.4700000000000002</v>
      </c>
      <c r="M78" s="35">
        <f ca="1">IF(D78="","", VLOOKUP(A78,INDIRECT("'[" &amp;Info!$B$4&amp;"]"&amp;Info!$B$5&amp;"'!$A$6:$F$1000"),6,0))</f>
        <v>172</v>
      </c>
      <c r="N78" s="33">
        <f ca="1">IF(C78="","", VLOOKUP(A78,INDIRECT("'[" &amp;Info!$B$4&amp;"]"&amp;Info!$B$5&amp;"'!$A$6:$Au$1000"),47,0))</f>
        <v>5</v>
      </c>
      <c r="O78" s="28">
        <f ca="1">IF(N78="","",IF(N78=0,0,VLOOKUP(A78,INDIRECT("'[" &amp;Info!$B$4&amp;"]"&amp;Info!$B$5&amp;"'!$A$6:$AH$1000"),34,0)))</f>
        <v>11</v>
      </c>
      <c r="P78" s="9">
        <f ca="1">IF(N78="","",IF(N78=0,0,VLOOKUP(A78,INDIRECT("'[" &amp;Info!$B$4&amp;"]"&amp;Info!$B$5&amp;"'!$A$6:$AW$1000"),49,0)))</f>
        <v>1705</v>
      </c>
      <c r="Q78" s="9">
        <f ca="1">IF(N78="","",IF(N78=0,0, VLOOKUP(A78,INDIRECT("'[" &amp;Info!$B$4&amp;"]"&amp;Info!$B$5&amp;"'!$A$6:$AX$1000"),50,0)))</f>
        <v>0</v>
      </c>
      <c r="R78" s="29">
        <f ca="1">IF(N78="","",IF(N78=0,0, VLOOKUP(A78,INDIRECT("'[" &amp;Info!$B$4&amp;"]"&amp;Info!$B$5&amp;"'!$A$6:$AY$1000"),51,0)))</f>
        <v>0</v>
      </c>
      <c r="S78" s="15">
        <f ca="1">IF(N78="","",IF(N78=0,0,VLOOKUP(A78,INDIRECT("'[" &amp;Info!$B$4&amp;"]"&amp;Info!$B$5&amp;"'!$A$6:$Ai$1000"),35,0)))</f>
        <v>10</v>
      </c>
      <c r="T78" s="7">
        <f ca="1">IF(N78="","",IF(N78=0,0, VLOOKUP(A78,INDIRECT("'[" &amp;Info!$B$4&amp;"]"&amp;Info!$B$5&amp;"'!$A$6:$Az$1000"),52,0)))</f>
        <v>1626</v>
      </c>
      <c r="U78" s="7">
        <f ca="1">IF(N78="","",IF(N78=0,0, VLOOKUP(A78,INDIRECT("'[" &amp;Info!$B$4&amp;"]"&amp;Info!$B$5&amp;"'!$A$6:$BA$1000"),53,0)))</f>
        <v>0</v>
      </c>
      <c r="V78" s="16">
        <f ca="1">IF(N78="","",IF(N78=0,0, VLOOKUP(A78,INDIRECT("'[" &amp;Info!$B$4&amp;"]"&amp;Info!$B$5&amp;"'!$A$6:$BB$1000"),54,0)))</f>
        <v>0</v>
      </c>
      <c r="W78" s="17">
        <f t="shared" ca="1" si="5"/>
        <v>21</v>
      </c>
      <c r="X78" s="18">
        <f t="shared" ca="1" si="6"/>
        <v>3331</v>
      </c>
      <c r="Y78" s="19">
        <f t="shared" ca="1" si="7"/>
        <v>0</v>
      </c>
      <c r="Z78" s="18">
        <f t="shared" ca="1" si="8"/>
        <v>0</v>
      </c>
    </row>
    <row r="79" spans="1:26" x14ac:dyDescent="0.25">
      <c r="A79" s="8">
        <f ca="1">IFERROR( VLOOKUP(A78+1,INDIRECT("'[" &amp;Info!$B$4&amp;"]"&amp;Info!$B$5&amp;"'!$A$6:$A$1000"),1,0),"")</f>
        <v>75</v>
      </c>
      <c r="B79" s="5" t="str">
        <f ca="1">IFERROR( IF(A79="","", VLOOKUP(A79,INDIRECT("'[" &amp;Info!$B$4&amp;"]"&amp;Info!$B$5&amp;"'!$A$6:$B$1000"),2,0)),"")</f>
        <v>C75</v>
      </c>
      <c r="C79" s="14">
        <f ca="1">IFERROR( IF(A79="","", VLOOKUP(A79,INDIRECT("'[" &amp;Info!$B$4&amp;"]"&amp;Info!$B$5&amp;"'!$A$6:$D$1000"),3,0)),"")</f>
        <v>9024</v>
      </c>
      <c r="D79" s="31" t="str">
        <f ca="1">IF(C79="","", VLOOKUP(A79,INDIRECT("'[" &amp;Info!$B$4&amp;"]"&amp;Info!$B$5&amp;"'!$A$6:$T$1000"),20,0))</f>
        <v>C3602</v>
      </c>
      <c r="E79" s="6" t="str">
        <f ca="1">IF(D79="","", VLOOKUP(A79,INDIRECT("'[" &amp;Info!$B$4&amp;"]"&amp;Info!$B$5&amp;"'!$A$6:$U$1000"),21,0))</f>
        <v>YH</v>
      </c>
      <c r="F79" s="6" t="str">
        <f ca="1">IF(D79="","", VLOOKUP(A79,INDIRECT("'[" &amp;Info!$B$4&amp;"]"&amp;Info!$B$5&amp;"'!$A$6:$U$1000"),21,0))</f>
        <v>YH</v>
      </c>
      <c r="G79" s="6">
        <f ca="1">IF(D79="","", VLOOKUP(A79,INDIRECT("'[" &amp;Info!$B$4&amp;"]"&amp;Info!$B$5&amp;"'!$A$6:$V$1000"),22,0))</f>
        <v>2</v>
      </c>
      <c r="H79" s="6">
        <f ca="1">IF(D79="","", VLOOKUP(A79,INDIRECT("'[" &amp;Info!$B$4&amp;"]"&amp;Info!$B$5&amp;"'!$A$6:$W$1000"),23,0))</f>
        <v>0</v>
      </c>
      <c r="I79" s="6" t="str">
        <f ca="1">LOWER( IF(D79="","", VLOOKUP(A79,INDIRECT("'[" &amp;Info!$B$4&amp;"]"&amp;Info!$B$5&amp;"'!$A$6:$y$1000"),25,0)))</f>
        <v>h9</v>
      </c>
      <c r="J79" s="6">
        <f ca="1">IF(D79="","", VLOOKUP(A79,INDIRECT("'[" &amp;Info!$B$4&amp;"]"&amp;Info!$B$5&amp;"'!$A$6:$Z$1000"),26,0))</f>
        <v>2</v>
      </c>
      <c r="K79" s="35" t="str">
        <f ca="1">IF(D79="","", VLOOKUP(A79,INDIRECT("'[" &amp;Info!$B$4&amp;"]"&amp;Info!$B$5&amp;"'!$A$6:$AA$1000"),27,0))</f>
        <v>B15</v>
      </c>
      <c r="L79" s="35">
        <f ca="1">IF(D79="","", VLOOKUP(A79,INDIRECT("'[" &amp;Info!$B$4&amp;"]"&amp;Info!$B$5&amp;"'!$A$6:$H$1000"),8,0))</f>
        <v>7.0000000000000007E-2</v>
      </c>
      <c r="M79" s="35">
        <f ca="1">IF(D79="","", VLOOKUP(A79,INDIRECT("'[" &amp;Info!$B$4&amp;"]"&amp;Info!$B$5&amp;"'!$A$6:$F$1000"),6,0))</f>
        <v>174</v>
      </c>
      <c r="N79" s="33">
        <f ca="1">IF(C79="","", VLOOKUP(A79,INDIRECT("'[" &amp;Info!$B$4&amp;"]"&amp;Info!$B$5&amp;"'!$A$6:$Au$1000"),47,0))</f>
        <v>5</v>
      </c>
      <c r="O79" s="28">
        <f ca="1">IF(N79="","",IF(N79=0,0,VLOOKUP(A79,INDIRECT("'[" &amp;Info!$B$4&amp;"]"&amp;Info!$B$5&amp;"'!$A$6:$AH$1000"),34,0)))</f>
        <v>18</v>
      </c>
      <c r="P79" s="9">
        <f ca="1">IF(N79="","",IF(N79=0,0,VLOOKUP(A79,INDIRECT("'[" &amp;Info!$B$4&amp;"]"&amp;Info!$B$5&amp;"'!$A$6:$AW$1000"),49,0)))</f>
        <v>2871</v>
      </c>
      <c r="Q79" s="9">
        <f ca="1">IF(N79="","",IF(N79=0,0, VLOOKUP(A79,INDIRECT("'[" &amp;Info!$B$4&amp;"]"&amp;Info!$B$5&amp;"'!$A$6:$AX$1000"),50,0)))</f>
        <v>0</v>
      </c>
      <c r="R79" s="29">
        <f ca="1">IF(N79="","",IF(N79=0,0, VLOOKUP(A79,INDIRECT("'[" &amp;Info!$B$4&amp;"]"&amp;Info!$B$5&amp;"'!$A$6:$AY$1000"),51,0)))</f>
        <v>0</v>
      </c>
      <c r="S79" s="15">
        <f ca="1">IF(N79="","",IF(N79=0,0,VLOOKUP(A79,INDIRECT("'[" &amp;Info!$B$4&amp;"]"&amp;Info!$B$5&amp;"'!$A$6:$Ai$1000"),35,0)))</f>
        <v>15</v>
      </c>
      <c r="T79" s="7">
        <f ca="1">IF(N79="","",IF(N79=0,0, VLOOKUP(A79,INDIRECT("'[" &amp;Info!$B$4&amp;"]"&amp;Info!$B$5&amp;"'!$A$6:$Az$1000"),52,0)))</f>
        <v>2428</v>
      </c>
      <c r="U79" s="7">
        <f ca="1">IF(N79="","",IF(N79=0,0, VLOOKUP(A79,INDIRECT("'[" &amp;Info!$B$4&amp;"]"&amp;Info!$B$5&amp;"'!$A$6:$BA$1000"),53,0)))</f>
        <v>0</v>
      </c>
      <c r="V79" s="16">
        <f ca="1">IF(N79="","",IF(N79=0,0, VLOOKUP(A79,INDIRECT("'[" &amp;Info!$B$4&amp;"]"&amp;Info!$B$5&amp;"'!$A$6:$BB$1000"),54,0)))</f>
        <v>0</v>
      </c>
      <c r="W79" s="17">
        <f t="shared" ca="1" si="5"/>
        <v>33</v>
      </c>
      <c r="X79" s="18">
        <f t="shared" ca="1" si="6"/>
        <v>5299</v>
      </c>
      <c r="Y79" s="19">
        <f t="shared" ca="1" si="7"/>
        <v>0</v>
      </c>
      <c r="Z79" s="18">
        <f t="shared" ca="1" si="8"/>
        <v>0</v>
      </c>
    </row>
    <row r="80" spans="1:26" x14ac:dyDescent="0.25">
      <c r="A80" s="8">
        <f ca="1">IFERROR( VLOOKUP(A79+1,INDIRECT("'[" &amp;Info!$B$4&amp;"]"&amp;Info!$B$5&amp;"'!$A$6:$A$1000"),1,0),"")</f>
        <v>76</v>
      </c>
      <c r="B80" s="5" t="str">
        <f ca="1">IFERROR( IF(A80="","", VLOOKUP(A80,INDIRECT("'[" &amp;Info!$B$4&amp;"]"&amp;Info!$B$5&amp;"'!$A$6:$B$1000"),2,0)),"")</f>
        <v>C76</v>
      </c>
      <c r="C80" s="14" t="str">
        <f ca="1">IFERROR( IF(A80="","", VLOOKUP(A80,INDIRECT("'[" &amp;Info!$B$4&amp;"]"&amp;Info!$B$5&amp;"'!$A$6:$D$1000"),3,0)),"")</f>
        <v>H2 233</v>
      </c>
      <c r="D80" s="31" t="str">
        <f ca="1">IF(C80="","", VLOOKUP(A80,INDIRECT("'[" &amp;Info!$B$4&amp;"]"&amp;Info!$B$5&amp;"'!$A$6:$T$1000"),20,0))</f>
        <v>C3604</v>
      </c>
      <c r="E80" s="6" t="str">
        <f ca="1">IF(D80="","", VLOOKUP(A80,INDIRECT("'[" &amp;Info!$B$4&amp;"]"&amp;Info!$B$5&amp;"'!$A$6:$U$1000"),21,0))</f>
        <v>YH</v>
      </c>
      <c r="F80" s="6" t="str">
        <f ca="1">IF(D80="","", VLOOKUP(A80,INDIRECT("'[" &amp;Info!$B$4&amp;"]"&amp;Info!$B$5&amp;"'!$A$6:$U$1000"),21,0))</f>
        <v>YH</v>
      </c>
      <c r="G80" s="6">
        <f ca="1">IF(D80="","", VLOOKUP(A80,INDIRECT("'[" &amp;Info!$B$4&amp;"]"&amp;Info!$B$5&amp;"'!$A$6:$V$1000"),22,0))</f>
        <v>7</v>
      </c>
      <c r="H80" s="6">
        <f ca="1">IF(D80="","", VLOOKUP(A80,INDIRECT("'[" &amp;Info!$B$4&amp;"]"&amp;Info!$B$5&amp;"'!$A$6:$W$1000"),23,0))</f>
        <v>0</v>
      </c>
      <c r="I80" s="6" t="str">
        <f ca="1">LOWER( IF(D80="","", VLOOKUP(A80,INDIRECT("'[" &amp;Info!$B$4&amp;"]"&amp;Info!$B$5&amp;"'!$A$6:$y$1000"),25,0)))</f>
        <v>h11</v>
      </c>
      <c r="J80" s="6">
        <f ca="1">IF(D80="","", VLOOKUP(A80,INDIRECT("'[" &amp;Info!$B$4&amp;"]"&amp;Info!$B$5&amp;"'!$A$6:$Z$1000"),26,0))</f>
        <v>3</v>
      </c>
      <c r="K80" s="35" t="str">
        <f ca="1">IF(D80="","", VLOOKUP(A80,INDIRECT("'[" &amp;Info!$B$4&amp;"]"&amp;Info!$B$5&amp;"'!$A$6:$AA$1000"),27,0))</f>
        <v>B17</v>
      </c>
      <c r="L80" s="35">
        <f ca="1">IF(D80="","", VLOOKUP(A80,INDIRECT("'[" &amp;Info!$B$4&amp;"]"&amp;Info!$B$5&amp;"'!$A$6:$H$1000"),8,0))</f>
        <v>2.4700000000000002</v>
      </c>
      <c r="M80" s="35">
        <f ca="1">IF(D80="","", VLOOKUP(A80,INDIRECT("'[" &amp;Info!$B$4&amp;"]"&amp;Info!$B$5&amp;"'!$A$6:$F$1000"),6,0))</f>
        <v>172</v>
      </c>
      <c r="N80" s="33">
        <f ca="1">IF(C80="","", VLOOKUP(A80,INDIRECT("'[" &amp;Info!$B$4&amp;"]"&amp;Info!$B$5&amp;"'!$A$6:$Au$1000"),47,0))</f>
        <v>5</v>
      </c>
      <c r="O80" s="28">
        <f ca="1">IF(N80="","",IF(N80=0,0,VLOOKUP(A80,INDIRECT("'[" &amp;Info!$B$4&amp;"]"&amp;Info!$B$5&amp;"'!$A$6:$AH$1000"),34,0)))</f>
        <v>11</v>
      </c>
      <c r="P80" s="9">
        <f ca="1">IF(N80="","",IF(N80=0,0,VLOOKUP(A80,INDIRECT("'[" &amp;Info!$B$4&amp;"]"&amp;Info!$B$5&amp;"'!$A$6:$AW$1000"),49,0)))</f>
        <v>1854</v>
      </c>
      <c r="Q80" s="9">
        <f ca="1">IF(N80="","",IF(N80=0,0, VLOOKUP(A80,INDIRECT("'[" &amp;Info!$B$4&amp;"]"&amp;Info!$B$5&amp;"'!$A$6:$AX$1000"),50,0)))</f>
        <v>0</v>
      </c>
      <c r="R80" s="29">
        <f ca="1">IF(N80="","",IF(N80=0,0, VLOOKUP(A80,INDIRECT("'[" &amp;Info!$B$4&amp;"]"&amp;Info!$B$5&amp;"'!$A$6:$AY$1000"),51,0)))</f>
        <v>0</v>
      </c>
      <c r="S80" s="15">
        <f ca="1">IF(N80="","",IF(N80=0,0,VLOOKUP(A80,INDIRECT("'[" &amp;Info!$B$4&amp;"]"&amp;Info!$B$5&amp;"'!$A$6:$Ai$1000"),35,0)))</f>
        <v>11</v>
      </c>
      <c r="T80" s="7">
        <f ca="1">IF(N80="","",IF(N80=0,0, VLOOKUP(A80,INDIRECT("'[" &amp;Info!$B$4&amp;"]"&amp;Info!$B$5&amp;"'!$A$6:$Az$1000"),52,0)))</f>
        <v>1823</v>
      </c>
      <c r="U80" s="7">
        <f ca="1">IF(N80="","",IF(N80=0,0, VLOOKUP(A80,INDIRECT("'[" &amp;Info!$B$4&amp;"]"&amp;Info!$B$5&amp;"'!$A$6:$BA$1000"),53,0)))</f>
        <v>0</v>
      </c>
      <c r="V80" s="16">
        <f ca="1">IF(N80="","",IF(N80=0,0, VLOOKUP(A80,INDIRECT("'[" &amp;Info!$B$4&amp;"]"&amp;Info!$B$5&amp;"'!$A$6:$BB$1000"),54,0)))</f>
        <v>0</v>
      </c>
      <c r="W80" s="17">
        <f t="shared" ca="1" si="5"/>
        <v>22</v>
      </c>
      <c r="X80" s="18">
        <f t="shared" ca="1" si="6"/>
        <v>3677</v>
      </c>
      <c r="Y80" s="19">
        <f t="shared" ca="1" si="7"/>
        <v>0</v>
      </c>
      <c r="Z80" s="18">
        <f t="shared" ca="1" si="8"/>
        <v>0</v>
      </c>
    </row>
    <row r="81" spans="1:26" x14ac:dyDescent="0.25">
      <c r="A81" s="8">
        <f ca="1">IFERROR( VLOOKUP(A80+1,INDIRECT("'[" &amp;Info!$B$4&amp;"]"&amp;Info!$B$5&amp;"'!$A$6:$A$1000"),1,0),"")</f>
        <v>77</v>
      </c>
      <c r="B81" s="5" t="str">
        <f ca="1">IFERROR( IF(A81="","", VLOOKUP(A81,INDIRECT("'[" &amp;Info!$B$4&amp;"]"&amp;Info!$B$5&amp;"'!$A$6:$B$1000"),2,0)),"")</f>
        <v>C77</v>
      </c>
      <c r="C81" s="14" t="str">
        <f ca="1">IFERROR( IF(A81="","", VLOOKUP(A81,INDIRECT("'[" &amp;Info!$B$4&amp;"]"&amp;Info!$B$5&amp;"'!$A$6:$D$1000"),3,0)),"")</f>
        <v>STV23</v>
      </c>
      <c r="D81" s="31" t="str">
        <f ca="1">IF(C81="","", VLOOKUP(A81,INDIRECT("'[" &amp;Info!$B$4&amp;"]"&amp;Info!$B$5&amp;"'!$A$6:$T$1000"),20,0))</f>
        <v>C3604</v>
      </c>
      <c r="E81" s="6" t="str">
        <f ca="1">IF(D81="","", VLOOKUP(A81,INDIRECT("'[" &amp;Info!$B$4&amp;"]"&amp;Info!$B$5&amp;"'!$A$6:$U$1000"),21,0))</f>
        <v>YH</v>
      </c>
      <c r="F81" s="6" t="str">
        <f ca="1">IF(D81="","", VLOOKUP(A81,INDIRECT("'[" &amp;Info!$B$4&amp;"]"&amp;Info!$B$5&amp;"'!$A$6:$U$1000"),21,0))</f>
        <v>YH</v>
      </c>
      <c r="G81" s="6">
        <f ca="1">IF(D81="","", VLOOKUP(A81,INDIRECT("'[" &amp;Info!$B$4&amp;"]"&amp;Info!$B$5&amp;"'!$A$6:$V$1000"),22,0))</f>
        <v>6</v>
      </c>
      <c r="H81" s="6">
        <f ca="1">IF(D81="","", VLOOKUP(A81,INDIRECT("'[" &amp;Info!$B$4&amp;"]"&amp;Info!$B$5&amp;"'!$A$6:$W$1000"),23,0))</f>
        <v>0</v>
      </c>
      <c r="I81" s="6" t="str">
        <f ca="1">LOWER( IF(D81="","", VLOOKUP(A81,INDIRECT("'[" &amp;Info!$B$4&amp;"]"&amp;Info!$B$5&amp;"'!$A$6:$y$1000"),25,0)))</f>
        <v>h11</v>
      </c>
      <c r="J81" s="6">
        <f ca="1">IF(D81="","", VLOOKUP(A81,INDIRECT("'[" &amp;Info!$B$4&amp;"]"&amp;Info!$B$5&amp;"'!$A$6:$Z$1000"),26,0))</f>
        <v>3</v>
      </c>
      <c r="K81" s="35" t="str">
        <f ca="1">IF(D81="","", VLOOKUP(A81,INDIRECT("'[" &amp;Info!$B$4&amp;"]"&amp;Info!$B$5&amp;"'!$A$6:$AA$1000"),27,0))</f>
        <v>B17</v>
      </c>
      <c r="L81" s="35">
        <f ca="1">IF(D81="","", VLOOKUP(A81,INDIRECT("'[" &amp;Info!$B$4&amp;"]"&amp;Info!$B$5&amp;"'!$A$6:$H$1000"),8,0))</f>
        <v>1.26</v>
      </c>
      <c r="M81" s="35">
        <f ca="1">IF(D81="","", VLOOKUP(A81,INDIRECT("'[" &amp;Info!$B$4&amp;"]"&amp;Info!$B$5&amp;"'!$A$6:$F$1000"),6,0))</f>
        <v>304</v>
      </c>
      <c r="N81" s="33">
        <f ca="1">IF(C81="","", VLOOKUP(A81,INDIRECT("'[" &amp;Info!$B$4&amp;"]"&amp;Info!$B$5&amp;"'!$A$6:$Au$1000"),47,0))</f>
        <v>12</v>
      </c>
      <c r="O81" s="28">
        <f ca="1">IF(N81="","",IF(N81=0,0,VLOOKUP(A81,INDIRECT("'[" &amp;Info!$B$4&amp;"]"&amp;Info!$B$5&amp;"'!$A$6:$AH$1000"),34,0)))</f>
        <v>4</v>
      </c>
      <c r="P81" s="9">
        <f ca="1">IF(N81="","",IF(N81=0,0,VLOOKUP(A81,INDIRECT("'[" &amp;Info!$B$4&amp;"]"&amp;Info!$B$5&amp;"'!$A$6:$AW$1000"),49,0)))</f>
        <v>1202</v>
      </c>
      <c r="Q81" s="9">
        <f ca="1">IF(N81="","",IF(N81=0,0, VLOOKUP(A81,INDIRECT("'[" &amp;Info!$B$4&amp;"]"&amp;Info!$B$5&amp;"'!$A$6:$AX$1000"),50,0)))</f>
        <v>0</v>
      </c>
      <c r="R81" s="29">
        <f ca="1">IF(N81="","",IF(N81=0,0, VLOOKUP(A81,INDIRECT("'[" &amp;Info!$B$4&amp;"]"&amp;Info!$B$5&amp;"'!$A$6:$AY$1000"),51,0)))</f>
        <v>0</v>
      </c>
      <c r="S81" s="15">
        <f ca="1">IF(N81="","",IF(N81=0,0,VLOOKUP(A81,INDIRECT("'[" &amp;Info!$B$4&amp;"]"&amp;Info!$B$5&amp;"'!$A$6:$Ai$1000"),35,0)))</f>
        <v>0</v>
      </c>
      <c r="T81" s="7">
        <f ca="1">IF(N81="","",IF(N81=0,0, VLOOKUP(A81,INDIRECT("'[" &amp;Info!$B$4&amp;"]"&amp;Info!$B$5&amp;"'!$A$6:$Az$1000"),52,0)))</f>
        <v>0</v>
      </c>
      <c r="U81" s="7">
        <f ca="1">IF(N81="","",IF(N81=0,0, VLOOKUP(A81,INDIRECT("'[" &amp;Info!$B$4&amp;"]"&amp;Info!$B$5&amp;"'!$A$6:$BA$1000"),53,0)))</f>
        <v>0</v>
      </c>
      <c r="V81" s="16">
        <f ca="1">IF(N81="","",IF(N81=0,0, VLOOKUP(A81,INDIRECT("'[" &amp;Info!$B$4&amp;"]"&amp;Info!$B$5&amp;"'!$A$6:$BB$1000"),54,0)))</f>
        <v>0</v>
      </c>
      <c r="W81" s="17">
        <f t="shared" ca="1" si="5"/>
        <v>4</v>
      </c>
      <c r="X81" s="18">
        <f t="shared" ca="1" si="6"/>
        <v>1202</v>
      </c>
      <c r="Y81" s="19">
        <f t="shared" ca="1" si="7"/>
        <v>0</v>
      </c>
      <c r="Z81" s="18">
        <f t="shared" ca="1" si="8"/>
        <v>0</v>
      </c>
    </row>
    <row r="82" spans="1:26" x14ac:dyDescent="0.25">
      <c r="A82" s="8">
        <f ca="1">IFERROR( VLOOKUP(A81+1,INDIRECT("'[" &amp;Info!$B$4&amp;"]"&amp;Info!$B$5&amp;"'!$A$6:$A$1000"),1,0),"")</f>
        <v>78</v>
      </c>
      <c r="B82" s="5" t="str">
        <f ca="1">IFERROR( IF(A82="","", VLOOKUP(A82,INDIRECT("'[" &amp;Info!$B$4&amp;"]"&amp;Info!$B$5&amp;"'!$A$6:$B$1000"),2,0)),"")</f>
        <v>CNC01</v>
      </c>
      <c r="C82" s="14" t="str">
        <f ca="1">IFERROR( IF(A82="","", VLOOKUP(A82,INDIRECT("'[" &amp;Info!$B$4&amp;"]"&amp;Info!$B$5&amp;"'!$A$6:$D$1000"),3,0)),"")</f>
        <v>STV21</v>
      </c>
      <c r="D82" s="31" t="str">
        <f ca="1">IF(C82="","", VLOOKUP(A82,INDIRECT("'[" &amp;Info!$B$4&amp;"]"&amp;Info!$B$5&amp;"'!$A$6:$T$1000"),20,0))</f>
        <v>C3604</v>
      </c>
      <c r="E82" s="6" t="str">
        <f ca="1">IF(D82="","", VLOOKUP(A82,INDIRECT("'[" &amp;Info!$B$4&amp;"]"&amp;Info!$B$5&amp;"'!$A$6:$U$1000"),21,0))</f>
        <v>YH</v>
      </c>
      <c r="F82" s="6" t="str">
        <f ca="1">IF(D82="","", VLOOKUP(A82,INDIRECT("'[" &amp;Info!$B$4&amp;"]"&amp;Info!$B$5&amp;"'!$A$6:$U$1000"),21,0))</f>
        <v>YH</v>
      </c>
      <c r="G82" s="6">
        <f ca="1">IF(D82="","", VLOOKUP(A82,INDIRECT("'[" &amp;Info!$B$4&amp;"]"&amp;Info!$B$5&amp;"'!$A$6:$V$1000"),22,0))</f>
        <v>16</v>
      </c>
      <c r="H82" s="6">
        <f ca="1">IF(D82="","", VLOOKUP(A82,INDIRECT("'[" &amp;Info!$B$4&amp;"]"&amp;Info!$B$5&amp;"'!$A$6:$W$1000"),23,0))</f>
        <v>0</v>
      </c>
      <c r="I82" s="6" t="str">
        <f ca="1">LOWER( IF(D82="","", VLOOKUP(A82,INDIRECT("'[" &amp;Info!$B$4&amp;"]"&amp;Info!$B$5&amp;"'!$A$6:$y$1000"),25,0)))</f>
        <v>h11</v>
      </c>
      <c r="J82" s="6">
        <f ca="1">IF(D82="","", VLOOKUP(A82,INDIRECT("'[" &amp;Info!$B$4&amp;"]"&amp;Info!$B$5&amp;"'!$A$6:$Z$1000"),26,0))</f>
        <v>3</v>
      </c>
      <c r="K82" s="35" t="str">
        <f ca="1">IF(D82="","", VLOOKUP(A82,INDIRECT("'[" &amp;Info!$B$4&amp;"]"&amp;Info!$B$5&amp;"'!$A$6:$AA$1000"),27,0))</f>
        <v>B16</v>
      </c>
      <c r="L82" s="35">
        <f ca="1">IF(D82="","", VLOOKUP(A82,INDIRECT("'[" &amp;Info!$B$4&amp;"]"&amp;Info!$B$5&amp;"'!$A$6:$H$1000"),8,0))</f>
        <v>22.15</v>
      </c>
      <c r="M82" s="35">
        <f ca="1">IF(D82="","", VLOOKUP(A82,INDIRECT("'[" &amp;Info!$B$4&amp;"]"&amp;Info!$B$5&amp;"'!$A$6:$F$1000"),6,0))</f>
        <v>60</v>
      </c>
      <c r="N82" s="33">
        <f ca="1">IF(C82="","", VLOOKUP(A82,INDIRECT("'[" &amp;Info!$B$4&amp;"]"&amp;Info!$B$5&amp;"'!$A$6:$Au$1000"),47,0))</f>
        <v>2</v>
      </c>
      <c r="O82" s="28">
        <f ca="1">IF(N82="","",IF(N82=0,0,VLOOKUP(A82,INDIRECT("'[" &amp;Info!$B$4&amp;"]"&amp;Info!$B$5&amp;"'!$A$6:$AH$1000"),34,0)))</f>
        <v>3</v>
      </c>
      <c r="P82" s="9">
        <f ca="1">IF(N82="","",IF(N82=0,0,VLOOKUP(A82,INDIRECT("'[" &amp;Info!$B$4&amp;"]"&amp;Info!$B$5&amp;"'!$A$6:$AW$1000"),49,0)))</f>
        <v>327</v>
      </c>
      <c r="Q82" s="9">
        <f ca="1">IF(N82="","",IF(N82=0,0, VLOOKUP(A82,INDIRECT("'[" &amp;Info!$B$4&amp;"]"&amp;Info!$B$5&amp;"'!$A$6:$AX$1000"),50,0)))</f>
        <v>0</v>
      </c>
      <c r="R82" s="29">
        <f ca="1">IF(N82="","",IF(N82=0,0, VLOOKUP(A82,INDIRECT("'[" &amp;Info!$B$4&amp;"]"&amp;Info!$B$5&amp;"'!$A$6:$AY$1000"),51,0)))</f>
        <v>0</v>
      </c>
      <c r="S82" s="15">
        <f ca="1">IF(N82="","",IF(N82=0,0,VLOOKUP(A82,INDIRECT("'[" &amp;Info!$B$4&amp;"]"&amp;Info!$B$5&amp;"'!$A$6:$Ai$1000"),35,0)))</f>
        <v>2</v>
      </c>
      <c r="T82" s="7">
        <f ca="1">IF(N82="","",IF(N82=0,0, VLOOKUP(A82,INDIRECT("'[" &amp;Info!$B$4&amp;"]"&amp;Info!$B$5&amp;"'!$A$6:$Az$1000"),52,0)))</f>
        <v>402</v>
      </c>
      <c r="U82" s="7">
        <f ca="1">IF(N82="","",IF(N82=0,0, VLOOKUP(A82,INDIRECT("'[" &amp;Info!$B$4&amp;"]"&amp;Info!$B$5&amp;"'!$A$6:$BA$1000"),53,0)))</f>
        <v>0</v>
      </c>
      <c r="V82" s="16">
        <f ca="1">IF(N82="","",IF(N82=0,0, VLOOKUP(A82,INDIRECT("'[" &amp;Info!$B$4&amp;"]"&amp;Info!$B$5&amp;"'!$A$6:$BB$1000"),54,0)))</f>
        <v>0</v>
      </c>
      <c r="W82" s="17">
        <f t="shared" ca="1" si="5"/>
        <v>5</v>
      </c>
      <c r="X82" s="18">
        <f t="shared" ca="1" si="6"/>
        <v>729</v>
      </c>
      <c r="Y82" s="19">
        <f t="shared" ca="1" si="7"/>
        <v>0</v>
      </c>
      <c r="Z82" s="18">
        <f t="shared" ca="1" si="8"/>
        <v>0</v>
      </c>
    </row>
    <row r="83" spans="1:26" x14ac:dyDescent="0.25">
      <c r="A83" s="8">
        <f ca="1">IFERROR( VLOOKUP(A82+1,INDIRECT("'[" &amp;Info!$B$4&amp;"]"&amp;Info!$B$5&amp;"'!$A$6:$A$1000"),1,0),"")</f>
        <v>79</v>
      </c>
      <c r="B83" s="5" t="str">
        <f ca="1">IFERROR( IF(A83="","", VLOOKUP(A83,INDIRECT("'[" &amp;Info!$B$4&amp;"]"&amp;Info!$B$5&amp;"'!$A$6:$B$1000"),2,0)),"")</f>
        <v>CNC02</v>
      </c>
      <c r="C83" s="14" t="str">
        <f ca="1">IFERROR( IF(A83="","", VLOOKUP(A83,INDIRECT("'[" &amp;Info!$B$4&amp;"]"&amp;Info!$B$5&amp;"'!$A$6:$D$1000"),3,0)),"")</f>
        <v>NA1785</v>
      </c>
      <c r="D83" s="31" t="str">
        <f ca="1">IF(C83="","", VLOOKUP(A83,INDIRECT("'[" &amp;Info!$B$4&amp;"]"&amp;Info!$B$5&amp;"'!$A$6:$T$1000"),20,0))</f>
        <v>C3604</v>
      </c>
      <c r="E83" s="6" t="str">
        <f ca="1">IF(D83="","", VLOOKUP(A83,INDIRECT("'[" &amp;Info!$B$4&amp;"]"&amp;Info!$B$5&amp;"'!$A$6:$U$1000"),21,0))</f>
        <v>IB</v>
      </c>
      <c r="F83" s="6" t="str">
        <f ca="1">IF(D83="","", VLOOKUP(A83,INDIRECT("'[" &amp;Info!$B$4&amp;"]"&amp;Info!$B$5&amp;"'!$A$6:$U$1000"),21,0))</f>
        <v>IB</v>
      </c>
      <c r="G83" s="6">
        <f ca="1">IF(D83="","", VLOOKUP(A83,INDIRECT("'[" &amp;Info!$B$4&amp;"]"&amp;Info!$B$5&amp;"'!$A$6:$V$1000"),22,0))</f>
        <v>10.5</v>
      </c>
      <c r="H83" s="6">
        <f ca="1">IF(D83="","", VLOOKUP(A83,INDIRECT("'[" &amp;Info!$B$4&amp;"]"&amp;Info!$B$5&amp;"'!$A$6:$W$1000"),23,0))</f>
        <v>0</v>
      </c>
      <c r="I83" s="6" t="str">
        <f ca="1">LOWER( IF(D83="","", VLOOKUP(A83,INDIRECT("'[" &amp;Info!$B$4&amp;"]"&amp;Info!$B$5&amp;"'!$A$6:$y$1000"),25,0)))</f>
        <v>h9</v>
      </c>
      <c r="J83" s="6">
        <f ca="1">IF(D83="","", VLOOKUP(A83,INDIRECT("'[" &amp;Info!$B$4&amp;"]"&amp;Info!$B$5&amp;"'!$A$6:$Z$1000"),26,0))</f>
        <v>3</v>
      </c>
      <c r="K83" s="35" t="str">
        <f ca="1">IF(D83="","", VLOOKUP(A83,INDIRECT("'[" &amp;Info!$B$4&amp;"]"&amp;Info!$B$5&amp;"'!$A$6:$AA$1000"),27,0))</f>
        <v>B15</v>
      </c>
      <c r="L83" s="35">
        <f ca="1">IF(D83="","", VLOOKUP(A83,INDIRECT("'[" &amp;Info!$B$4&amp;"]"&amp;Info!$B$5&amp;"'!$A$6:$H$1000"),8,0))</f>
        <v>0</v>
      </c>
      <c r="M83" s="35">
        <f ca="1">IF(D83="","", VLOOKUP(A83,INDIRECT("'[" &amp;Info!$B$4&amp;"]"&amp;Info!$B$5&amp;"'!$A$6:$F$1000"),6,0))</f>
        <v>0</v>
      </c>
      <c r="N83" s="33">
        <f ca="1">IF(C83="","", VLOOKUP(A83,INDIRECT("'[" &amp;Info!$B$4&amp;"]"&amp;Info!$B$5&amp;"'!$A$6:$Au$1000"),47,0))</f>
        <v>0</v>
      </c>
      <c r="O83" s="28">
        <f ca="1">IF(N83="","",IF(N83=0,0,VLOOKUP(A83,INDIRECT("'[" &amp;Info!$B$4&amp;"]"&amp;Info!$B$5&amp;"'!$A$6:$AH$1000"),34,0)))</f>
        <v>0</v>
      </c>
      <c r="P83" s="9">
        <f ca="1">IF(N83="","",IF(N83=0,0,VLOOKUP(A83,INDIRECT("'[" &amp;Info!$B$4&amp;"]"&amp;Info!$B$5&amp;"'!$A$6:$AW$1000"),49,0)))</f>
        <v>0</v>
      </c>
      <c r="Q83" s="9">
        <f ca="1">IF(N83="","",IF(N83=0,0, VLOOKUP(A83,INDIRECT("'[" &amp;Info!$B$4&amp;"]"&amp;Info!$B$5&amp;"'!$A$6:$AX$1000"),50,0)))</f>
        <v>0</v>
      </c>
      <c r="R83" s="29">
        <f ca="1">IF(N83="","",IF(N83=0,0, VLOOKUP(A83,INDIRECT("'[" &amp;Info!$B$4&amp;"]"&amp;Info!$B$5&amp;"'!$A$6:$AY$1000"),51,0)))</f>
        <v>0</v>
      </c>
      <c r="S83" s="15">
        <f ca="1">IF(N83="","",IF(N83=0,0,VLOOKUP(A83,INDIRECT("'[" &amp;Info!$B$4&amp;"]"&amp;Info!$B$5&amp;"'!$A$6:$Ai$1000"),35,0)))</f>
        <v>0</v>
      </c>
      <c r="T83" s="7">
        <f ca="1">IF(N83="","",IF(N83=0,0, VLOOKUP(A83,INDIRECT("'[" &amp;Info!$B$4&amp;"]"&amp;Info!$B$5&amp;"'!$A$6:$Az$1000"),52,0)))</f>
        <v>0</v>
      </c>
      <c r="U83" s="7">
        <f ca="1">IF(N83="","",IF(N83=0,0, VLOOKUP(A83,INDIRECT("'[" &amp;Info!$B$4&amp;"]"&amp;Info!$B$5&amp;"'!$A$6:$BA$1000"),53,0)))</f>
        <v>0</v>
      </c>
      <c r="V83" s="16">
        <f ca="1">IF(N83="","",IF(N83=0,0, VLOOKUP(A83,INDIRECT("'[" &amp;Info!$B$4&amp;"]"&amp;Info!$B$5&amp;"'!$A$6:$BB$1000"),54,0)))</f>
        <v>0</v>
      </c>
      <c r="W83" s="17">
        <f t="shared" ca="1" si="5"/>
        <v>0</v>
      </c>
      <c r="X83" s="18">
        <f t="shared" ca="1" si="6"/>
        <v>0</v>
      </c>
      <c r="Y83" s="19">
        <f t="shared" ca="1" si="7"/>
        <v>0</v>
      </c>
      <c r="Z83" s="18">
        <f t="shared" ca="1" si="8"/>
        <v>0</v>
      </c>
    </row>
    <row r="84" spans="1:26" x14ac:dyDescent="0.25">
      <c r="A84" s="8">
        <f ca="1">IFERROR( VLOOKUP(A83+1,INDIRECT("'[" &amp;Info!$B$4&amp;"]"&amp;Info!$B$5&amp;"'!$A$6:$A$1000"),1,0),"")</f>
        <v>80</v>
      </c>
      <c r="B84" s="5" t="str">
        <f ca="1">IFERROR( IF(A84="","", VLOOKUP(A84,INDIRECT("'[" &amp;Info!$B$4&amp;"]"&amp;Info!$B$5&amp;"'!$A$6:$B$1000"),2,0)),"")</f>
        <v>CNC03</v>
      </c>
      <c r="C84" s="14" t="str">
        <f ca="1">IFERROR( IF(A84="","", VLOOKUP(A84,INDIRECT("'[" &amp;Info!$B$4&amp;"]"&amp;Info!$B$5&amp;"'!$A$6:$D$1000"),3,0)),"")</f>
        <v>1694</v>
      </c>
      <c r="D84" s="31" t="str">
        <f ca="1">IF(C84="","", VLOOKUP(A84,INDIRECT("'[" &amp;Info!$B$4&amp;"]"&amp;Info!$B$5&amp;"'!$A$6:$T$1000"),20,0))</f>
        <v>C3604</v>
      </c>
      <c r="E84" s="6" t="str">
        <f ca="1">IF(D84="","", VLOOKUP(A84,INDIRECT("'[" &amp;Info!$B$4&amp;"]"&amp;Info!$B$5&amp;"'!$A$6:$U$1000"),21,0))</f>
        <v>YH</v>
      </c>
      <c r="F84" s="6" t="str">
        <f ca="1">IF(D84="","", VLOOKUP(A84,INDIRECT("'[" &amp;Info!$B$4&amp;"]"&amp;Info!$B$5&amp;"'!$A$6:$U$1000"),21,0))</f>
        <v>YH</v>
      </c>
      <c r="G84" s="6">
        <f ca="1">IF(D84="","", VLOOKUP(A84,INDIRECT("'[" &amp;Info!$B$4&amp;"]"&amp;Info!$B$5&amp;"'!$A$6:$V$1000"),22,0))</f>
        <v>7</v>
      </c>
      <c r="H84" s="6">
        <f ca="1">IF(D84="","", VLOOKUP(A84,INDIRECT("'[" &amp;Info!$B$4&amp;"]"&amp;Info!$B$5&amp;"'!$A$6:$W$1000"),23,0))</f>
        <v>0</v>
      </c>
      <c r="I84" s="6" t="str">
        <f ca="1">LOWER( IF(D84="","", VLOOKUP(A84,INDIRECT("'[" &amp;Info!$B$4&amp;"]"&amp;Info!$B$5&amp;"'!$A$6:$y$1000"),25,0)))</f>
        <v>h11</v>
      </c>
      <c r="J84" s="6">
        <f ca="1">IF(D84="","", VLOOKUP(A84,INDIRECT("'[" &amp;Info!$B$4&amp;"]"&amp;Info!$B$5&amp;"'!$A$6:$Z$1000"),26,0))</f>
        <v>3</v>
      </c>
      <c r="K84" s="35" t="str">
        <f ca="1">IF(D84="","", VLOOKUP(A84,INDIRECT("'[" &amp;Info!$B$4&amp;"]"&amp;Info!$B$5&amp;"'!$A$6:$AA$1000"),27,0))</f>
        <v>B17</v>
      </c>
      <c r="L84" s="35">
        <f ca="1">IF(D84="","", VLOOKUP(A84,INDIRECT("'[" &amp;Info!$B$4&amp;"]"&amp;Info!$B$5&amp;"'!$A$6:$H$1000"),8,0))</f>
        <v>2.35</v>
      </c>
      <c r="M84" s="35">
        <f ca="1">IF(D84="","", VLOOKUP(A84,INDIRECT("'[" &amp;Info!$B$4&amp;"]"&amp;Info!$B$5&amp;"'!$A$6:$F$1000"),6,0))</f>
        <v>228</v>
      </c>
      <c r="N84" s="33">
        <f ca="1">IF(C84="","", VLOOKUP(A84,INDIRECT("'[" &amp;Info!$B$4&amp;"]"&amp;Info!$B$5&amp;"'!$A$6:$Au$1000"),47,0))</f>
        <v>7</v>
      </c>
      <c r="O84" s="28">
        <f ca="1">IF(N84="","",IF(N84=0,0,VLOOKUP(A84,INDIRECT("'[" &amp;Info!$B$4&amp;"]"&amp;Info!$B$5&amp;"'!$A$6:$AH$1000"),34,0)))</f>
        <v>2</v>
      </c>
      <c r="P84" s="9">
        <f ca="1">IF(N84="","",IF(N84=0,0,VLOOKUP(A84,INDIRECT("'[" &amp;Info!$B$4&amp;"]"&amp;Info!$B$5&amp;"'!$A$6:$AW$1000"),49,0)))</f>
        <v>363</v>
      </c>
      <c r="Q84" s="9">
        <f ca="1">IF(N84="","",IF(N84=0,0, VLOOKUP(A84,INDIRECT("'[" &amp;Info!$B$4&amp;"]"&amp;Info!$B$5&amp;"'!$A$6:$AX$1000"),50,0)))</f>
        <v>0</v>
      </c>
      <c r="R84" s="29">
        <f ca="1">IF(N84="","",IF(N84=0,0, VLOOKUP(A84,INDIRECT("'[" &amp;Info!$B$4&amp;"]"&amp;Info!$B$5&amp;"'!$A$6:$AY$1000"),51,0)))</f>
        <v>0</v>
      </c>
      <c r="S84" s="15">
        <f ca="1">IF(N84="","",IF(N84=0,0,VLOOKUP(A84,INDIRECT("'[" &amp;Info!$B$4&amp;"]"&amp;Info!$B$5&amp;"'!$A$6:$Ai$1000"),35,0)))</f>
        <v>0</v>
      </c>
      <c r="T84" s="7">
        <f ca="1">IF(N84="","",IF(N84=0,0, VLOOKUP(A84,INDIRECT("'[" &amp;Info!$B$4&amp;"]"&amp;Info!$B$5&amp;"'!$A$6:$Az$1000"),52,0)))</f>
        <v>0</v>
      </c>
      <c r="U84" s="7">
        <f ca="1">IF(N84="","",IF(N84=0,0, VLOOKUP(A84,INDIRECT("'[" &amp;Info!$B$4&amp;"]"&amp;Info!$B$5&amp;"'!$A$6:$BA$1000"),53,0)))</f>
        <v>0</v>
      </c>
      <c r="V84" s="16">
        <f ca="1">IF(N84="","",IF(N84=0,0, VLOOKUP(A84,INDIRECT("'[" &amp;Info!$B$4&amp;"]"&amp;Info!$B$5&amp;"'!$A$6:$BB$1000"),54,0)))</f>
        <v>0</v>
      </c>
      <c r="W84" s="17">
        <f t="shared" ca="1" si="5"/>
        <v>2</v>
      </c>
      <c r="X84" s="18">
        <f t="shared" ca="1" si="6"/>
        <v>363</v>
      </c>
      <c r="Y84" s="19">
        <f t="shared" ca="1" si="7"/>
        <v>0</v>
      </c>
      <c r="Z84" s="18">
        <f t="shared" ca="1" si="8"/>
        <v>0</v>
      </c>
    </row>
    <row r="85" spans="1:26" x14ac:dyDescent="0.25">
      <c r="A85" s="8">
        <f ca="1">IFERROR( VLOOKUP(A84+1,INDIRECT("'[" &amp;Info!$B$4&amp;"]"&amp;Info!$B$5&amp;"'!$A$6:$A$1000"),1,0),"")</f>
        <v>81</v>
      </c>
      <c r="B85" s="5" t="str">
        <f ca="1">IFERROR( IF(A85="","", VLOOKUP(A85,INDIRECT("'[" &amp;Info!$B$4&amp;"]"&amp;Info!$B$5&amp;"'!$A$6:$B$1000"),2,0)),"")</f>
        <v>CNC04</v>
      </c>
      <c r="C85" s="14" t="str">
        <f ca="1">IFERROR( IF(A85="","", VLOOKUP(A85,INDIRECT("'[" &amp;Info!$B$4&amp;"]"&amp;Info!$B$5&amp;"'!$A$6:$D$1000"),3,0)),"")</f>
        <v>H14</v>
      </c>
      <c r="D85" s="31" t="str">
        <f ca="1">IF(C85="","", VLOOKUP(A85,INDIRECT("'[" &amp;Info!$B$4&amp;"]"&amp;Info!$B$5&amp;"'!$A$6:$T$1000"),20,0))</f>
        <v>C3604</v>
      </c>
      <c r="E85" s="6" t="str">
        <f ca="1">IF(D85="","", VLOOKUP(A85,INDIRECT("'[" &amp;Info!$B$4&amp;"]"&amp;Info!$B$5&amp;"'!$A$6:$U$1000"),21,0))</f>
        <v>YH</v>
      </c>
      <c r="F85" s="6" t="str">
        <f ca="1">IF(D85="","", VLOOKUP(A85,INDIRECT("'[" &amp;Info!$B$4&amp;"]"&amp;Info!$B$5&amp;"'!$A$6:$U$1000"),21,0))</f>
        <v>YH</v>
      </c>
      <c r="G85" s="6">
        <f ca="1">IF(D85="","", VLOOKUP(A85,INDIRECT("'[" &amp;Info!$B$4&amp;"]"&amp;Info!$B$5&amp;"'!$A$6:$V$1000"),22,0))</f>
        <v>7.5</v>
      </c>
      <c r="H85" s="6">
        <f ca="1">IF(D85="","", VLOOKUP(A85,INDIRECT("'[" &amp;Info!$B$4&amp;"]"&amp;Info!$B$5&amp;"'!$A$6:$W$1000"),23,0))</f>
        <v>0</v>
      </c>
      <c r="I85" s="6" t="str">
        <f ca="1">LOWER( IF(D85="","", VLOOKUP(A85,INDIRECT("'[" &amp;Info!$B$4&amp;"]"&amp;Info!$B$5&amp;"'!$A$6:$y$1000"),25,0)))</f>
        <v>h9</v>
      </c>
      <c r="J85" s="6">
        <f ca="1">IF(D85="","", VLOOKUP(A85,INDIRECT("'[" &amp;Info!$B$4&amp;"]"&amp;Info!$B$5&amp;"'!$A$6:$Z$1000"),26,0))</f>
        <v>3</v>
      </c>
      <c r="K85" s="35" t="str">
        <f ca="1">IF(D85="","", VLOOKUP(A85,INDIRECT("'[" &amp;Info!$B$4&amp;"]"&amp;Info!$B$5&amp;"'!$A$6:$AA$1000"),27,0))</f>
        <v>B16</v>
      </c>
      <c r="L85" s="35">
        <f ca="1">IF(D85="","", VLOOKUP(A85,INDIRECT("'[" &amp;Info!$B$4&amp;"]"&amp;Info!$B$5&amp;"'!$A$6:$H$1000"),8,0))</f>
        <v>5.1820000000000004</v>
      </c>
      <c r="M85" s="35">
        <f ca="1">IF(D85="","", VLOOKUP(A85,INDIRECT("'[" &amp;Info!$B$4&amp;"]"&amp;Info!$B$5&amp;"'!$A$6:$F$1000"),6,0))</f>
        <v>69</v>
      </c>
      <c r="N85" s="33">
        <f ca="1">IF(C85="","", VLOOKUP(A85,INDIRECT("'[" &amp;Info!$B$4&amp;"]"&amp;Info!$B$5&amp;"'!$A$6:$Au$1000"),47,0))</f>
        <v>0</v>
      </c>
      <c r="O85" s="28">
        <f ca="1">IF(N85="","",IF(N85=0,0,VLOOKUP(A85,INDIRECT("'[" &amp;Info!$B$4&amp;"]"&amp;Info!$B$5&amp;"'!$A$6:$AH$1000"),34,0)))</f>
        <v>0</v>
      </c>
      <c r="P85" s="9">
        <f ca="1">IF(N85="","",IF(N85=0,0,VLOOKUP(A85,INDIRECT("'[" &amp;Info!$B$4&amp;"]"&amp;Info!$B$5&amp;"'!$A$6:$AW$1000"),49,0)))</f>
        <v>0</v>
      </c>
      <c r="Q85" s="9">
        <f ca="1">IF(N85="","",IF(N85=0,0, VLOOKUP(A85,INDIRECT("'[" &amp;Info!$B$4&amp;"]"&amp;Info!$B$5&amp;"'!$A$6:$AX$1000"),50,0)))</f>
        <v>0</v>
      </c>
      <c r="R85" s="29">
        <f ca="1">IF(N85="","",IF(N85=0,0, VLOOKUP(A85,INDIRECT("'[" &amp;Info!$B$4&amp;"]"&amp;Info!$B$5&amp;"'!$A$6:$AY$1000"),51,0)))</f>
        <v>0</v>
      </c>
      <c r="S85" s="15">
        <f ca="1">IF(N85="","",IF(N85=0,0,VLOOKUP(A85,INDIRECT("'[" &amp;Info!$B$4&amp;"]"&amp;Info!$B$5&amp;"'!$A$6:$Ai$1000"),35,0)))</f>
        <v>0</v>
      </c>
      <c r="T85" s="7">
        <f ca="1">IF(N85="","",IF(N85=0,0, VLOOKUP(A85,INDIRECT("'[" &amp;Info!$B$4&amp;"]"&amp;Info!$B$5&amp;"'!$A$6:$Az$1000"),52,0)))</f>
        <v>0</v>
      </c>
      <c r="U85" s="7">
        <f ca="1">IF(N85="","",IF(N85=0,0, VLOOKUP(A85,INDIRECT("'[" &amp;Info!$B$4&amp;"]"&amp;Info!$B$5&amp;"'!$A$6:$BA$1000"),53,0)))</f>
        <v>0</v>
      </c>
      <c r="V85" s="16">
        <f ca="1">IF(N85="","",IF(N85=0,0, VLOOKUP(A85,INDIRECT("'[" &amp;Info!$B$4&amp;"]"&amp;Info!$B$5&amp;"'!$A$6:$BB$1000"),54,0)))</f>
        <v>0</v>
      </c>
      <c r="W85" s="17">
        <f t="shared" ca="1" si="5"/>
        <v>0</v>
      </c>
      <c r="X85" s="18">
        <f t="shared" ca="1" si="6"/>
        <v>0</v>
      </c>
      <c r="Y85" s="19">
        <f t="shared" ca="1" si="7"/>
        <v>0</v>
      </c>
      <c r="Z85" s="18">
        <f t="shared" ca="1" si="8"/>
        <v>0</v>
      </c>
    </row>
    <row r="86" spans="1:26" x14ac:dyDescent="0.25">
      <c r="A86" s="8">
        <f ca="1">IFERROR( VLOOKUP(A85+1,INDIRECT("'[" &amp;Info!$B$4&amp;"]"&amp;Info!$B$5&amp;"'!$A$6:$A$1000"),1,0),"")</f>
        <v>82</v>
      </c>
      <c r="B86" s="5" t="str">
        <f ca="1">IFERROR( IF(A86="","", VLOOKUP(A86,INDIRECT("'[" &amp;Info!$B$4&amp;"]"&amp;Info!$B$5&amp;"'!$A$6:$B$1000"),2,0)),"")</f>
        <v>CNC05</v>
      </c>
      <c r="C86" s="14" t="str">
        <f ca="1">IFERROR( IF(A86="","", VLOOKUP(A86,INDIRECT("'[" &amp;Info!$B$4&amp;"]"&amp;Info!$B$5&amp;"'!$A$6:$D$1000"),3,0)),"")</f>
        <v>HA1A</v>
      </c>
      <c r="D86" s="31" t="str">
        <f ca="1">IF(C86="","", VLOOKUP(A86,INDIRECT("'[" &amp;Info!$B$4&amp;"]"&amp;Info!$B$5&amp;"'!$A$6:$T$1000"),20,0))</f>
        <v>A6061-T6</v>
      </c>
      <c r="E86" s="6" t="str">
        <f ca="1">IF(D86="","", VLOOKUP(A86,INDIRECT("'[" &amp;Info!$B$4&amp;"]"&amp;Info!$B$5&amp;"'!$A$6:$U$1000"),21,0))</f>
        <v>GW</v>
      </c>
      <c r="F86" s="6" t="str">
        <f ca="1">IF(D86="","", VLOOKUP(A86,INDIRECT("'[" &amp;Info!$B$4&amp;"]"&amp;Info!$B$5&amp;"'!$A$6:$U$1000"),21,0))</f>
        <v>GW</v>
      </c>
      <c r="G86" s="6">
        <f ca="1">IF(D86="","", VLOOKUP(A86,INDIRECT("'[" &amp;Info!$B$4&amp;"]"&amp;Info!$B$5&amp;"'!$A$6:$V$1000"),22,0))</f>
        <v>14.5</v>
      </c>
      <c r="H86" s="6">
        <f ca="1">IF(D86="","", VLOOKUP(A86,INDIRECT("'[" &amp;Info!$B$4&amp;"]"&amp;Info!$B$5&amp;"'!$A$6:$W$1000"),23,0))</f>
        <v>0</v>
      </c>
      <c r="I86" s="6" t="str">
        <f ca="1">LOWER( IF(D86="","", VLOOKUP(A86,INDIRECT("'[" &amp;Info!$B$4&amp;"]"&amp;Info!$B$5&amp;"'!$A$6:$y$1000"),25,0)))</f>
        <v>h9</v>
      </c>
      <c r="J86" s="6">
        <f ca="1">IF(D86="","", VLOOKUP(A86,INDIRECT("'[" &amp;Info!$B$4&amp;"]"&amp;Info!$B$5&amp;"'!$A$6:$Z$1000"),26,0))</f>
        <v>3</v>
      </c>
      <c r="K86" s="35" t="str">
        <f ca="1">IF(D86="","", VLOOKUP(A86,INDIRECT("'[" &amp;Info!$B$4&amp;"]"&amp;Info!$B$5&amp;"'!$A$6:$AA$1000"),27,0))</f>
        <v>A17</v>
      </c>
      <c r="L86" s="35">
        <f ca="1">IF(D86="","", VLOOKUP(A86,INDIRECT("'[" &amp;Info!$B$4&amp;"]"&amp;Info!$B$5&amp;"'!$A$6:$H$1000"),8,0))</f>
        <v>8.6</v>
      </c>
      <c r="M86" s="35">
        <f ca="1">IF(D86="","", VLOOKUP(A86,INDIRECT("'[" &amp;Info!$B$4&amp;"]"&amp;Info!$B$5&amp;"'!$A$6:$F$1000"),6,0))</f>
        <v>42</v>
      </c>
      <c r="N86" s="33">
        <f ca="1">IF(C86="","", VLOOKUP(A86,INDIRECT("'[" &amp;Info!$B$4&amp;"]"&amp;Info!$B$5&amp;"'!$A$6:$Au$1000"),47,0))</f>
        <v>0</v>
      </c>
      <c r="O86" s="28">
        <f ca="1">IF(N86="","",IF(N86=0,0,VLOOKUP(A86,INDIRECT("'[" &amp;Info!$B$4&amp;"]"&amp;Info!$B$5&amp;"'!$A$6:$AH$1000"),34,0)))</f>
        <v>0</v>
      </c>
      <c r="P86" s="9">
        <f ca="1">IF(N86="","",IF(N86=0,0,VLOOKUP(A86,INDIRECT("'[" &amp;Info!$B$4&amp;"]"&amp;Info!$B$5&amp;"'!$A$6:$AW$1000"),49,0)))</f>
        <v>0</v>
      </c>
      <c r="Q86" s="9">
        <f ca="1">IF(N86="","",IF(N86=0,0, VLOOKUP(A86,INDIRECT("'[" &amp;Info!$B$4&amp;"]"&amp;Info!$B$5&amp;"'!$A$6:$AX$1000"),50,0)))</f>
        <v>0</v>
      </c>
      <c r="R86" s="29">
        <f ca="1">IF(N86="","",IF(N86=0,0, VLOOKUP(A86,INDIRECT("'[" &amp;Info!$B$4&amp;"]"&amp;Info!$B$5&amp;"'!$A$6:$AY$1000"),51,0)))</f>
        <v>0</v>
      </c>
      <c r="S86" s="15">
        <f ca="1">IF(N86="","",IF(N86=0,0,VLOOKUP(A86,INDIRECT("'[" &amp;Info!$B$4&amp;"]"&amp;Info!$B$5&amp;"'!$A$6:$Ai$1000"),35,0)))</f>
        <v>0</v>
      </c>
      <c r="T86" s="7">
        <f ca="1">IF(N86="","",IF(N86=0,0, VLOOKUP(A86,INDIRECT("'[" &amp;Info!$B$4&amp;"]"&amp;Info!$B$5&amp;"'!$A$6:$Az$1000"),52,0)))</f>
        <v>0</v>
      </c>
      <c r="U86" s="7">
        <f ca="1">IF(N86="","",IF(N86=0,0, VLOOKUP(A86,INDIRECT("'[" &amp;Info!$B$4&amp;"]"&amp;Info!$B$5&amp;"'!$A$6:$BA$1000"),53,0)))</f>
        <v>0</v>
      </c>
      <c r="V86" s="16">
        <f ca="1">IF(N86="","",IF(N86=0,0, VLOOKUP(A86,INDIRECT("'[" &amp;Info!$B$4&amp;"]"&amp;Info!$B$5&amp;"'!$A$6:$BB$1000"),54,0)))</f>
        <v>0</v>
      </c>
      <c r="W86" s="17">
        <f t="shared" ca="1" si="5"/>
        <v>0</v>
      </c>
      <c r="X86" s="18">
        <f t="shared" ca="1" si="6"/>
        <v>0</v>
      </c>
      <c r="Y86" s="19">
        <f t="shared" ca="1" si="7"/>
        <v>0</v>
      </c>
      <c r="Z86" s="18">
        <f t="shared" ca="1" si="8"/>
        <v>0</v>
      </c>
    </row>
    <row r="87" spans="1:26" x14ac:dyDescent="0.25">
      <c r="A87" s="8">
        <f ca="1">IFERROR( VLOOKUP(A86+1,INDIRECT("'[" &amp;Info!$B$4&amp;"]"&amp;Info!$B$5&amp;"'!$A$6:$A$1000"),1,0),"")</f>
        <v>83</v>
      </c>
      <c r="B87" s="5" t="str">
        <f ca="1">IFERROR( IF(A87="","", VLOOKUP(A87,INDIRECT("'[" &amp;Info!$B$4&amp;"]"&amp;Info!$B$5&amp;"'!$A$6:$B$1000"),2,0)),"")</f>
        <v>CNC06</v>
      </c>
      <c r="C87" s="14" t="str">
        <f ca="1">IFERROR( IF(A87="","", VLOOKUP(A87,INDIRECT("'[" &amp;Info!$B$4&amp;"]"&amp;Info!$B$5&amp;"'!$A$6:$D$1000"),3,0)),"")</f>
        <v>3V0060130</v>
      </c>
      <c r="D87" s="31" t="str">
        <f ca="1">IF(C87="","", VLOOKUP(A87,INDIRECT("'[" &amp;Info!$B$4&amp;"]"&amp;Info!$B$5&amp;"'!$A$6:$T$1000"),20,0))</f>
        <v>A6061-T6</v>
      </c>
      <c r="E87" s="6" t="str">
        <f ca="1">IF(D87="","", VLOOKUP(A87,INDIRECT("'[" &amp;Info!$B$4&amp;"]"&amp;Info!$B$5&amp;"'!$A$6:$U$1000"),21,0))</f>
        <v>GW</v>
      </c>
      <c r="F87" s="6" t="str">
        <f ca="1">IF(D87="","", VLOOKUP(A87,INDIRECT("'[" &amp;Info!$B$4&amp;"]"&amp;Info!$B$5&amp;"'!$A$6:$U$1000"),21,0))</f>
        <v>GW</v>
      </c>
      <c r="G87" s="6">
        <f ca="1">IF(D87="","", VLOOKUP(A87,INDIRECT("'[" &amp;Info!$B$4&amp;"]"&amp;Info!$B$5&amp;"'!$A$6:$V$1000"),22,0))</f>
        <v>26</v>
      </c>
      <c r="H87" s="6">
        <f ca="1">IF(D87="","", VLOOKUP(A87,INDIRECT("'[" &amp;Info!$B$4&amp;"]"&amp;Info!$B$5&amp;"'!$A$6:$W$1000"),23,0))</f>
        <v>0</v>
      </c>
      <c r="I87" s="6" t="str">
        <f ca="1">LOWER( IF(D87="","", VLOOKUP(A87,INDIRECT("'[" &amp;Info!$B$4&amp;"]"&amp;Info!$B$5&amp;"'!$A$6:$y$1000"),25,0)))</f>
        <v>h9</v>
      </c>
      <c r="J87" s="6">
        <f ca="1">IF(D87="","", VLOOKUP(A87,INDIRECT("'[" &amp;Info!$B$4&amp;"]"&amp;Info!$B$5&amp;"'!$A$6:$Z$1000"),26,0))</f>
        <v>3</v>
      </c>
      <c r="K87" s="35" t="str">
        <f ca="1">IF(D87="","", VLOOKUP(A87,INDIRECT("'[" &amp;Info!$B$4&amp;"]"&amp;Info!$B$5&amp;"'!$A$6:$AA$1000"),27,0))</f>
        <v>A17</v>
      </c>
      <c r="L87" s="35">
        <f ca="1">IF(D87="","", VLOOKUP(A87,INDIRECT("'[" &amp;Info!$B$4&amp;"]"&amp;Info!$B$5&amp;"'!$A$6:$H$1000"),8,0))</f>
        <v>0.6</v>
      </c>
      <c r="M87" s="35">
        <f ca="1">IF(D87="","", VLOOKUP(A87,INDIRECT("'[" &amp;Info!$B$4&amp;"]"&amp;Info!$B$5&amp;"'!$A$6:$F$1000"),6,0))</f>
        <v>675</v>
      </c>
      <c r="N87" s="33">
        <f ca="1">IF(C87="","", VLOOKUP(A87,INDIRECT("'[" &amp;Info!$B$4&amp;"]"&amp;Info!$B$5&amp;"'!$A$6:$Au$1000"),47,0))</f>
        <v>7</v>
      </c>
      <c r="O87" s="28">
        <f ca="1">IF(N87="","",IF(N87=0,0,VLOOKUP(A87,INDIRECT("'[" &amp;Info!$B$4&amp;"]"&amp;Info!$B$5&amp;"'!$A$6:$AH$1000"),34,0)))</f>
        <v>0.5</v>
      </c>
      <c r="P87" s="9">
        <f ca="1">IF(N87="","",IF(N87=0,0,VLOOKUP(A87,INDIRECT("'[" &amp;Info!$B$4&amp;"]"&amp;Info!$B$5&amp;"'!$A$6:$AW$1000"),49,0)))</f>
        <v>135</v>
      </c>
      <c r="Q87" s="9">
        <f ca="1">IF(N87="","",IF(N87=0,0, VLOOKUP(A87,INDIRECT("'[" &amp;Info!$B$4&amp;"]"&amp;Info!$B$5&amp;"'!$A$6:$AX$1000"),50,0)))</f>
        <v>0</v>
      </c>
      <c r="R87" s="29">
        <f ca="1">IF(N87="","",IF(N87=0,0, VLOOKUP(A87,INDIRECT("'[" &amp;Info!$B$4&amp;"]"&amp;Info!$B$5&amp;"'!$A$6:$AY$1000"),51,0)))</f>
        <v>2</v>
      </c>
      <c r="S87" s="15">
        <f ca="1">IF(N87="","",IF(N87=0,0,VLOOKUP(A87,INDIRECT("'[" &amp;Info!$B$4&amp;"]"&amp;Info!$B$5&amp;"'!$A$6:$Ai$1000"),35,0)))</f>
        <v>0.5</v>
      </c>
      <c r="T87" s="7">
        <f ca="1">IF(N87="","",IF(N87=0,0, VLOOKUP(A87,INDIRECT("'[" &amp;Info!$B$4&amp;"]"&amp;Info!$B$5&amp;"'!$A$6:$Az$1000"),52,0)))</f>
        <v>95</v>
      </c>
      <c r="U87" s="7">
        <f ca="1">IF(N87="","",IF(N87=0,0, VLOOKUP(A87,INDIRECT("'[" &amp;Info!$B$4&amp;"]"&amp;Info!$B$5&amp;"'!$A$6:$BA$1000"),53,0)))</f>
        <v>0</v>
      </c>
      <c r="V87" s="16">
        <f ca="1">IF(N87="","",IF(N87=0,0, VLOOKUP(A87,INDIRECT("'[" &amp;Info!$B$4&amp;"]"&amp;Info!$B$5&amp;"'!$A$6:$BB$1000"),54,0)))</f>
        <v>0</v>
      </c>
      <c r="W87" s="17">
        <f t="shared" ca="1" si="5"/>
        <v>1</v>
      </c>
      <c r="X87" s="18">
        <f t="shared" ca="1" si="6"/>
        <v>230</v>
      </c>
      <c r="Y87" s="19">
        <f t="shared" ca="1" si="7"/>
        <v>0</v>
      </c>
      <c r="Z87" s="18">
        <f t="shared" ca="1" si="8"/>
        <v>2</v>
      </c>
    </row>
    <row r="88" spans="1:26" x14ac:dyDescent="0.25">
      <c r="A88" s="8">
        <f ca="1">IFERROR( VLOOKUP(A87+1,INDIRECT("'[" &amp;Info!$B$4&amp;"]"&amp;Info!$B$5&amp;"'!$A$6:$A$1000"),1,0),"")</f>
        <v>84</v>
      </c>
      <c r="B88" s="5" t="str">
        <f ca="1">IFERROR( IF(A88="","", VLOOKUP(A88,INDIRECT("'[" &amp;Info!$B$4&amp;"]"&amp;Info!$B$5&amp;"'!$A$6:$B$1000"),2,0)),"")</f>
        <v>CNC07</v>
      </c>
      <c r="C88" s="14" t="str">
        <f ca="1">IFERROR( IF(A88="","", VLOOKUP(A88,INDIRECT("'[" &amp;Info!$B$4&amp;"]"&amp;Info!$B$5&amp;"'!$A$6:$D$1000"),3,0)),"")</f>
        <v>HA6</v>
      </c>
      <c r="D88" s="31" t="str">
        <f ca="1">IF(C88="","", VLOOKUP(A88,INDIRECT("'[" &amp;Info!$B$4&amp;"]"&amp;Info!$B$5&amp;"'!$A$6:$T$1000"),20,0))</f>
        <v>A6061-T6</v>
      </c>
      <c r="E88" s="6" t="str">
        <f ca="1">IF(D88="","", VLOOKUP(A88,INDIRECT("'[" &amp;Info!$B$4&amp;"]"&amp;Info!$B$5&amp;"'!$A$6:$U$1000"),21,0))</f>
        <v>GW</v>
      </c>
      <c r="F88" s="6" t="str">
        <f ca="1">IF(D88="","", VLOOKUP(A88,INDIRECT("'[" &amp;Info!$B$4&amp;"]"&amp;Info!$B$5&amp;"'!$A$6:$U$1000"),21,0))</f>
        <v>GW</v>
      </c>
      <c r="G88" s="6">
        <f ca="1">IF(D88="","", VLOOKUP(A88,INDIRECT("'[" &amp;Info!$B$4&amp;"]"&amp;Info!$B$5&amp;"'!$A$6:$V$1000"),22,0))</f>
        <v>16</v>
      </c>
      <c r="H88" s="6">
        <f ca="1">IF(D88="","", VLOOKUP(A88,INDIRECT("'[" &amp;Info!$B$4&amp;"]"&amp;Info!$B$5&amp;"'!$A$6:$W$1000"),23,0))</f>
        <v>0</v>
      </c>
      <c r="I88" s="6" t="str">
        <f ca="1">LOWER( IF(D88="","", VLOOKUP(A88,INDIRECT("'[" &amp;Info!$B$4&amp;"]"&amp;Info!$B$5&amp;"'!$A$6:$y$1000"),25,0)))</f>
        <v>h9</v>
      </c>
      <c r="J88" s="6">
        <f ca="1">IF(D88="","", VLOOKUP(A88,INDIRECT("'[" &amp;Info!$B$4&amp;"]"&amp;Info!$B$5&amp;"'!$A$6:$Z$1000"),26,0))</f>
        <v>3</v>
      </c>
      <c r="K88" s="35" t="str">
        <f ca="1">IF(D88="","", VLOOKUP(A88,INDIRECT("'[" &amp;Info!$B$4&amp;"]"&amp;Info!$B$5&amp;"'!$A$6:$AA$1000"),27,0))</f>
        <v>E17</v>
      </c>
      <c r="L88" s="35">
        <f ca="1">IF(D88="","", VLOOKUP(A88,INDIRECT("'[" &amp;Info!$B$4&amp;"]"&amp;Info!$B$5&amp;"'!$A$6:$H$1000"),8,0))</f>
        <v>14.1</v>
      </c>
      <c r="M88" s="35">
        <f ca="1">IF(D88="","", VLOOKUP(A88,INDIRECT("'[" &amp;Info!$B$4&amp;"]"&amp;Info!$B$5&amp;"'!$A$6:$F$1000"),6,0))</f>
        <v>33</v>
      </c>
      <c r="N88" s="33">
        <f ca="1">IF(C88="","", VLOOKUP(A88,INDIRECT("'[" &amp;Info!$B$4&amp;"]"&amp;Info!$B$5&amp;"'!$A$6:$Au$1000"),47,0))</f>
        <v>2</v>
      </c>
      <c r="O88" s="28">
        <f ca="1">IF(N88="","",IF(N88=0,0,VLOOKUP(A88,INDIRECT("'[" &amp;Info!$B$4&amp;"]"&amp;Info!$B$5&amp;"'!$A$6:$AH$1000"),34,0)))</f>
        <v>4</v>
      </c>
      <c r="P88" s="9">
        <f ca="1">IF(N88="","",IF(N88=0,0,VLOOKUP(A88,INDIRECT("'[" &amp;Info!$B$4&amp;"]"&amp;Info!$B$5&amp;"'!$A$6:$AW$1000"),49,0)))</f>
        <v>165</v>
      </c>
      <c r="Q88" s="9">
        <f ca="1">IF(N88="","",IF(N88=0,0, VLOOKUP(A88,INDIRECT("'[" &amp;Info!$B$4&amp;"]"&amp;Info!$B$5&amp;"'!$A$6:$AX$1000"),50,0)))</f>
        <v>0</v>
      </c>
      <c r="R88" s="29">
        <f ca="1">IF(N88="","",IF(N88=0,0, VLOOKUP(A88,INDIRECT("'[" &amp;Info!$B$4&amp;"]"&amp;Info!$B$5&amp;"'!$A$6:$AY$1000"),51,0)))</f>
        <v>0</v>
      </c>
      <c r="S88" s="15">
        <f ca="1">IF(N88="","",IF(N88=0,0,VLOOKUP(A88,INDIRECT("'[" &amp;Info!$B$4&amp;"]"&amp;Info!$B$5&amp;"'!$A$6:$Ai$1000"),35,0)))</f>
        <v>5</v>
      </c>
      <c r="T88" s="7">
        <f ca="1">IF(N88="","",IF(N88=0,0, VLOOKUP(A88,INDIRECT("'[" &amp;Info!$B$4&amp;"]"&amp;Info!$B$5&amp;"'!$A$6:$Az$1000"),52,0)))</f>
        <v>129</v>
      </c>
      <c r="U88" s="7">
        <f ca="1">IF(N88="","",IF(N88=0,0, VLOOKUP(A88,INDIRECT("'[" &amp;Info!$B$4&amp;"]"&amp;Info!$B$5&amp;"'!$A$6:$BA$1000"),53,0)))</f>
        <v>0</v>
      </c>
      <c r="V88" s="16">
        <f ca="1">IF(N88="","",IF(N88=0,0, VLOOKUP(A88,INDIRECT("'[" &amp;Info!$B$4&amp;"]"&amp;Info!$B$5&amp;"'!$A$6:$BB$1000"),54,0)))</f>
        <v>0</v>
      </c>
      <c r="W88" s="17">
        <f t="shared" ca="1" si="5"/>
        <v>9</v>
      </c>
      <c r="X88" s="18">
        <f t="shared" ca="1" si="6"/>
        <v>294</v>
      </c>
      <c r="Y88" s="19">
        <f t="shared" ca="1" si="7"/>
        <v>0</v>
      </c>
      <c r="Z88" s="18">
        <f t="shared" ca="1" si="8"/>
        <v>0</v>
      </c>
    </row>
    <row r="89" spans="1:26" x14ac:dyDescent="0.25">
      <c r="A89" s="8">
        <f ca="1">IFERROR( VLOOKUP(A88+1,INDIRECT("'[" &amp;Info!$B$4&amp;"]"&amp;Info!$B$5&amp;"'!$A$6:$A$1000"),1,0),"")</f>
        <v>85</v>
      </c>
      <c r="B89" s="5" t="str">
        <f ca="1">IFERROR( IF(A89="","", VLOOKUP(A89,INDIRECT("'[" &amp;Info!$B$4&amp;"]"&amp;Info!$B$5&amp;"'!$A$6:$B$1000"),2,0)),"")</f>
        <v>CNC08</v>
      </c>
      <c r="C89" s="14" t="str">
        <f ca="1">IFERROR( IF(A89="","", VLOOKUP(A89,INDIRECT("'[" &amp;Info!$B$4&amp;"]"&amp;Info!$B$5&amp;"'!$A$6:$D$1000"),3,0)),"")</f>
        <v>STV HPR</v>
      </c>
      <c r="D89" s="31" t="str">
        <f ca="1">IF(C89="","", VLOOKUP(A89,INDIRECT("'[" &amp;Info!$B$4&amp;"]"&amp;Info!$B$5&amp;"'!$A$6:$T$1000"),20,0))</f>
        <v>C3604</v>
      </c>
      <c r="E89" s="6" t="str">
        <f ca="1">IF(D89="","", VLOOKUP(A89,INDIRECT("'[" &amp;Info!$B$4&amp;"]"&amp;Info!$B$5&amp;"'!$A$6:$U$1000"),21,0))</f>
        <v>YH</v>
      </c>
      <c r="F89" s="6" t="str">
        <f ca="1">IF(D89="","", VLOOKUP(A89,INDIRECT("'[" &amp;Info!$B$4&amp;"]"&amp;Info!$B$5&amp;"'!$A$6:$U$1000"),21,0))</f>
        <v>YH</v>
      </c>
      <c r="G89" s="6">
        <f ca="1">IF(D89="","", VLOOKUP(A89,INDIRECT("'[" &amp;Info!$B$4&amp;"]"&amp;Info!$B$5&amp;"'!$A$6:$V$1000"),22,0))</f>
        <v>16</v>
      </c>
      <c r="H89" s="6">
        <f ca="1">IF(D89="","", VLOOKUP(A89,INDIRECT("'[" &amp;Info!$B$4&amp;"]"&amp;Info!$B$5&amp;"'!$A$6:$W$1000"),23,0))</f>
        <v>0</v>
      </c>
      <c r="I89" s="6" t="str">
        <f ca="1">LOWER( IF(D89="","", VLOOKUP(A89,INDIRECT("'[" &amp;Info!$B$4&amp;"]"&amp;Info!$B$5&amp;"'!$A$6:$y$1000"),25,0)))</f>
        <v>h11</v>
      </c>
      <c r="J89" s="6">
        <f ca="1">IF(D89="","", VLOOKUP(A89,INDIRECT("'[" &amp;Info!$B$4&amp;"]"&amp;Info!$B$5&amp;"'!$A$6:$Z$1000"),26,0))</f>
        <v>3</v>
      </c>
      <c r="K89" s="35" t="str">
        <f ca="1">IF(D89="","", VLOOKUP(A89,INDIRECT("'[" &amp;Info!$B$4&amp;"]"&amp;Info!$B$5&amp;"'!$A$6:$AA$1000"),27,0))</f>
        <v>A16</v>
      </c>
      <c r="L89" s="35">
        <f ca="1">IF(D89="","", VLOOKUP(A89,INDIRECT("'[" &amp;Info!$B$4&amp;"]"&amp;Info!$B$5&amp;"'!$A$6:$H$1000"),8,0))</f>
        <v>29.6</v>
      </c>
      <c r="M89" s="35">
        <f ca="1">IF(D89="","", VLOOKUP(A89,INDIRECT("'[" &amp;Info!$B$4&amp;"]"&amp;Info!$B$5&amp;"'!$A$6:$F$1000"),6,0))</f>
        <v>117</v>
      </c>
      <c r="N89" s="33">
        <f ca="1">IF(C89="","", VLOOKUP(A89,INDIRECT("'[" &amp;Info!$B$4&amp;"]"&amp;Info!$B$5&amp;"'!$A$6:$Au$1000"),47,0))</f>
        <v>0</v>
      </c>
      <c r="O89" s="28">
        <f ca="1">IF(N89="","",IF(N89=0,0,VLOOKUP(A89,INDIRECT("'[" &amp;Info!$B$4&amp;"]"&amp;Info!$B$5&amp;"'!$A$6:$AH$1000"),34,0)))</f>
        <v>0</v>
      </c>
      <c r="P89" s="9">
        <f ca="1">IF(N89="","",IF(N89=0,0,VLOOKUP(A89,INDIRECT("'[" &amp;Info!$B$4&amp;"]"&amp;Info!$B$5&amp;"'!$A$6:$AW$1000"),49,0)))</f>
        <v>0</v>
      </c>
      <c r="Q89" s="9">
        <f ca="1">IF(N89="","",IF(N89=0,0, VLOOKUP(A89,INDIRECT("'[" &amp;Info!$B$4&amp;"]"&amp;Info!$B$5&amp;"'!$A$6:$AX$1000"),50,0)))</f>
        <v>0</v>
      </c>
      <c r="R89" s="29">
        <f ca="1">IF(N89="","",IF(N89=0,0, VLOOKUP(A89,INDIRECT("'[" &amp;Info!$B$4&amp;"]"&amp;Info!$B$5&amp;"'!$A$6:$AY$1000"),51,0)))</f>
        <v>0</v>
      </c>
      <c r="S89" s="15">
        <f ca="1">IF(N89="","",IF(N89=0,0,VLOOKUP(A89,INDIRECT("'[" &amp;Info!$B$4&amp;"]"&amp;Info!$B$5&amp;"'!$A$6:$Ai$1000"),35,0)))</f>
        <v>0</v>
      </c>
      <c r="T89" s="7">
        <f ca="1">IF(N89="","",IF(N89=0,0, VLOOKUP(A89,INDIRECT("'[" &amp;Info!$B$4&amp;"]"&amp;Info!$B$5&amp;"'!$A$6:$Az$1000"),52,0)))</f>
        <v>0</v>
      </c>
      <c r="U89" s="7">
        <f ca="1">IF(N89="","",IF(N89=0,0, VLOOKUP(A89,INDIRECT("'[" &amp;Info!$B$4&amp;"]"&amp;Info!$B$5&amp;"'!$A$6:$BA$1000"),53,0)))</f>
        <v>0</v>
      </c>
      <c r="V89" s="16">
        <f ca="1">IF(N89="","",IF(N89=0,0, VLOOKUP(A89,INDIRECT("'[" &amp;Info!$B$4&amp;"]"&amp;Info!$B$5&amp;"'!$A$6:$BB$1000"),54,0)))</f>
        <v>0</v>
      </c>
      <c r="W89" s="17">
        <f t="shared" ca="1" si="5"/>
        <v>0</v>
      </c>
      <c r="X89" s="18">
        <f t="shared" ca="1" si="6"/>
        <v>0</v>
      </c>
      <c r="Y89" s="19">
        <f t="shared" ca="1" si="7"/>
        <v>0</v>
      </c>
      <c r="Z89" s="18">
        <f t="shared" ca="1" si="8"/>
        <v>0</v>
      </c>
    </row>
    <row r="90" spans="1:26" x14ac:dyDescent="0.25">
      <c r="A90" s="8">
        <f ca="1">IFERROR( VLOOKUP(A89+1,INDIRECT("'[" &amp;Info!$B$4&amp;"]"&amp;Info!$B$5&amp;"'!$A$6:$A$1000"),1,0),"")</f>
        <v>86</v>
      </c>
      <c r="B90" s="5" t="str">
        <f ca="1">IFERROR( IF(A90="","", VLOOKUP(A90,INDIRECT("'[" &amp;Info!$B$4&amp;"]"&amp;Info!$B$5&amp;"'!$A$6:$B$1000"),2,0)),"")</f>
        <v>CNC09</v>
      </c>
      <c r="C90" s="14" t="str">
        <f ca="1">IFERROR( IF(A90="","", VLOOKUP(A90,INDIRECT("'[" &amp;Info!$B$4&amp;"]"&amp;Info!$B$5&amp;"'!$A$6:$D$1000"),3,0)),"")</f>
        <v>HA14</v>
      </c>
      <c r="D90" s="31" t="str">
        <f ca="1">IF(C90="","", VLOOKUP(A90,INDIRECT("'[" &amp;Info!$B$4&amp;"]"&amp;Info!$B$5&amp;"'!$A$6:$T$1000"),20,0))</f>
        <v>A6061-T6</v>
      </c>
      <c r="E90" s="6" t="str">
        <f ca="1">IF(D90="","", VLOOKUP(A90,INDIRECT("'[" &amp;Info!$B$4&amp;"]"&amp;Info!$B$5&amp;"'!$A$6:$U$1000"),21,0))</f>
        <v>GW</v>
      </c>
      <c r="F90" s="6" t="str">
        <f ca="1">IF(D90="","", VLOOKUP(A90,INDIRECT("'[" &amp;Info!$B$4&amp;"]"&amp;Info!$B$5&amp;"'!$A$6:$U$1000"),21,0))</f>
        <v>GW</v>
      </c>
      <c r="G90" s="6">
        <f ca="1">IF(D90="","", VLOOKUP(A90,INDIRECT("'[" &amp;Info!$B$4&amp;"]"&amp;Info!$B$5&amp;"'!$A$6:$V$1000"),22,0))</f>
        <v>19.100000000000001</v>
      </c>
      <c r="H90" s="6">
        <f ca="1">IF(D90="","", VLOOKUP(A90,INDIRECT("'[" &amp;Info!$B$4&amp;"]"&amp;Info!$B$5&amp;"'!$A$6:$W$1000"),23,0))</f>
        <v>0</v>
      </c>
      <c r="I90" s="6" t="str">
        <f ca="1">LOWER( IF(D90="","", VLOOKUP(A90,INDIRECT("'[" &amp;Info!$B$4&amp;"]"&amp;Info!$B$5&amp;"'!$A$6:$y$1000"),25,0)))</f>
        <v>h9</v>
      </c>
      <c r="J90" s="6">
        <f ca="1">IF(D90="","", VLOOKUP(A90,INDIRECT("'[" &amp;Info!$B$4&amp;"]"&amp;Info!$B$5&amp;"'!$A$6:$Z$1000"),26,0))</f>
        <v>3</v>
      </c>
      <c r="K90" s="35" t="str">
        <f ca="1">IF(D90="","", VLOOKUP(A90,INDIRECT("'[" &amp;Info!$B$4&amp;"]"&amp;Info!$B$5&amp;"'!$A$6:$AA$1000"),27,0))</f>
        <v>B17</v>
      </c>
      <c r="L90" s="35">
        <f ca="1">IF(D90="","", VLOOKUP(A90,INDIRECT("'[" &amp;Info!$B$4&amp;"]"&amp;Info!$B$5&amp;"'!$A$6:$H$1000"),8,0))</f>
        <v>26.12</v>
      </c>
      <c r="M90" s="35">
        <f ca="1">IF(D90="","", VLOOKUP(A90,INDIRECT("'[" &amp;Info!$B$4&amp;"]"&amp;Info!$B$5&amp;"'!$A$6:$F$1000"),6,0))</f>
        <v>24</v>
      </c>
      <c r="N90" s="33">
        <f ca="1">IF(C90="","", VLOOKUP(A90,INDIRECT("'[" &amp;Info!$B$4&amp;"]"&amp;Info!$B$5&amp;"'!$A$6:$Au$1000"),47,0))</f>
        <v>7</v>
      </c>
      <c r="O90" s="28">
        <f ca="1">IF(N90="","",IF(N90=0,0,VLOOKUP(A90,INDIRECT("'[" &amp;Info!$B$4&amp;"]"&amp;Info!$B$5&amp;"'!$A$6:$AH$1000"),34,0)))</f>
        <v>3</v>
      </c>
      <c r="P90" s="9">
        <f ca="1">IF(N90="","",IF(N90=0,0,VLOOKUP(A90,INDIRECT("'[" &amp;Info!$B$4&amp;"]"&amp;Info!$B$5&amp;"'!$A$6:$AW$1000"),49,0)))</f>
        <v>68</v>
      </c>
      <c r="Q90" s="9">
        <f ca="1">IF(N90="","",IF(N90=0,0, VLOOKUP(A90,INDIRECT("'[" &amp;Info!$B$4&amp;"]"&amp;Info!$B$5&amp;"'!$A$6:$AX$1000"),50,0)))</f>
        <v>0</v>
      </c>
      <c r="R90" s="29">
        <f ca="1">IF(N90="","",IF(N90=0,0, VLOOKUP(A90,INDIRECT("'[" &amp;Info!$B$4&amp;"]"&amp;Info!$B$5&amp;"'!$A$6:$AY$1000"),51,0)))</f>
        <v>0</v>
      </c>
      <c r="S90" s="15">
        <f ca="1">IF(N90="","",IF(N90=0,0,VLOOKUP(A90,INDIRECT("'[" &amp;Info!$B$4&amp;"]"&amp;Info!$B$5&amp;"'!$A$6:$Ai$1000"),35,0)))</f>
        <v>5</v>
      </c>
      <c r="T90" s="7">
        <f ca="1">IF(N90="","",IF(N90=0,0, VLOOKUP(A90,INDIRECT("'[" &amp;Info!$B$4&amp;"]"&amp;Info!$B$5&amp;"'!$A$6:$Az$1000"),52,0)))</f>
        <v>125</v>
      </c>
      <c r="U90" s="7">
        <f ca="1">IF(N90="","",IF(N90=0,0, VLOOKUP(A90,INDIRECT("'[" &amp;Info!$B$4&amp;"]"&amp;Info!$B$5&amp;"'!$A$6:$BA$1000"),53,0)))</f>
        <v>0</v>
      </c>
      <c r="V90" s="16">
        <f ca="1">IF(N90="","",IF(N90=0,0, VLOOKUP(A90,INDIRECT("'[" &amp;Info!$B$4&amp;"]"&amp;Info!$B$5&amp;"'!$A$6:$BB$1000"),54,0)))</f>
        <v>0</v>
      </c>
      <c r="W90" s="17">
        <f t="shared" ca="1" si="5"/>
        <v>8</v>
      </c>
      <c r="X90" s="18">
        <f t="shared" ca="1" si="6"/>
        <v>193</v>
      </c>
      <c r="Y90" s="19">
        <f t="shared" ca="1" si="7"/>
        <v>0</v>
      </c>
      <c r="Z90" s="18">
        <f t="shared" ca="1" si="8"/>
        <v>0</v>
      </c>
    </row>
    <row r="91" spans="1:26" x14ac:dyDescent="0.25">
      <c r="A91" s="8">
        <f ca="1">IFERROR( VLOOKUP(A90+1,INDIRECT("'[" &amp;Info!$B$4&amp;"]"&amp;Info!$B$5&amp;"'!$A$6:$A$1000"),1,0),"")</f>
        <v>87</v>
      </c>
      <c r="B91" s="5" t="str">
        <f ca="1">IFERROR( IF(A91="","", VLOOKUP(A91,INDIRECT("'[" &amp;Info!$B$4&amp;"]"&amp;Info!$B$5&amp;"'!$A$6:$B$1000"),2,0)),"")</f>
        <v>CNC10</v>
      </c>
      <c r="C91" s="14" t="str">
        <f ca="1">IFERROR( IF(A91="","", VLOOKUP(A91,INDIRECT("'[" &amp;Info!$B$4&amp;"]"&amp;Info!$B$5&amp;"'!$A$6:$D$1000"),3,0)),"")</f>
        <v>S6</v>
      </c>
      <c r="D91" s="31" t="str">
        <f ca="1">IF(C91="","", VLOOKUP(A91,INDIRECT("'[" &amp;Info!$B$4&amp;"]"&amp;Info!$B$5&amp;"'!$A$6:$T$1000"),20,0))</f>
        <v>12L14</v>
      </c>
      <c r="E91" s="6" t="str">
        <f ca="1">IF(D91="","", VLOOKUP(A91,INDIRECT("'[" &amp;Info!$B$4&amp;"]"&amp;Info!$B$5&amp;"'!$A$6:$U$1000"),21,0))</f>
        <v>TV</v>
      </c>
      <c r="F91" s="6" t="str">
        <f ca="1">IF(D91="","", VLOOKUP(A91,INDIRECT("'[" &amp;Info!$B$4&amp;"]"&amp;Info!$B$5&amp;"'!$A$6:$U$1000"),21,0))</f>
        <v>TV</v>
      </c>
      <c r="G91" s="6">
        <f ca="1">IF(D91="","", VLOOKUP(A91,INDIRECT("'[" &amp;Info!$B$4&amp;"]"&amp;Info!$B$5&amp;"'!$A$6:$V$1000"),22,0))</f>
        <v>6</v>
      </c>
      <c r="H91" s="6">
        <f ca="1">IF(D91="","", VLOOKUP(A91,INDIRECT("'[" &amp;Info!$B$4&amp;"]"&amp;Info!$B$5&amp;"'!$A$6:$W$1000"),23,0))</f>
        <v>0</v>
      </c>
      <c r="I91" s="6" t="str">
        <f ca="1">LOWER( IF(D91="","", VLOOKUP(A91,INDIRECT("'[" &amp;Info!$B$4&amp;"]"&amp;Info!$B$5&amp;"'!$A$6:$y$1000"),25,0)))</f>
        <v>h11</v>
      </c>
      <c r="J91" s="6">
        <f ca="1">IF(D91="","", VLOOKUP(A91,INDIRECT("'[" &amp;Info!$B$4&amp;"]"&amp;Info!$B$5&amp;"'!$A$6:$Z$1000"),26,0))</f>
        <v>2.5</v>
      </c>
      <c r="K91" s="35" t="str">
        <f ca="1">IF(D91="","", VLOOKUP(A91,INDIRECT("'[" &amp;Info!$B$4&amp;"]"&amp;Info!$B$5&amp;"'!$A$6:$AA$1000"),27,0))</f>
        <v>B15</v>
      </c>
      <c r="L91" s="35">
        <f ca="1">IF(D91="","", VLOOKUP(A91,INDIRECT("'[" &amp;Info!$B$4&amp;"]"&amp;Info!$B$5&amp;"'!$A$6:$H$1000"),8,0))</f>
        <v>16.45</v>
      </c>
      <c r="M91" s="35">
        <f ca="1">IF(D91="","", VLOOKUP(A91,INDIRECT("'[" &amp;Info!$B$4&amp;"]"&amp;Info!$B$5&amp;"'!$A$6:$F$1000"),6,0))</f>
        <v>30</v>
      </c>
      <c r="N91" s="33">
        <f ca="1">IF(C91="","", VLOOKUP(A91,INDIRECT("'[" &amp;Info!$B$4&amp;"]"&amp;Info!$B$5&amp;"'!$A$6:$Au$1000"),47,0))</f>
        <v>0</v>
      </c>
      <c r="O91" s="28">
        <f ca="1">IF(N91="","",IF(N91=0,0,VLOOKUP(A91,INDIRECT("'[" &amp;Info!$B$4&amp;"]"&amp;Info!$B$5&amp;"'!$A$6:$AH$1000"),34,0)))</f>
        <v>0</v>
      </c>
      <c r="P91" s="9">
        <f ca="1">IF(N91="","",IF(N91=0,0,VLOOKUP(A91,INDIRECT("'[" &amp;Info!$B$4&amp;"]"&amp;Info!$B$5&amp;"'!$A$6:$AW$1000"),49,0)))</f>
        <v>0</v>
      </c>
      <c r="Q91" s="9">
        <f ca="1">IF(N91="","",IF(N91=0,0, VLOOKUP(A91,INDIRECT("'[" &amp;Info!$B$4&amp;"]"&amp;Info!$B$5&amp;"'!$A$6:$AX$1000"),50,0)))</f>
        <v>0</v>
      </c>
      <c r="R91" s="29">
        <f ca="1">IF(N91="","",IF(N91=0,0, VLOOKUP(A91,INDIRECT("'[" &amp;Info!$B$4&amp;"]"&amp;Info!$B$5&amp;"'!$A$6:$AY$1000"),51,0)))</f>
        <v>0</v>
      </c>
      <c r="S91" s="15">
        <f ca="1">IF(N91="","",IF(N91=0,0,VLOOKUP(A91,INDIRECT("'[" &amp;Info!$B$4&amp;"]"&amp;Info!$B$5&amp;"'!$A$6:$Ai$1000"),35,0)))</f>
        <v>0</v>
      </c>
      <c r="T91" s="7">
        <f ca="1">IF(N91="","",IF(N91=0,0, VLOOKUP(A91,INDIRECT("'[" &amp;Info!$B$4&amp;"]"&amp;Info!$B$5&amp;"'!$A$6:$Az$1000"),52,0)))</f>
        <v>0</v>
      </c>
      <c r="U91" s="7">
        <f ca="1">IF(N91="","",IF(N91=0,0, VLOOKUP(A91,INDIRECT("'[" &amp;Info!$B$4&amp;"]"&amp;Info!$B$5&amp;"'!$A$6:$BA$1000"),53,0)))</f>
        <v>0</v>
      </c>
      <c r="V91" s="16">
        <f ca="1">IF(N91="","",IF(N91=0,0, VLOOKUP(A91,INDIRECT("'[" &amp;Info!$B$4&amp;"]"&amp;Info!$B$5&amp;"'!$A$6:$BB$1000"),54,0)))</f>
        <v>0</v>
      </c>
      <c r="W91" s="17">
        <f t="shared" ca="1" si="5"/>
        <v>0</v>
      </c>
      <c r="X91" s="18">
        <f t="shared" ca="1" si="6"/>
        <v>0</v>
      </c>
      <c r="Y91" s="19">
        <f t="shared" ca="1" si="7"/>
        <v>0</v>
      </c>
      <c r="Z91" s="18">
        <f t="shared" ca="1" si="8"/>
        <v>0</v>
      </c>
    </row>
    <row r="92" spans="1:26" x14ac:dyDescent="0.25">
      <c r="A92" s="8">
        <f ca="1">IFERROR( VLOOKUP(A91+1,INDIRECT("'[" &amp;Info!$B$4&amp;"]"&amp;Info!$B$5&amp;"'!$A$6:$A$1000"),1,0),"")</f>
        <v>88</v>
      </c>
      <c r="B92" s="5" t="str">
        <f ca="1">IFERROR( IF(A92="","", VLOOKUP(A92,INDIRECT("'[" &amp;Info!$B$4&amp;"]"&amp;Info!$B$5&amp;"'!$A$6:$B$1000"),2,0)),"")</f>
        <v>CNC11</v>
      </c>
      <c r="C92" s="14" t="str">
        <f ca="1">IFERROR( IF(A92="","", VLOOKUP(A92,INDIRECT("'[" &amp;Info!$B$4&amp;"]"&amp;Info!$B$5&amp;"'!$A$6:$D$1000"),3,0)),"")</f>
        <v>LS3</v>
      </c>
      <c r="D92" s="31" t="str">
        <f ca="1">IF(C92="","", VLOOKUP(A92,INDIRECT("'[" &amp;Info!$B$4&amp;"]"&amp;Info!$B$5&amp;"'!$A$6:$T$1000"),20,0))</f>
        <v>SUS303</v>
      </c>
      <c r="E92" s="6" t="str">
        <f ca="1">IF(D92="","", VLOOKUP(A92,INDIRECT("'[" &amp;Info!$B$4&amp;"]"&amp;Info!$B$5&amp;"'!$A$6:$U$1000"),21,0))</f>
        <v>ME</v>
      </c>
      <c r="F92" s="6" t="str">
        <f ca="1">IF(D92="","", VLOOKUP(A92,INDIRECT("'[" &amp;Info!$B$4&amp;"]"&amp;Info!$B$5&amp;"'!$A$6:$U$1000"),21,0))</f>
        <v>ME</v>
      </c>
      <c r="G92" s="6">
        <f ca="1">IF(D92="","", VLOOKUP(A92,INDIRECT("'[" &amp;Info!$B$4&amp;"]"&amp;Info!$B$5&amp;"'!$A$6:$V$1000"),22,0))</f>
        <v>9</v>
      </c>
      <c r="H92" s="6">
        <f ca="1">IF(D92="","", VLOOKUP(A92,INDIRECT("'[" &amp;Info!$B$4&amp;"]"&amp;Info!$B$5&amp;"'!$A$6:$W$1000"),23,0))</f>
        <v>0</v>
      </c>
      <c r="I92" s="6" t="str">
        <f ca="1">LOWER( IF(D92="","", VLOOKUP(A92,INDIRECT("'[" &amp;Info!$B$4&amp;"]"&amp;Info!$B$5&amp;"'!$A$6:$y$1000"),25,0)))</f>
        <v>h9</v>
      </c>
      <c r="J92" s="6">
        <f ca="1">IF(D92="","", VLOOKUP(A92,INDIRECT("'[" &amp;Info!$B$4&amp;"]"&amp;Info!$B$5&amp;"'!$A$6:$Z$1000"),26,0))</f>
        <v>3</v>
      </c>
      <c r="K92" s="35" t="str">
        <f ca="1">IF(D92="","", VLOOKUP(A92,INDIRECT("'[" &amp;Info!$B$4&amp;"]"&amp;Info!$B$5&amp;"'!$A$6:$AA$1000"),27,0))</f>
        <v>A16</v>
      </c>
      <c r="L92" s="35">
        <f ca="1">IF(D92="","", VLOOKUP(A92,INDIRECT("'[" &amp;Info!$B$4&amp;"]"&amp;Info!$B$5&amp;"'!$A$6:$H$1000"),8,0))</f>
        <v>0.7</v>
      </c>
      <c r="M92" s="35">
        <f ca="1">IF(D92="","", VLOOKUP(A92,INDIRECT("'[" &amp;Info!$B$4&amp;"]"&amp;Info!$B$5&amp;"'!$A$6:$F$1000"),6,0))</f>
        <v>270</v>
      </c>
      <c r="N92" s="33">
        <f ca="1">IF(C92="","", VLOOKUP(A92,INDIRECT("'[" &amp;Info!$B$4&amp;"]"&amp;Info!$B$5&amp;"'!$A$6:$Au$1000"),47,0))</f>
        <v>0</v>
      </c>
      <c r="O92" s="28">
        <f ca="1">IF(N92="","",IF(N92=0,0,VLOOKUP(A92,INDIRECT("'[" &amp;Info!$B$4&amp;"]"&amp;Info!$B$5&amp;"'!$A$6:$AH$1000"),34,0)))</f>
        <v>0</v>
      </c>
      <c r="P92" s="9">
        <f ca="1">IF(N92="","",IF(N92=0,0,VLOOKUP(A92,INDIRECT("'[" &amp;Info!$B$4&amp;"]"&amp;Info!$B$5&amp;"'!$A$6:$AW$1000"),49,0)))</f>
        <v>0</v>
      </c>
      <c r="Q92" s="9">
        <f ca="1">IF(N92="","",IF(N92=0,0, VLOOKUP(A92,INDIRECT("'[" &amp;Info!$B$4&amp;"]"&amp;Info!$B$5&amp;"'!$A$6:$AX$1000"),50,0)))</f>
        <v>0</v>
      </c>
      <c r="R92" s="29">
        <f ca="1">IF(N92="","",IF(N92=0,0, VLOOKUP(A92,INDIRECT("'[" &amp;Info!$B$4&amp;"]"&amp;Info!$B$5&amp;"'!$A$6:$AY$1000"),51,0)))</f>
        <v>0</v>
      </c>
      <c r="S92" s="15">
        <f ca="1">IF(N92="","",IF(N92=0,0,VLOOKUP(A92,INDIRECT("'[" &amp;Info!$B$4&amp;"]"&amp;Info!$B$5&amp;"'!$A$6:$Ai$1000"),35,0)))</f>
        <v>0</v>
      </c>
      <c r="T92" s="7">
        <f ca="1">IF(N92="","",IF(N92=0,0, VLOOKUP(A92,INDIRECT("'[" &amp;Info!$B$4&amp;"]"&amp;Info!$B$5&amp;"'!$A$6:$Az$1000"),52,0)))</f>
        <v>0</v>
      </c>
      <c r="U92" s="7">
        <f ca="1">IF(N92="","",IF(N92=0,0, VLOOKUP(A92,INDIRECT("'[" &amp;Info!$B$4&amp;"]"&amp;Info!$B$5&amp;"'!$A$6:$BA$1000"),53,0)))</f>
        <v>0</v>
      </c>
      <c r="V92" s="16">
        <f ca="1">IF(N92="","",IF(N92=0,0, VLOOKUP(A92,INDIRECT("'[" &amp;Info!$B$4&amp;"]"&amp;Info!$B$5&amp;"'!$A$6:$BB$1000"),54,0)))</f>
        <v>0</v>
      </c>
      <c r="W92" s="17">
        <f t="shared" ca="1" si="5"/>
        <v>0</v>
      </c>
      <c r="X92" s="18">
        <f t="shared" ca="1" si="6"/>
        <v>0</v>
      </c>
      <c r="Y92" s="19">
        <f t="shared" ca="1" si="7"/>
        <v>0</v>
      </c>
      <c r="Z92" s="18">
        <f t="shared" ca="1" si="8"/>
        <v>0</v>
      </c>
    </row>
    <row r="93" spans="1:26" x14ac:dyDescent="0.25">
      <c r="A93" s="8">
        <f ca="1">IFERROR( VLOOKUP(A92+1,INDIRECT("'[" &amp;Info!$B$4&amp;"]"&amp;Info!$B$5&amp;"'!$A$6:$A$1000"),1,0),"")</f>
        <v>89</v>
      </c>
      <c r="B93" s="5" t="str">
        <f ca="1">IFERROR( IF(A93="","", VLOOKUP(A93,INDIRECT("'[" &amp;Info!$B$4&amp;"]"&amp;Info!$B$5&amp;"'!$A$6:$B$1000"),2,0)),"")</f>
        <v>CNC12</v>
      </c>
      <c r="C93" s="14" t="str">
        <f ca="1">IFERROR( IF(A93="","", VLOOKUP(A93,INDIRECT("'[" &amp;Info!$B$4&amp;"]"&amp;Info!$B$5&amp;"'!$A$6:$D$1000"),3,0)),"")</f>
        <v>STV25</v>
      </c>
      <c r="D93" s="31" t="str">
        <f ca="1">IF(C93="","", VLOOKUP(A93,INDIRECT("'[" &amp;Info!$B$4&amp;"]"&amp;Info!$B$5&amp;"'!$A$6:$T$1000"),20,0))</f>
        <v>C3604</v>
      </c>
      <c r="E93" s="6" t="str">
        <f ca="1">IF(D93="","", VLOOKUP(A93,INDIRECT("'[" &amp;Info!$B$4&amp;"]"&amp;Info!$B$5&amp;"'!$A$6:$U$1000"),21,0))</f>
        <v>YH</v>
      </c>
      <c r="F93" s="6" t="str">
        <f ca="1">IF(D93="","", VLOOKUP(A93,INDIRECT("'[" &amp;Info!$B$4&amp;"]"&amp;Info!$B$5&amp;"'!$A$6:$U$1000"),21,0))</f>
        <v>YH</v>
      </c>
      <c r="G93" s="6">
        <f ca="1">IF(D93="","", VLOOKUP(A93,INDIRECT("'[" &amp;Info!$B$4&amp;"]"&amp;Info!$B$5&amp;"'!$A$6:$V$1000"),22,0))</f>
        <v>8</v>
      </c>
      <c r="H93" s="6">
        <f ca="1">IF(D93="","", VLOOKUP(A93,INDIRECT("'[" &amp;Info!$B$4&amp;"]"&amp;Info!$B$5&amp;"'!$A$6:$W$1000"),23,0))</f>
        <v>0</v>
      </c>
      <c r="I93" s="6" t="str">
        <f ca="1">LOWER( IF(D93="","", VLOOKUP(A93,INDIRECT("'[" &amp;Info!$B$4&amp;"]"&amp;Info!$B$5&amp;"'!$A$6:$y$1000"),25,0)))</f>
        <v>h11</v>
      </c>
      <c r="J93" s="6">
        <f ca="1">IF(D93="","", VLOOKUP(A93,INDIRECT("'[" &amp;Info!$B$4&amp;"]"&amp;Info!$B$5&amp;"'!$A$6:$Z$1000"),26,0))</f>
        <v>3</v>
      </c>
      <c r="K93" s="35" t="str">
        <f ca="1">IF(D93="","", VLOOKUP(A93,INDIRECT("'[" &amp;Info!$B$4&amp;"]"&amp;Info!$B$5&amp;"'!$A$6:$AA$1000"),27,0))</f>
        <v>A15</v>
      </c>
      <c r="L93" s="35">
        <f ca="1">IF(D93="","", VLOOKUP(A93,INDIRECT("'[" &amp;Info!$B$4&amp;"]"&amp;Info!$B$5&amp;"'!$A$6:$H$1000"),8,0))</f>
        <v>1.61</v>
      </c>
      <c r="M93" s="35">
        <f ca="1">IF(D93="","", VLOOKUP(A93,INDIRECT("'[" &amp;Info!$B$4&amp;"]"&amp;Info!$B$5&amp;"'!$A$6:$F$1000"),6,0))</f>
        <v>192</v>
      </c>
      <c r="N93" s="33">
        <f ca="1">IF(C93="","", VLOOKUP(A93,INDIRECT("'[" &amp;Info!$B$4&amp;"]"&amp;Info!$B$5&amp;"'!$A$6:$Au$1000"),47,0))</f>
        <v>0</v>
      </c>
      <c r="O93" s="28">
        <f ca="1">IF(N93="","",IF(N93=0,0,VLOOKUP(A93,INDIRECT("'[" &amp;Info!$B$4&amp;"]"&amp;Info!$B$5&amp;"'!$A$6:$AH$1000"),34,0)))</f>
        <v>0</v>
      </c>
      <c r="P93" s="9">
        <f ca="1">IF(N93="","",IF(N93=0,0,VLOOKUP(A93,INDIRECT("'[" &amp;Info!$B$4&amp;"]"&amp;Info!$B$5&amp;"'!$A$6:$AW$1000"),49,0)))</f>
        <v>0</v>
      </c>
      <c r="Q93" s="9">
        <f ca="1">IF(N93="","",IF(N93=0,0, VLOOKUP(A93,INDIRECT("'[" &amp;Info!$B$4&amp;"]"&amp;Info!$B$5&amp;"'!$A$6:$AX$1000"),50,0)))</f>
        <v>0</v>
      </c>
      <c r="R93" s="29">
        <f ca="1">IF(N93="","",IF(N93=0,0, VLOOKUP(A93,INDIRECT("'[" &amp;Info!$B$4&amp;"]"&amp;Info!$B$5&amp;"'!$A$6:$AY$1000"),51,0)))</f>
        <v>0</v>
      </c>
      <c r="S93" s="15">
        <f ca="1">IF(N93="","",IF(N93=0,0,VLOOKUP(A93,INDIRECT("'[" &amp;Info!$B$4&amp;"]"&amp;Info!$B$5&amp;"'!$A$6:$Ai$1000"),35,0)))</f>
        <v>0</v>
      </c>
      <c r="T93" s="7">
        <f ca="1">IF(N93="","",IF(N93=0,0, VLOOKUP(A93,INDIRECT("'[" &amp;Info!$B$4&amp;"]"&amp;Info!$B$5&amp;"'!$A$6:$Az$1000"),52,0)))</f>
        <v>0</v>
      </c>
      <c r="U93" s="7">
        <f ca="1">IF(N93="","",IF(N93=0,0, VLOOKUP(A93,INDIRECT("'[" &amp;Info!$B$4&amp;"]"&amp;Info!$B$5&amp;"'!$A$6:$BA$1000"),53,0)))</f>
        <v>0</v>
      </c>
      <c r="V93" s="16">
        <f ca="1">IF(N93="","",IF(N93=0,0, VLOOKUP(A93,INDIRECT("'[" &amp;Info!$B$4&amp;"]"&amp;Info!$B$5&amp;"'!$A$6:$BB$1000"),54,0)))</f>
        <v>0</v>
      </c>
      <c r="W93" s="17">
        <f t="shared" ca="1" si="5"/>
        <v>0</v>
      </c>
      <c r="X93" s="18">
        <f t="shared" ca="1" si="6"/>
        <v>0</v>
      </c>
      <c r="Y93" s="19">
        <f t="shared" ca="1" si="7"/>
        <v>0</v>
      </c>
      <c r="Z93" s="18">
        <f t="shared" ca="1" si="8"/>
        <v>0</v>
      </c>
    </row>
    <row r="94" spans="1:26" x14ac:dyDescent="0.25">
      <c r="A94" s="8">
        <f ca="1">IFERROR( VLOOKUP(A93+1,INDIRECT("'[" &amp;Info!$B$4&amp;"]"&amp;Info!$B$5&amp;"'!$A$6:$A$1000"),1,0),"")</f>
        <v>90</v>
      </c>
      <c r="B94" s="5" t="str">
        <f ca="1">IFERROR( IF(A94="","", VLOOKUP(A94,INDIRECT("'[" &amp;Info!$B$4&amp;"]"&amp;Info!$B$5&amp;"'!$A$6:$B$1000"),2,0)),"")</f>
        <v>CNC12B</v>
      </c>
      <c r="C94" s="14" t="str">
        <f ca="1">IFERROR( IF(A94="","", VLOOKUP(A94,INDIRECT("'[" &amp;Info!$B$4&amp;"]"&amp;Info!$B$5&amp;"'!$A$6:$D$1000"),3,0)),"")</f>
        <v>93303</v>
      </c>
      <c r="D94" s="31" t="str">
        <f ca="1">IF(C94="","", VLOOKUP(A94,INDIRECT("'[" &amp;Info!$B$4&amp;"]"&amp;Info!$B$5&amp;"'!$A$6:$T$1000"),20,0))</f>
        <v>SUS303Cu</v>
      </c>
      <c r="E94" s="6" t="str">
        <f ca="1">IF(D94="","", VLOOKUP(A94,INDIRECT("'[" &amp;Info!$B$4&amp;"]"&amp;Info!$B$5&amp;"'!$A$6:$U$1000"),21,0))</f>
        <v>TV</v>
      </c>
      <c r="F94" s="6" t="str">
        <f ca="1">IF(D94="","", VLOOKUP(A94,INDIRECT("'[" &amp;Info!$B$4&amp;"]"&amp;Info!$B$5&amp;"'!$A$6:$U$1000"),21,0))</f>
        <v>TV</v>
      </c>
      <c r="G94" s="6">
        <f ca="1">IF(D94="","", VLOOKUP(A94,INDIRECT("'[" &amp;Info!$B$4&amp;"]"&amp;Info!$B$5&amp;"'!$A$6:$V$1000"),22,0))</f>
        <v>10</v>
      </c>
      <c r="H94" s="6">
        <f ca="1">IF(D94="","", VLOOKUP(A94,INDIRECT("'[" &amp;Info!$B$4&amp;"]"&amp;Info!$B$5&amp;"'!$A$6:$W$1000"),23,0))</f>
        <v>0</v>
      </c>
      <c r="I94" s="6" t="str">
        <f ca="1">LOWER( IF(D94="","", VLOOKUP(A94,INDIRECT("'[" &amp;Info!$B$4&amp;"]"&amp;Info!$B$5&amp;"'!$A$6:$y$1000"),25,0)))</f>
        <v>h9</v>
      </c>
      <c r="J94" s="6">
        <f ca="1">IF(D94="","", VLOOKUP(A94,INDIRECT("'[" &amp;Info!$B$4&amp;"]"&amp;Info!$B$5&amp;"'!$A$6:$Z$1000"),26,0))</f>
        <v>2.5</v>
      </c>
      <c r="K94" s="35" t="str">
        <f ca="1">IF(D94="","", VLOOKUP(A94,INDIRECT("'[" &amp;Info!$B$4&amp;"]"&amp;Info!$B$5&amp;"'!$A$6:$AA$1000"),27,0))</f>
        <v>A16</v>
      </c>
      <c r="L94" s="35">
        <f ca="1">IF(D94="","", VLOOKUP(A94,INDIRECT("'[" &amp;Info!$B$4&amp;"]"&amp;Info!$B$5&amp;"'!$A$6:$H$1000"),8,0))</f>
        <v>2.88</v>
      </c>
      <c r="M94" s="35">
        <f ca="1">IF(D94="","", VLOOKUP(A94,INDIRECT("'[" &amp;Info!$B$4&amp;"]"&amp;Info!$B$5&amp;"'!$A$6:$F$1000"),6,0))</f>
        <v>164</v>
      </c>
      <c r="N94" s="33">
        <f ca="1">IF(C94="","", VLOOKUP(A94,INDIRECT("'[" &amp;Info!$B$4&amp;"]"&amp;Info!$B$5&amp;"'!$A$6:$Au$1000"),47,0))</f>
        <v>12</v>
      </c>
      <c r="O94" s="28">
        <f ca="1">IF(N94="","",IF(N94=0,0,VLOOKUP(A94,INDIRECT("'[" &amp;Info!$B$4&amp;"]"&amp;Info!$B$5&amp;"'!$A$6:$AH$1000"),34,0)))</f>
        <v>1</v>
      </c>
      <c r="P94" s="9">
        <f ca="1">IF(N94="","",IF(N94=0,0,VLOOKUP(A94,INDIRECT("'[" &amp;Info!$B$4&amp;"]"&amp;Info!$B$5&amp;"'!$A$6:$AW$1000"),49,0)))</f>
        <v>160</v>
      </c>
      <c r="Q94" s="9">
        <f ca="1">IF(N94="","",IF(N94=0,0, VLOOKUP(A94,INDIRECT("'[" &amp;Info!$B$4&amp;"]"&amp;Info!$B$5&amp;"'!$A$6:$AX$1000"),50,0)))</f>
        <v>0</v>
      </c>
      <c r="R94" s="29">
        <f ca="1">IF(N94="","",IF(N94=0,0, VLOOKUP(A94,INDIRECT("'[" &amp;Info!$B$4&amp;"]"&amp;Info!$B$5&amp;"'!$A$6:$AY$1000"),51,0)))</f>
        <v>0</v>
      </c>
      <c r="S94" s="15">
        <f ca="1">IF(N94="","",IF(N94=0,0,VLOOKUP(A94,INDIRECT("'[" &amp;Info!$B$4&amp;"]"&amp;Info!$B$5&amp;"'!$A$6:$Ai$1000"),35,0)))</f>
        <v>1</v>
      </c>
      <c r="T94" s="7">
        <f ca="1">IF(N94="","",IF(N94=0,0, VLOOKUP(A94,INDIRECT("'[" &amp;Info!$B$4&amp;"]"&amp;Info!$B$5&amp;"'!$A$6:$Az$1000"),52,0)))</f>
        <v>167</v>
      </c>
      <c r="U94" s="7">
        <f ca="1">IF(N94="","",IF(N94=0,0, VLOOKUP(A94,INDIRECT("'[" &amp;Info!$B$4&amp;"]"&amp;Info!$B$5&amp;"'!$A$6:$BA$1000"),53,0)))</f>
        <v>0</v>
      </c>
      <c r="V94" s="16">
        <f ca="1">IF(N94="","",IF(N94=0,0, VLOOKUP(A94,INDIRECT("'[" &amp;Info!$B$4&amp;"]"&amp;Info!$B$5&amp;"'!$A$6:$BB$1000"),54,0)))</f>
        <v>0</v>
      </c>
      <c r="W94" s="17">
        <f t="shared" ca="1" si="5"/>
        <v>2</v>
      </c>
      <c r="X94" s="18">
        <f t="shared" ca="1" si="6"/>
        <v>327</v>
      </c>
      <c r="Y94" s="19">
        <f t="shared" ca="1" si="7"/>
        <v>0</v>
      </c>
      <c r="Z94" s="18">
        <f t="shared" ca="1" si="8"/>
        <v>0</v>
      </c>
    </row>
    <row r="95" spans="1:26" x14ac:dyDescent="0.25">
      <c r="A95" s="8">
        <f ca="1">IFERROR( VLOOKUP(A94+1,INDIRECT("'[" &amp;Info!$B$4&amp;"]"&amp;Info!$B$5&amp;"'!$A$6:$A$1000"),1,0),"")</f>
        <v>91</v>
      </c>
      <c r="B95" s="5" t="str">
        <f ca="1">IFERROR( IF(A95="","", VLOOKUP(A95,INDIRECT("'[" &amp;Info!$B$4&amp;"]"&amp;Info!$B$5&amp;"'!$A$6:$B$1000"),2,0)),"")</f>
        <v>CNC14</v>
      </c>
      <c r="C95" s="14" t="str">
        <f ca="1">IFERROR( IF(A95="","", VLOOKUP(A95,INDIRECT("'[" &amp;Info!$B$4&amp;"]"&amp;Info!$B$5&amp;"'!$A$6:$D$1000"),3,0)),"")</f>
        <v>4XT01350B02</v>
      </c>
      <c r="D95" s="31" t="str">
        <f ca="1">IF(C95="","", VLOOKUP(A95,INDIRECT("'[" &amp;Info!$B$4&amp;"]"&amp;Info!$B$5&amp;"'!$A$6:$T$1000"),20,0))</f>
        <v>SUS303</v>
      </c>
      <c r="E95" s="6" t="str">
        <f ca="1">IF(D95="","", VLOOKUP(A95,INDIRECT("'[" &amp;Info!$B$4&amp;"]"&amp;Info!$B$5&amp;"'!$A$6:$U$1000"),21,0))</f>
        <v>WZ</v>
      </c>
      <c r="F95" s="6" t="str">
        <f ca="1">IF(D95="","", VLOOKUP(A95,INDIRECT("'[" &amp;Info!$B$4&amp;"]"&amp;Info!$B$5&amp;"'!$A$6:$U$1000"),21,0))</f>
        <v>WZ</v>
      </c>
      <c r="G95" s="6">
        <f ca="1">IF(D95="","", VLOOKUP(A95,INDIRECT("'[" &amp;Info!$B$4&amp;"]"&amp;Info!$B$5&amp;"'!$A$6:$V$1000"),22,0))</f>
        <v>12.7</v>
      </c>
      <c r="H95" s="6">
        <f ca="1">IF(D95="","", VLOOKUP(A95,INDIRECT("'[" &amp;Info!$B$4&amp;"]"&amp;Info!$B$5&amp;"'!$A$6:$W$1000"),23,0))</f>
        <v>0</v>
      </c>
      <c r="I95" s="6" t="str">
        <f ca="1">LOWER( IF(D95="","", VLOOKUP(A95,INDIRECT("'[" &amp;Info!$B$4&amp;"]"&amp;Info!$B$5&amp;"'!$A$6:$y$1000"),25,0)))</f>
        <v>h9</v>
      </c>
      <c r="J95" s="6">
        <f ca="1">IF(D95="","", VLOOKUP(A95,INDIRECT("'[" &amp;Info!$B$4&amp;"]"&amp;Info!$B$5&amp;"'!$A$6:$Z$1000"),26,0))</f>
        <v>2.5</v>
      </c>
      <c r="K95" s="35" t="str">
        <f ca="1">IF(D95="","", VLOOKUP(A95,INDIRECT("'[" &amp;Info!$B$4&amp;"]"&amp;Info!$B$5&amp;"'!$A$6:$AA$1000"),27,0))</f>
        <v>A10</v>
      </c>
      <c r="L95" s="35">
        <f ca="1">IF(D95="","", VLOOKUP(A95,INDIRECT("'[" &amp;Info!$B$4&amp;"]"&amp;Info!$B$5&amp;"'!$A$6:$H$1000"),8,0))</f>
        <v>12.97</v>
      </c>
      <c r="M95" s="35">
        <f ca="1">IF(D95="","", VLOOKUP(A95,INDIRECT("'[" &amp;Info!$B$4&amp;"]"&amp;Info!$B$5&amp;"'!$A$6:$F$1000"),6,0))</f>
        <v>55</v>
      </c>
      <c r="N95" s="33">
        <f ca="1">IF(C95="","", VLOOKUP(A95,INDIRECT("'[" &amp;Info!$B$4&amp;"]"&amp;Info!$B$5&amp;"'!$A$6:$Au$1000"),47,0))</f>
        <v>0</v>
      </c>
      <c r="O95" s="28">
        <f ca="1">IF(N95="","",IF(N95=0,0,VLOOKUP(A95,INDIRECT("'[" &amp;Info!$B$4&amp;"]"&amp;Info!$B$5&amp;"'!$A$6:$AH$1000"),34,0)))</f>
        <v>0</v>
      </c>
      <c r="P95" s="9">
        <f ca="1">IF(N95="","",IF(N95=0,0,VLOOKUP(A95,INDIRECT("'[" &amp;Info!$B$4&amp;"]"&amp;Info!$B$5&amp;"'!$A$6:$AW$1000"),49,0)))</f>
        <v>0</v>
      </c>
      <c r="Q95" s="9">
        <f ca="1">IF(N95="","",IF(N95=0,0, VLOOKUP(A95,INDIRECT("'[" &amp;Info!$B$4&amp;"]"&amp;Info!$B$5&amp;"'!$A$6:$AX$1000"),50,0)))</f>
        <v>0</v>
      </c>
      <c r="R95" s="29">
        <f ca="1">IF(N95="","",IF(N95=0,0, VLOOKUP(A95,INDIRECT("'[" &amp;Info!$B$4&amp;"]"&amp;Info!$B$5&amp;"'!$A$6:$AY$1000"),51,0)))</f>
        <v>0</v>
      </c>
      <c r="S95" s="15">
        <f ca="1">IF(N95="","",IF(N95=0,0,VLOOKUP(A95,INDIRECT("'[" &amp;Info!$B$4&amp;"]"&amp;Info!$B$5&amp;"'!$A$6:$Ai$1000"),35,0)))</f>
        <v>0</v>
      </c>
      <c r="T95" s="7">
        <f ca="1">IF(N95="","",IF(N95=0,0, VLOOKUP(A95,INDIRECT("'[" &amp;Info!$B$4&amp;"]"&amp;Info!$B$5&amp;"'!$A$6:$Az$1000"),52,0)))</f>
        <v>0</v>
      </c>
      <c r="U95" s="7">
        <f ca="1">IF(N95="","",IF(N95=0,0, VLOOKUP(A95,INDIRECT("'[" &amp;Info!$B$4&amp;"]"&amp;Info!$B$5&amp;"'!$A$6:$BA$1000"),53,0)))</f>
        <v>0</v>
      </c>
      <c r="V95" s="16">
        <f ca="1">IF(N95="","",IF(N95=0,0, VLOOKUP(A95,INDIRECT("'[" &amp;Info!$B$4&amp;"]"&amp;Info!$B$5&amp;"'!$A$6:$BB$1000"),54,0)))</f>
        <v>0</v>
      </c>
      <c r="W95" s="17">
        <f t="shared" ca="1" si="5"/>
        <v>0</v>
      </c>
      <c r="X95" s="18">
        <f t="shared" ca="1" si="6"/>
        <v>0</v>
      </c>
      <c r="Y95" s="19">
        <f t="shared" ca="1" si="7"/>
        <v>0</v>
      </c>
      <c r="Z95" s="18">
        <f t="shared" ca="1" si="8"/>
        <v>0</v>
      </c>
    </row>
    <row r="96" spans="1:26" x14ac:dyDescent="0.25">
      <c r="A96" s="8">
        <f ca="1">IFERROR( VLOOKUP(A95+1,INDIRECT("'[" &amp;Info!$B$4&amp;"]"&amp;Info!$B$5&amp;"'!$A$6:$A$1000"),1,0),"")</f>
        <v>92</v>
      </c>
      <c r="B96" s="5" t="str">
        <f ca="1">IFERROR( IF(A96="","", VLOOKUP(A96,INDIRECT("'[" &amp;Info!$B$4&amp;"]"&amp;Info!$B$5&amp;"'!$A$6:$B$1000"),2,0)),"")</f>
        <v>CNC15</v>
      </c>
      <c r="C96" s="14" t="str">
        <f ca="1">IFERROR( IF(A96="","", VLOOKUP(A96,INDIRECT("'[" &amp;Info!$B$4&amp;"]"&amp;Info!$B$5&amp;"'!$A$6:$D$1000"),3,0)),"")</f>
        <v>3V0071800</v>
      </c>
      <c r="D96" s="31" t="str">
        <f ca="1">IF(C96="","", VLOOKUP(A96,INDIRECT("'[" &amp;Info!$B$4&amp;"]"&amp;Info!$B$5&amp;"'!$A$6:$T$1000"),20,0))</f>
        <v>A6061-T6</v>
      </c>
      <c r="E96" s="6" t="str">
        <f ca="1">IF(D96="","", VLOOKUP(A96,INDIRECT("'[" &amp;Info!$B$4&amp;"]"&amp;Info!$B$5&amp;"'!$A$6:$U$1000"),21,0))</f>
        <v>GW</v>
      </c>
      <c r="F96" s="6" t="str">
        <f ca="1">IF(D96="","", VLOOKUP(A96,INDIRECT("'[" &amp;Info!$B$4&amp;"]"&amp;Info!$B$5&amp;"'!$A$6:$U$1000"),21,0))</f>
        <v>GW</v>
      </c>
      <c r="G96" s="6">
        <f ca="1">IF(D96="","", VLOOKUP(A96,INDIRECT("'[" &amp;Info!$B$4&amp;"]"&amp;Info!$B$5&amp;"'!$A$6:$V$1000"),22,0))</f>
        <v>19.100000000000001</v>
      </c>
      <c r="H96" s="6">
        <f ca="1">IF(D96="","", VLOOKUP(A96,INDIRECT("'[" &amp;Info!$B$4&amp;"]"&amp;Info!$B$5&amp;"'!$A$6:$W$1000"),23,0))</f>
        <v>0</v>
      </c>
      <c r="I96" s="6" t="str">
        <f ca="1">LOWER( IF(D96="","", VLOOKUP(A96,INDIRECT("'[" &amp;Info!$B$4&amp;"]"&amp;Info!$B$5&amp;"'!$A$6:$y$1000"),25,0)))</f>
        <v>h9</v>
      </c>
      <c r="J96" s="6">
        <f ca="1">IF(D96="","", VLOOKUP(A96,INDIRECT("'[" &amp;Info!$B$4&amp;"]"&amp;Info!$B$5&amp;"'!$A$6:$Z$1000"),26,0))</f>
        <v>3</v>
      </c>
      <c r="K96" s="35" t="str">
        <f ca="1">IF(D96="","", VLOOKUP(A96,INDIRECT("'[" &amp;Info!$B$4&amp;"]"&amp;Info!$B$5&amp;"'!$A$6:$AA$1000"),27,0))</f>
        <v>B17</v>
      </c>
      <c r="L96" s="35">
        <f ca="1">IF(D96="","", VLOOKUP(A96,INDIRECT("'[" &amp;Info!$B$4&amp;"]"&amp;Info!$B$5&amp;"'!$A$6:$H$1000"),8,0))</f>
        <v>1.52</v>
      </c>
      <c r="M96" s="35">
        <f ca="1">IF(D96="","", VLOOKUP(A96,INDIRECT("'[" &amp;Info!$B$4&amp;"]"&amp;Info!$B$5&amp;"'!$A$6:$F$1000"),6,0))</f>
        <v>392</v>
      </c>
      <c r="N96" s="33">
        <f ca="1">IF(C96="","", VLOOKUP(A96,INDIRECT("'[" &amp;Info!$B$4&amp;"]"&amp;Info!$B$5&amp;"'!$A$6:$Au$1000"),47,0))</f>
        <v>0</v>
      </c>
      <c r="O96" s="28">
        <f ca="1">IF(N96="","",IF(N96=0,0,VLOOKUP(A96,INDIRECT("'[" &amp;Info!$B$4&amp;"]"&amp;Info!$B$5&amp;"'!$A$6:$AH$1000"),34,0)))</f>
        <v>0</v>
      </c>
      <c r="P96" s="9">
        <f ca="1">IF(N96="","",IF(N96=0,0,VLOOKUP(A96,INDIRECT("'[" &amp;Info!$B$4&amp;"]"&amp;Info!$B$5&amp;"'!$A$6:$AW$1000"),49,0)))</f>
        <v>0</v>
      </c>
      <c r="Q96" s="9">
        <f ca="1">IF(N96="","",IF(N96=0,0, VLOOKUP(A96,INDIRECT("'[" &amp;Info!$B$4&amp;"]"&amp;Info!$B$5&amp;"'!$A$6:$AX$1000"),50,0)))</f>
        <v>0</v>
      </c>
      <c r="R96" s="29">
        <f ca="1">IF(N96="","",IF(N96=0,0, VLOOKUP(A96,INDIRECT("'[" &amp;Info!$B$4&amp;"]"&amp;Info!$B$5&amp;"'!$A$6:$AY$1000"),51,0)))</f>
        <v>0</v>
      </c>
      <c r="S96" s="15">
        <f ca="1">IF(N96="","",IF(N96=0,0,VLOOKUP(A96,INDIRECT("'[" &amp;Info!$B$4&amp;"]"&amp;Info!$B$5&amp;"'!$A$6:$Ai$1000"),35,0)))</f>
        <v>0</v>
      </c>
      <c r="T96" s="7">
        <f ca="1">IF(N96="","",IF(N96=0,0, VLOOKUP(A96,INDIRECT("'[" &amp;Info!$B$4&amp;"]"&amp;Info!$B$5&amp;"'!$A$6:$Az$1000"),52,0)))</f>
        <v>0</v>
      </c>
      <c r="U96" s="7">
        <f ca="1">IF(N96="","",IF(N96=0,0, VLOOKUP(A96,INDIRECT("'[" &amp;Info!$B$4&amp;"]"&amp;Info!$B$5&amp;"'!$A$6:$BA$1000"),53,0)))</f>
        <v>0</v>
      </c>
      <c r="V96" s="16">
        <f ca="1">IF(N96="","",IF(N96=0,0, VLOOKUP(A96,INDIRECT("'[" &amp;Info!$B$4&amp;"]"&amp;Info!$B$5&amp;"'!$A$6:$BB$1000"),54,0)))</f>
        <v>0</v>
      </c>
      <c r="W96" s="17">
        <f t="shared" ca="1" si="5"/>
        <v>0</v>
      </c>
      <c r="X96" s="18">
        <f t="shared" ca="1" si="6"/>
        <v>0</v>
      </c>
      <c r="Y96" s="19">
        <f t="shared" ca="1" si="7"/>
        <v>0</v>
      </c>
      <c r="Z96" s="18">
        <f t="shared" ca="1" si="8"/>
        <v>0</v>
      </c>
    </row>
    <row r="97" spans="1:26" x14ac:dyDescent="0.25">
      <c r="A97" s="8">
        <f ca="1">IFERROR( VLOOKUP(A96+1,INDIRECT("'[" &amp;Info!$B$4&amp;"]"&amp;Info!$B$5&amp;"'!$A$6:$A$1000"),1,0),"")</f>
        <v>93</v>
      </c>
      <c r="B97" s="5" t="str">
        <f ca="1">IFERROR( IF(A97="","", VLOOKUP(A97,INDIRECT("'[" &amp;Info!$B$4&amp;"]"&amp;Info!$B$5&amp;"'!$A$6:$B$1000"),2,0)),"")</f>
        <v>CNC16</v>
      </c>
      <c r="C97" s="14" t="str">
        <f ca="1">IFERROR( IF(A97="","", VLOOKUP(A97,INDIRECT("'[" &amp;Info!$B$4&amp;"]"&amp;Info!$B$5&amp;"'!$A$6:$D$1000"),3,0)),"")</f>
        <v>F3398</v>
      </c>
      <c r="D97" s="31" t="str">
        <f ca="1">IF(C97="","", VLOOKUP(A97,INDIRECT("'[" &amp;Info!$B$4&amp;"]"&amp;Info!$B$5&amp;"'!$A$6:$T$1000"),20,0))</f>
        <v>A5056</v>
      </c>
      <c r="E97" s="6" t="str">
        <f ca="1">IF(D97="","", VLOOKUP(A97,INDIRECT("'[" &amp;Info!$B$4&amp;"]"&amp;Info!$B$5&amp;"'!$A$6:$U$1000"),21,0))</f>
        <v>YH</v>
      </c>
      <c r="F97" s="6" t="str">
        <f ca="1">IF(D97="","", VLOOKUP(A97,INDIRECT("'[" &amp;Info!$B$4&amp;"]"&amp;Info!$B$5&amp;"'!$A$6:$U$1000"),21,0))</f>
        <v>YH</v>
      </c>
      <c r="G97" s="6">
        <f ca="1">IF(D97="","", VLOOKUP(A97,INDIRECT("'[" &amp;Info!$B$4&amp;"]"&amp;Info!$B$5&amp;"'!$A$6:$V$1000"),22,0))</f>
        <v>14</v>
      </c>
      <c r="H97" s="6">
        <f ca="1">IF(D97="","", VLOOKUP(A97,INDIRECT("'[" &amp;Info!$B$4&amp;"]"&amp;Info!$B$5&amp;"'!$A$6:$W$1000"),23,0))</f>
        <v>0</v>
      </c>
      <c r="I97" s="6" t="str">
        <f ca="1">LOWER( IF(D97="","", VLOOKUP(A97,INDIRECT("'[" &amp;Info!$B$4&amp;"]"&amp;Info!$B$5&amp;"'!$A$6:$y$1000"),25,0)))</f>
        <v>h9</v>
      </c>
      <c r="J97" s="6">
        <f ca="1">IF(D97="","", VLOOKUP(A97,INDIRECT("'[" &amp;Info!$B$4&amp;"]"&amp;Info!$B$5&amp;"'!$A$6:$Z$1000"),26,0))</f>
        <v>3</v>
      </c>
      <c r="K97" s="35" t="str">
        <f ca="1">IF(D97="","", VLOOKUP(A97,INDIRECT("'[" &amp;Info!$B$4&amp;"]"&amp;Info!$B$5&amp;"'!$A$6:$AA$1000"),27,0))</f>
        <v>A17</v>
      </c>
      <c r="L97" s="35">
        <f ca="1">IF(D97="","", VLOOKUP(A97,INDIRECT("'[" &amp;Info!$B$4&amp;"]"&amp;Info!$B$5&amp;"'!$A$6:$H$1000"),8,0))</f>
        <v>0.30599999999999999</v>
      </c>
      <c r="M97" s="35">
        <f ca="1">IF(D97="","", VLOOKUP(A97,INDIRECT("'[" &amp;Info!$B$4&amp;"]"&amp;Info!$B$5&amp;"'!$A$6:$F$1000"),6,0))</f>
        <v>335</v>
      </c>
      <c r="N97" s="33">
        <f ca="1">IF(C97="","", VLOOKUP(A97,INDIRECT("'[" &amp;Info!$B$4&amp;"]"&amp;Info!$B$5&amp;"'!$A$6:$Au$1000"),47,0))</f>
        <v>4</v>
      </c>
      <c r="O97" s="28">
        <f ca="1">IF(N97="","",IF(N97=0,0,VLOOKUP(A97,INDIRECT("'[" &amp;Info!$B$4&amp;"]"&amp;Info!$B$5&amp;"'!$A$6:$AH$1000"),34,0)))</f>
        <v>1</v>
      </c>
      <c r="P97" s="9">
        <f ca="1">IF(N97="","",IF(N97=0,0,VLOOKUP(A97,INDIRECT("'[" &amp;Info!$B$4&amp;"]"&amp;Info!$B$5&amp;"'!$A$6:$AW$1000"),49,0)))</f>
        <v>0</v>
      </c>
      <c r="Q97" s="9">
        <f ca="1">IF(N97="","",IF(N97=0,0, VLOOKUP(A97,INDIRECT("'[" &amp;Info!$B$4&amp;"]"&amp;Info!$B$5&amp;"'!$A$6:$AX$1000"),50,0)))</f>
        <v>26</v>
      </c>
      <c r="R97" s="29">
        <f ca="1">IF(N97="","",IF(N97=0,0, VLOOKUP(A97,INDIRECT("'[" &amp;Info!$B$4&amp;"]"&amp;Info!$B$5&amp;"'!$A$6:$AY$1000"),51,0)))</f>
        <v>0</v>
      </c>
      <c r="S97" s="15">
        <f ca="1">IF(N97="","",IF(N97=0,0,VLOOKUP(A97,INDIRECT("'[" &amp;Info!$B$4&amp;"]"&amp;Info!$B$5&amp;"'!$A$6:$Ai$1000"),35,0)))</f>
        <v>0</v>
      </c>
      <c r="T97" s="7">
        <f ca="1">IF(N97="","",IF(N97=0,0, VLOOKUP(A97,INDIRECT("'[" &amp;Info!$B$4&amp;"]"&amp;Info!$B$5&amp;"'!$A$6:$Az$1000"),52,0)))</f>
        <v>0</v>
      </c>
      <c r="U97" s="7">
        <f ca="1">IF(N97="","",IF(N97=0,0, VLOOKUP(A97,INDIRECT("'[" &amp;Info!$B$4&amp;"]"&amp;Info!$B$5&amp;"'!$A$6:$BA$1000"),53,0)))</f>
        <v>0</v>
      </c>
      <c r="V97" s="16">
        <f ca="1">IF(N97="","",IF(N97=0,0, VLOOKUP(A97,INDIRECT("'[" &amp;Info!$B$4&amp;"]"&amp;Info!$B$5&amp;"'!$A$6:$BB$1000"),54,0)))</f>
        <v>0</v>
      </c>
      <c r="W97" s="17">
        <f t="shared" ca="1" si="5"/>
        <v>1</v>
      </c>
      <c r="X97" s="18">
        <f t="shared" ca="1" si="6"/>
        <v>0</v>
      </c>
      <c r="Y97" s="19">
        <f t="shared" ca="1" si="7"/>
        <v>26</v>
      </c>
      <c r="Z97" s="18">
        <f t="shared" ca="1" si="8"/>
        <v>0</v>
      </c>
    </row>
    <row r="98" spans="1:26" x14ac:dyDescent="0.25">
      <c r="A98" s="8">
        <f ca="1">IFERROR( VLOOKUP(A97+1,INDIRECT("'[" &amp;Info!$B$4&amp;"]"&amp;Info!$B$5&amp;"'!$A$6:$A$1000"),1,0),"")</f>
        <v>94</v>
      </c>
      <c r="B98" s="5" t="str">
        <f ca="1">IFERROR( IF(A98="","", VLOOKUP(A98,INDIRECT("'[" &amp;Info!$B$4&amp;"]"&amp;Info!$B$5&amp;"'!$A$6:$B$1000"),2,0)),"")</f>
        <v>CNC17</v>
      </c>
      <c r="C98" s="14" t="str">
        <f ca="1">IFERROR( IF(A98="","", VLOOKUP(A98,INDIRECT("'[" &amp;Info!$B$4&amp;"]"&amp;Info!$B$5&amp;"'!$A$6:$D$1000"),3,0)),"")</f>
        <v>A2 27000</v>
      </c>
      <c r="D98" s="31" t="str">
        <f ca="1">IF(C98="","", VLOOKUP(A98,INDIRECT("'[" &amp;Info!$B$4&amp;"]"&amp;Info!$B$5&amp;"'!$A$6:$T$1000"),20,0))</f>
        <v>C3604</v>
      </c>
      <c r="E98" s="6" t="str">
        <f ca="1">IF(D98="","", VLOOKUP(A98,INDIRECT("'[" &amp;Info!$B$4&amp;"]"&amp;Info!$B$5&amp;"'!$A$6:$U$1000"),21,0))</f>
        <v>IB</v>
      </c>
      <c r="F98" s="6" t="str">
        <f ca="1">IF(D98="","", VLOOKUP(A98,INDIRECT("'[" &amp;Info!$B$4&amp;"]"&amp;Info!$B$5&amp;"'!$A$6:$U$1000"),21,0))</f>
        <v>IB</v>
      </c>
      <c r="G98" s="6">
        <f ca="1">IF(D98="","", VLOOKUP(A98,INDIRECT("'[" &amp;Info!$B$4&amp;"]"&amp;Info!$B$5&amp;"'!$A$6:$V$1000"),22,0))</f>
        <v>6</v>
      </c>
      <c r="H98" s="6">
        <f ca="1">IF(D98="","", VLOOKUP(A98,INDIRECT("'[" &amp;Info!$B$4&amp;"]"&amp;Info!$B$5&amp;"'!$A$6:$W$1000"),23,0))</f>
        <v>0</v>
      </c>
      <c r="I98" s="6" t="str">
        <f ca="1">LOWER( IF(D98="","", VLOOKUP(A98,INDIRECT("'[" &amp;Info!$B$4&amp;"]"&amp;Info!$B$5&amp;"'!$A$6:$y$1000"),25,0)))</f>
        <v>h9</v>
      </c>
      <c r="J98" s="6">
        <f ca="1">IF(D98="","", VLOOKUP(A98,INDIRECT("'[" &amp;Info!$B$4&amp;"]"&amp;Info!$B$5&amp;"'!$A$6:$Z$1000"),26,0))</f>
        <v>3</v>
      </c>
      <c r="K98" s="35" t="str">
        <f ca="1">IF(D98="","", VLOOKUP(A98,INDIRECT("'[" &amp;Info!$B$4&amp;"]"&amp;Info!$B$5&amp;"'!$A$6:$AA$1000"),27,0))</f>
        <v>B15</v>
      </c>
      <c r="L98" s="35">
        <f ca="1">IF(D98="","", VLOOKUP(A98,INDIRECT("'[" &amp;Info!$B$4&amp;"]"&amp;Info!$B$5&amp;"'!$A$6:$H$1000"),8,0))</f>
        <v>0.45200000000000001</v>
      </c>
      <c r="M98" s="35">
        <f ca="1">IF(D98="","", VLOOKUP(A98,INDIRECT("'[" &amp;Info!$B$4&amp;"]"&amp;Info!$B$5&amp;"'!$A$6:$F$1000"),6,0))</f>
        <v>300</v>
      </c>
      <c r="N98" s="33">
        <f ca="1">IF(C98="","", VLOOKUP(A98,INDIRECT("'[" &amp;Info!$B$4&amp;"]"&amp;Info!$B$5&amp;"'!$A$6:$Au$1000"),47,0))</f>
        <v>7</v>
      </c>
      <c r="O98" s="28">
        <f ca="1">IF(N98="","",IF(N98=0,0,VLOOKUP(A98,INDIRECT("'[" &amp;Info!$B$4&amp;"]"&amp;Info!$B$5&amp;"'!$A$6:$AH$1000"),34,0)))</f>
        <v>1</v>
      </c>
      <c r="P98" s="9">
        <f ca="1">IF(N98="","",IF(N98=0,0,VLOOKUP(A98,INDIRECT("'[" &amp;Info!$B$4&amp;"]"&amp;Info!$B$5&amp;"'!$A$6:$AW$1000"),49,0)))</f>
        <v>314</v>
      </c>
      <c r="Q98" s="9">
        <f ca="1">IF(N98="","",IF(N98=0,0, VLOOKUP(A98,INDIRECT("'[" &amp;Info!$B$4&amp;"]"&amp;Info!$B$5&amp;"'!$A$6:$AX$1000"),50,0)))</f>
        <v>0</v>
      </c>
      <c r="R98" s="29">
        <f ca="1">IF(N98="","",IF(N98=0,0, VLOOKUP(A98,INDIRECT("'[" &amp;Info!$B$4&amp;"]"&amp;Info!$B$5&amp;"'!$A$6:$AY$1000"),51,0)))</f>
        <v>0</v>
      </c>
      <c r="S98" s="15">
        <f ca="1">IF(N98="","",IF(N98=0,0,VLOOKUP(A98,INDIRECT("'[" &amp;Info!$B$4&amp;"]"&amp;Info!$B$5&amp;"'!$A$6:$Ai$1000"),35,0)))</f>
        <v>1</v>
      </c>
      <c r="T98" s="7">
        <f ca="1">IF(N98="","",IF(N98=0,0, VLOOKUP(A98,INDIRECT("'[" &amp;Info!$B$4&amp;"]"&amp;Info!$B$5&amp;"'!$A$6:$Az$1000"),52,0)))</f>
        <v>265</v>
      </c>
      <c r="U98" s="7">
        <f ca="1">IF(N98="","",IF(N98=0,0, VLOOKUP(A98,INDIRECT("'[" &amp;Info!$B$4&amp;"]"&amp;Info!$B$5&amp;"'!$A$6:$BA$1000"),53,0)))</f>
        <v>0</v>
      </c>
      <c r="V98" s="16">
        <f ca="1">IF(N98="","",IF(N98=0,0, VLOOKUP(A98,INDIRECT("'[" &amp;Info!$B$4&amp;"]"&amp;Info!$B$5&amp;"'!$A$6:$BB$1000"),54,0)))</f>
        <v>0</v>
      </c>
      <c r="W98" s="17">
        <f t="shared" ca="1" si="5"/>
        <v>2</v>
      </c>
      <c r="X98" s="18">
        <f t="shared" ca="1" si="6"/>
        <v>579</v>
      </c>
      <c r="Y98" s="19">
        <f t="shared" ca="1" si="7"/>
        <v>0</v>
      </c>
      <c r="Z98" s="18">
        <f t="shared" ca="1" si="8"/>
        <v>0</v>
      </c>
    </row>
    <row r="99" spans="1:26" x14ac:dyDescent="0.25">
      <c r="A99" s="8">
        <f ca="1">IFERROR( VLOOKUP(A98+1,INDIRECT("'[" &amp;Info!$B$4&amp;"]"&amp;Info!$B$5&amp;"'!$A$6:$A$1000"),1,0),"")</f>
        <v>95</v>
      </c>
      <c r="B99" s="5" t="str">
        <f ca="1">IFERROR( IF(A99="","", VLOOKUP(A99,INDIRECT("'[" &amp;Info!$B$4&amp;"]"&amp;Info!$B$5&amp;"'!$A$6:$B$1000"),2,0)),"")</f>
        <v>CNC18</v>
      </c>
      <c r="C99" s="14" t="str">
        <f ca="1">IFERROR( IF(A99="","", VLOOKUP(A99,INDIRECT("'[" &amp;Info!$B$4&amp;"]"&amp;Info!$B$5&amp;"'!$A$6:$D$1000"),3,0)),"")</f>
        <v>3V0152410</v>
      </c>
      <c r="D99" s="31" t="str">
        <f ca="1">IF(C99="","", VLOOKUP(A99,INDIRECT("'[" &amp;Info!$B$4&amp;"]"&amp;Info!$B$5&amp;"'!$A$6:$T$1000"),20,0))</f>
        <v>A6061-T6</v>
      </c>
      <c r="E99" s="6" t="str">
        <f ca="1">IF(D99="","", VLOOKUP(A99,INDIRECT("'[" &amp;Info!$B$4&amp;"]"&amp;Info!$B$5&amp;"'!$A$6:$U$1000"),21,0))</f>
        <v>GW</v>
      </c>
      <c r="F99" s="6" t="str">
        <f ca="1">IF(D99="","", VLOOKUP(A99,INDIRECT("'[" &amp;Info!$B$4&amp;"]"&amp;Info!$B$5&amp;"'!$A$6:$U$1000"),21,0))</f>
        <v>GW</v>
      </c>
      <c r="G99" s="6">
        <f ca="1">IF(D99="","", VLOOKUP(A99,INDIRECT("'[" &amp;Info!$B$4&amp;"]"&amp;Info!$B$5&amp;"'!$A$6:$V$1000"),22,0))</f>
        <v>19.100000000000001</v>
      </c>
      <c r="H99" s="6">
        <f ca="1">IF(D99="","", VLOOKUP(A99,INDIRECT("'[" &amp;Info!$B$4&amp;"]"&amp;Info!$B$5&amp;"'!$A$6:$W$1000"),23,0))</f>
        <v>0</v>
      </c>
      <c r="I99" s="6" t="str">
        <f ca="1">LOWER( IF(D99="","", VLOOKUP(A99,INDIRECT("'[" &amp;Info!$B$4&amp;"]"&amp;Info!$B$5&amp;"'!$A$6:$y$1000"),25,0)))</f>
        <v>h9</v>
      </c>
      <c r="J99" s="6">
        <f ca="1">IF(D99="","", VLOOKUP(A99,INDIRECT("'[" &amp;Info!$B$4&amp;"]"&amp;Info!$B$5&amp;"'!$A$6:$Z$1000"),26,0))</f>
        <v>3</v>
      </c>
      <c r="K99" s="35" t="str">
        <f ca="1">IF(D99="","", VLOOKUP(A99,INDIRECT("'[" &amp;Info!$B$4&amp;"]"&amp;Info!$B$5&amp;"'!$A$6:$AA$1000"),27,0))</f>
        <v>B17</v>
      </c>
      <c r="L99" s="35">
        <f ca="1">IF(D99="","", VLOOKUP(A99,INDIRECT("'[" &amp;Info!$B$4&amp;"]"&amp;Info!$B$5&amp;"'!$A$6:$H$1000"),8,0))</f>
        <v>1.71</v>
      </c>
      <c r="M99" s="35">
        <f ca="1">IF(D99="","", VLOOKUP(A99,INDIRECT("'[" &amp;Info!$B$4&amp;"]"&amp;Info!$B$5&amp;"'!$A$6:$F$1000"),6,0))</f>
        <v>112</v>
      </c>
      <c r="N99" s="33">
        <f ca="1">IF(C99="","", VLOOKUP(A99,INDIRECT("'[" &amp;Info!$B$4&amp;"]"&amp;Info!$B$5&amp;"'!$A$6:$Au$1000"),47,0))</f>
        <v>0</v>
      </c>
      <c r="O99" s="28">
        <f ca="1">IF(N99="","",IF(N99=0,0,VLOOKUP(A99,INDIRECT("'[" &amp;Info!$B$4&amp;"]"&amp;Info!$B$5&amp;"'!$A$6:$AH$1000"),34,0)))</f>
        <v>0</v>
      </c>
      <c r="P99" s="9">
        <f ca="1">IF(N99="","",IF(N99=0,0,VLOOKUP(A99,INDIRECT("'[" &amp;Info!$B$4&amp;"]"&amp;Info!$B$5&amp;"'!$A$6:$AW$1000"),49,0)))</f>
        <v>0</v>
      </c>
      <c r="Q99" s="9">
        <f ca="1">IF(N99="","",IF(N99=0,0, VLOOKUP(A99,INDIRECT("'[" &amp;Info!$B$4&amp;"]"&amp;Info!$B$5&amp;"'!$A$6:$AX$1000"),50,0)))</f>
        <v>0</v>
      </c>
      <c r="R99" s="29">
        <f ca="1">IF(N99="","",IF(N99=0,0, VLOOKUP(A99,INDIRECT("'[" &amp;Info!$B$4&amp;"]"&amp;Info!$B$5&amp;"'!$A$6:$AY$1000"),51,0)))</f>
        <v>0</v>
      </c>
      <c r="S99" s="15">
        <f ca="1">IF(N99="","",IF(N99=0,0,VLOOKUP(A99,INDIRECT("'[" &amp;Info!$B$4&amp;"]"&amp;Info!$B$5&amp;"'!$A$6:$Ai$1000"),35,0)))</f>
        <v>0</v>
      </c>
      <c r="T99" s="7">
        <f ca="1">IF(N99="","",IF(N99=0,0, VLOOKUP(A99,INDIRECT("'[" &amp;Info!$B$4&amp;"]"&amp;Info!$B$5&amp;"'!$A$6:$Az$1000"),52,0)))</f>
        <v>0</v>
      </c>
      <c r="U99" s="7">
        <f ca="1">IF(N99="","",IF(N99=0,0, VLOOKUP(A99,INDIRECT("'[" &amp;Info!$B$4&amp;"]"&amp;Info!$B$5&amp;"'!$A$6:$BA$1000"),53,0)))</f>
        <v>0</v>
      </c>
      <c r="V99" s="16">
        <f ca="1">IF(N99="","",IF(N99=0,0, VLOOKUP(A99,INDIRECT("'[" &amp;Info!$B$4&amp;"]"&amp;Info!$B$5&amp;"'!$A$6:$BB$1000"),54,0)))</f>
        <v>0</v>
      </c>
      <c r="W99" s="17">
        <f t="shared" ca="1" si="5"/>
        <v>0</v>
      </c>
      <c r="X99" s="18">
        <f t="shared" ca="1" si="6"/>
        <v>0</v>
      </c>
      <c r="Y99" s="19">
        <f t="shared" ca="1" si="7"/>
        <v>0</v>
      </c>
      <c r="Z99" s="18">
        <f t="shared" ca="1" si="8"/>
        <v>0</v>
      </c>
    </row>
    <row r="100" spans="1:26" x14ac:dyDescent="0.25">
      <c r="A100" s="8">
        <f ca="1">IFERROR( VLOOKUP(A99+1,INDIRECT("'[" &amp;Info!$B$4&amp;"]"&amp;Info!$B$5&amp;"'!$A$6:$A$1000"),1,0),"")</f>
        <v>96</v>
      </c>
      <c r="B100" s="5" t="str">
        <f ca="1">IFERROR( IF(A100="","", VLOOKUP(A100,INDIRECT("'[" &amp;Info!$B$4&amp;"]"&amp;Info!$B$5&amp;"'!$A$6:$B$1000"),2,0)),"")</f>
        <v>CNC19</v>
      </c>
      <c r="C100" s="14" t="str">
        <f ca="1">IFERROR( IF(A100="","", VLOOKUP(A100,INDIRECT("'[" &amp;Info!$B$4&amp;"]"&amp;Info!$B$5&amp;"'!$A$6:$D$1000"),3,0)),"")</f>
        <v>A2 40000</v>
      </c>
      <c r="D100" s="31" t="str">
        <f ca="1">IF(C100="","", VLOOKUP(A100,INDIRECT("'[" &amp;Info!$B$4&amp;"]"&amp;Info!$B$5&amp;"'!$A$6:$T$1000"),20,0))</f>
        <v>SUS303</v>
      </c>
      <c r="E100" s="6" t="str">
        <f ca="1">IF(D100="","", VLOOKUP(A100,INDIRECT("'[" &amp;Info!$B$4&amp;"]"&amp;Info!$B$5&amp;"'!$A$6:$U$1000"),21,0))</f>
        <v>TV</v>
      </c>
      <c r="F100" s="6" t="str">
        <f ca="1">IF(D100="","", VLOOKUP(A100,INDIRECT("'[" &amp;Info!$B$4&amp;"]"&amp;Info!$B$5&amp;"'!$A$6:$U$1000"),21,0))</f>
        <v>TV</v>
      </c>
      <c r="G100" s="6">
        <f ca="1">IF(D100="","", VLOOKUP(A100,INDIRECT("'[" &amp;Info!$B$4&amp;"]"&amp;Info!$B$5&amp;"'!$A$6:$V$1000"),22,0))</f>
        <v>8</v>
      </c>
      <c r="H100" s="6">
        <f ca="1">IF(D100="","", VLOOKUP(A100,INDIRECT("'[" &amp;Info!$B$4&amp;"]"&amp;Info!$B$5&amp;"'!$A$6:$W$1000"),23,0))</f>
        <v>0</v>
      </c>
      <c r="I100" s="6" t="str">
        <f ca="1">LOWER( IF(D100="","", VLOOKUP(A100,INDIRECT("'[" &amp;Info!$B$4&amp;"]"&amp;Info!$B$5&amp;"'!$A$6:$y$1000"),25,0)))</f>
        <v>h7</v>
      </c>
      <c r="J100" s="6">
        <f ca="1">IF(D100="","", VLOOKUP(A100,INDIRECT("'[" &amp;Info!$B$4&amp;"]"&amp;Info!$B$5&amp;"'!$A$6:$Z$1000"),26,0))</f>
        <v>3</v>
      </c>
      <c r="K100" s="35" t="str">
        <f ca="1">IF(D100="","", VLOOKUP(A100,INDIRECT("'[" &amp;Info!$B$4&amp;"]"&amp;Info!$B$5&amp;"'!$A$6:$AA$1000"),27,0))</f>
        <v>A16</v>
      </c>
      <c r="L100" s="35">
        <f ca="1">IF(D100="","", VLOOKUP(A100,INDIRECT("'[" &amp;Info!$B$4&amp;"]"&amp;Info!$B$5&amp;"'!$A$6:$H$1000"),8,0))</f>
        <v>0.71</v>
      </c>
      <c r="M100" s="35">
        <f ca="1">IF(D100="","", VLOOKUP(A100,INDIRECT("'[" &amp;Info!$B$4&amp;"]"&amp;Info!$B$5&amp;"'!$A$6:$F$1000"),6,0))</f>
        <v>159</v>
      </c>
      <c r="N100" s="33">
        <f ca="1">IF(C100="","", VLOOKUP(A100,INDIRECT("'[" &amp;Info!$B$4&amp;"]"&amp;Info!$B$5&amp;"'!$A$6:$Au$1000"),47,0))</f>
        <v>12</v>
      </c>
      <c r="O100" s="28">
        <f ca="1">IF(N100="","",IF(N100=0,0,VLOOKUP(A100,INDIRECT("'[" &amp;Info!$B$4&amp;"]"&amp;Info!$B$5&amp;"'!$A$6:$AH$1000"),34,0)))</f>
        <v>1</v>
      </c>
      <c r="P100" s="9">
        <f ca="1">IF(N100="","",IF(N100=0,0,VLOOKUP(A100,INDIRECT("'[" &amp;Info!$B$4&amp;"]"&amp;Info!$B$5&amp;"'!$A$6:$AW$1000"),49,0)))</f>
        <v>163</v>
      </c>
      <c r="Q100" s="9">
        <f ca="1">IF(N100="","",IF(N100=0,0, VLOOKUP(A100,INDIRECT("'[" &amp;Info!$B$4&amp;"]"&amp;Info!$B$5&amp;"'!$A$6:$AX$1000"),50,0)))</f>
        <v>0</v>
      </c>
      <c r="R100" s="29">
        <f ca="1">IF(N100="","",IF(N100=0,0, VLOOKUP(A100,INDIRECT("'[" &amp;Info!$B$4&amp;"]"&amp;Info!$B$5&amp;"'!$A$6:$AY$1000"),51,0)))</f>
        <v>0</v>
      </c>
      <c r="S100" s="15">
        <f ca="1">IF(N100="","",IF(N100=0,0,VLOOKUP(A100,INDIRECT("'[" &amp;Info!$B$4&amp;"]"&amp;Info!$B$5&amp;"'!$A$6:$Ai$1000"),35,0)))</f>
        <v>1</v>
      </c>
      <c r="T100" s="7">
        <f ca="1">IF(N100="","",IF(N100=0,0, VLOOKUP(A100,INDIRECT("'[" &amp;Info!$B$4&amp;"]"&amp;Info!$B$5&amp;"'!$A$6:$Az$1000"),52,0)))</f>
        <v>146</v>
      </c>
      <c r="U100" s="7">
        <f ca="1">IF(N100="","",IF(N100=0,0, VLOOKUP(A100,INDIRECT("'[" &amp;Info!$B$4&amp;"]"&amp;Info!$B$5&amp;"'!$A$6:$BA$1000"),53,0)))</f>
        <v>0</v>
      </c>
      <c r="V100" s="16">
        <f ca="1">IF(N100="","",IF(N100=0,0, VLOOKUP(A100,INDIRECT("'[" &amp;Info!$B$4&amp;"]"&amp;Info!$B$5&amp;"'!$A$6:$BB$1000"),54,0)))</f>
        <v>0</v>
      </c>
      <c r="W100" s="17">
        <f t="shared" ca="1" si="5"/>
        <v>2</v>
      </c>
      <c r="X100" s="18">
        <f t="shared" ca="1" si="6"/>
        <v>309</v>
      </c>
      <c r="Y100" s="19">
        <f t="shared" ca="1" si="7"/>
        <v>0</v>
      </c>
      <c r="Z100" s="18">
        <f t="shared" ca="1" si="8"/>
        <v>0</v>
      </c>
    </row>
    <row r="101" spans="1:26" x14ac:dyDescent="0.25">
      <c r="A101" s="8">
        <f ca="1">IFERROR( VLOOKUP(A100+1,INDIRECT("'[" &amp;Info!$B$4&amp;"]"&amp;Info!$B$5&amp;"'!$A$6:$A$1000"),1,0),"")</f>
        <v>97</v>
      </c>
      <c r="B101" s="5" t="str">
        <f ca="1">IFERROR( IF(A101="","", VLOOKUP(A101,INDIRECT("'[" &amp;Info!$B$4&amp;"]"&amp;Info!$B$5&amp;"'!$A$6:$B$1000"),2,0)),"")</f>
        <v>CNC20</v>
      </c>
      <c r="C101" s="14" t="str">
        <f ca="1">IFERROR( IF(A101="","", VLOOKUP(A101,INDIRECT("'[" &amp;Info!$B$4&amp;"]"&amp;Info!$B$5&amp;"'!$A$6:$D$1000"),3,0)),"")</f>
        <v>H8</v>
      </c>
      <c r="D101" s="31" t="str">
        <f ca="1">IF(C101="","", VLOOKUP(A101,INDIRECT("'[" &amp;Info!$B$4&amp;"]"&amp;Info!$B$5&amp;"'!$A$6:$T$1000"),20,0))</f>
        <v>SUS303Cu</v>
      </c>
      <c r="E101" s="6" t="str">
        <f ca="1">IF(D101="","", VLOOKUP(A101,INDIRECT("'[" &amp;Info!$B$4&amp;"]"&amp;Info!$B$5&amp;"'!$A$6:$U$1000"),21,0))</f>
        <v>ME</v>
      </c>
      <c r="F101" s="6" t="str">
        <f ca="1">IF(D101="","", VLOOKUP(A101,INDIRECT("'[" &amp;Info!$B$4&amp;"]"&amp;Info!$B$5&amp;"'!$A$6:$U$1000"),21,0))</f>
        <v>ME</v>
      </c>
      <c r="G101" s="6">
        <f ca="1">IF(D101="","", VLOOKUP(A101,INDIRECT("'[" &amp;Info!$B$4&amp;"]"&amp;Info!$B$5&amp;"'!$A$6:$V$1000"),22,0))</f>
        <v>6</v>
      </c>
      <c r="H101" s="6">
        <f ca="1">IF(D101="","", VLOOKUP(A101,INDIRECT("'[" &amp;Info!$B$4&amp;"]"&amp;Info!$B$5&amp;"'!$A$6:$W$1000"),23,0))</f>
        <v>0</v>
      </c>
      <c r="I101" s="6" t="str">
        <f ca="1">LOWER( IF(D101="","", VLOOKUP(A101,INDIRECT("'[" &amp;Info!$B$4&amp;"]"&amp;Info!$B$5&amp;"'!$A$6:$y$1000"),25,0)))</f>
        <v>h9</v>
      </c>
      <c r="J101" s="6">
        <f ca="1">IF(D101="","", VLOOKUP(A101,INDIRECT("'[" &amp;Info!$B$4&amp;"]"&amp;Info!$B$5&amp;"'!$A$6:$Z$1000"),26,0))</f>
        <v>3</v>
      </c>
      <c r="K101" s="35" t="str">
        <f ca="1">IF(D101="","", VLOOKUP(A101,INDIRECT("'[" &amp;Info!$B$4&amp;"]"&amp;Info!$B$5&amp;"'!$A$6:$AA$1000"),27,0))</f>
        <v>A17</v>
      </c>
      <c r="L101" s="35">
        <f ca="1">IF(D101="","", VLOOKUP(A101,INDIRECT("'[" &amp;Info!$B$4&amp;"]"&amp;Info!$B$5&amp;"'!$A$6:$H$1000"),8,0))</f>
        <v>3.0150000000000001</v>
      </c>
      <c r="M101" s="35">
        <f ca="1">IF(D101="","", VLOOKUP(A101,INDIRECT("'[" &amp;Info!$B$4&amp;"]"&amp;Info!$B$5&amp;"'!$A$6:$F$1000"),6,0))</f>
        <v>60</v>
      </c>
      <c r="N101" s="33">
        <f ca="1">IF(C101="","", VLOOKUP(A101,INDIRECT("'[" &amp;Info!$B$4&amp;"]"&amp;Info!$B$5&amp;"'!$A$6:$Au$1000"),47,0))</f>
        <v>0</v>
      </c>
      <c r="O101" s="28">
        <f ca="1">IF(N101="","",IF(N101=0,0,VLOOKUP(A101,INDIRECT("'[" &amp;Info!$B$4&amp;"]"&amp;Info!$B$5&amp;"'!$A$6:$AH$1000"),34,0)))</f>
        <v>0</v>
      </c>
      <c r="P101" s="9">
        <f ca="1">IF(N101="","",IF(N101=0,0,VLOOKUP(A101,INDIRECT("'[" &amp;Info!$B$4&amp;"]"&amp;Info!$B$5&amp;"'!$A$6:$AW$1000"),49,0)))</f>
        <v>0</v>
      </c>
      <c r="Q101" s="9">
        <f ca="1">IF(N101="","",IF(N101=0,0, VLOOKUP(A101,INDIRECT("'[" &amp;Info!$B$4&amp;"]"&amp;Info!$B$5&amp;"'!$A$6:$AX$1000"),50,0)))</f>
        <v>0</v>
      </c>
      <c r="R101" s="29">
        <f ca="1">IF(N101="","",IF(N101=0,0, VLOOKUP(A101,INDIRECT("'[" &amp;Info!$B$4&amp;"]"&amp;Info!$B$5&amp;"'!$A$6:$AY$1000"),51,0)))</f>
        <v>0</v>
      </c>
      <c r="S101" s="15">
        <f ca="1">IF(N101="","",IF(N101=0,0,VLOOKUP(A101,INDIRECT("'[" &amp;Info!$B$4&amp;"]"&amp;Info!$B$5&amp;"'!$A$6:$Ai$1000"),35,0)))</f>
        <v>0</v>
      </c>
      <c r="T101" s="7">
        <f ca="1">IF(N101="","",IF(N101=0,0, VLOOKUP(A101,INDIRECT("'[" &amp;Info!$B$4&amp;"]"&amp;Info!$B$5&amp;"'!$A$6:$Az$1000"),52,0)))</f>
        <v>0</v>
      </c>
      <c r="U101" s="7">
        <f ca="1">IF(N101="","",IF(N101=0,0, VLOOKUP(A101,INDIRECT("'[" &amp;Info!$B$4&amp;"]"&amp;Info!$B$5&amp;"'!$A$6:$BA$1000"),53,0)))</f>
        <v>0</v>
      </c>
      <c r="V101" s="16">
        <f ca="1">IF(N101="","",IF(N101=0,0, VLOOKUP(A101,INDIRECT("'[" &amp;Info!$B$4&amp;"]"&amp;Info!$B$5&amp;"'!$A$6:$BB$1000"),54,0)))</f>
        <v>0</v>
      </c>
      <c r="W101" s="17">
        <f t="shared" ca="1" si="5"/>
        <v>0</v>
      </c>
      <c r="X101" s="18">
        <f t="shared" ca="1" si="6"/>
        <v>0</v>
      </c>
      <c r="Y101" s="19">
        <f t="shared" ca="1" si="7"/>
        <v>0</v>
      </c>
      <c r="Z101" s="18">
        <f t="shared" ca="1" si="8"/>
        <v>0</v>
      </c>
    </row>
    <row r="102" spans="1:26" x14ac:dyDescent="0.25">
      <c r="A102" s="8">
        <f ca="1">IFERROR( VLOOKUP(A101+1,INDIRECT("'[" &amp;Info!$B$4&amp;"]"&amp;Info!$B$5&amp;"'!$A$6:$A$1000"),1,0),"")</f>
        <v>98</v>
      </c>
      <c r="B102" s="5" t="str">
        <f ca="1">IFERROR( IF(A102="","", VLOOKUP(A102,INDIRECT("'[" &amp;Info!$B$4&amp;"]"&amp;Info!$B$5&amp;"'!$A$6:$B$1000"),2,0)),"")</f>
        <v>CNC21</v>
      </c>
      <c r="C102" s="14" t="str">
        <f ca="1">IFERROR( IF(A102="","", VLOOKUP(A102,INDIRECT("'[" &amp;Info!$B$4&amp;"]"&amp;Info!$B$5&amp;"'!$A$6:$D$1000"),3,0)),"")</f>
        <v>3V0005000</v>
      </c>
      <c r="D102" s="31" t="str">
        <f ca="1">IF(C102="","", VLOOKUP(A102,INDIRECT("'[" &amp;Info!$B$4&amp;"]"&amp;Info!$B$5&amp;"'!$A$6:$T$1000"),20,0))</f>
        <v>A6061-T6</v>
      </c>
      <c r="E102" s="6" t="str">
        <f ca="1">IF(D102="","", VLOOKUP(A102,INDIRECT("'[" &amp;Info!$B$4&amp;"]"&amp;Info!$B$5&amp;"'!$A$6:$U$1000"),21,0))</f>
        <v>GW</v>
      </c>
      <c r="F102" s="6" t="str">
        <f ca="1">IF(D102="","", VLOOKUP(A102,INDIRECT("'[" &amp;Info!$B$4&amp;"]"&amp;Info!$B$5&amp;"'!$A$6:$U$1000"),21,0))</f>
        <v>GW</v>
      </c>
      <c r="G102" s="6">
        <f ca="1">IF(D102="","", VLOOKUP(A102,INDIRECT("'[" &amp;Info!$B$4&amp;"]"&amp;Info!$B$5&amp;"'!$A$6:$V$1000"),22,0))</f>
        <v>20</v>
      </c>
      <c r="H102" s="6">
        <f ca="1">IF(D102="","", VLOOKUP(A102,INDIRECT("'[" &amp;Info!$B$4&amp;"]"&amp;Info!$B$5&amp;"'!$A$6:$W$1000"),23,0))</f>
        <v>0</v>
      </c>
      <c r="I102" s="6" t="str">
        <f ca="1">LOWER( IF(D102="","", VLOOKUP(A102,INDIRECT("'[" &amp;Info!$B$4&amp;"]"&amp;Info!$B$5&amp;"'!$A$6:$y$1000"),25,0)))</f>
        <v>h9</v>
      </c>
      <c r="J102" s="6">
        <f ca="1">IF(D102="","", VLOOKUP(A102,INDIRECT("'[" &amp;Info!$B$4&amp;"]"&amp;Info!$B$5&amp;"'!$A$6:$Z$1000"),26,0))</f>
        <v>3</v>
      </c>
      <c r="K102" s="35" t="str">
        <f ca="1">IF(D102="","", VLOOKUP(A102,INDIRECT("'[" &amp;Info!$B$4&amp;"]"&amp;Info!$B$5&amp;"'!$A$6:$AA$1000"),27,0))</f>
        <v>A17</v>
      </c>
      <c r="L102" s="35">
        <f ca="1">IF(D102="","", VLOOKUP(A102,INDIRECT("'[" &amp;Info!$B$4&amp;"]"&amp;Info!$B$5&amp;"'!$A$6:$H$1000"),8,0))</f>
        <v>0.87</v>
      </c>
      <c r="M102" s="35">
        <f ca="1">IF(D102="","", VLOOKUP(A102,INDIRECT("'[" &amp;Info!$B$4&amp;"]"&amp;Info!$B$5&amp;"'!$A$6:$F$1000"),6,0))</f>
        <v>500</v>
      </c>
      <c r="N102" s="33">
        <f ca="1">IF(C102="","", VLOOKUP(A102,INDIRECT("'[" &amp;Info!$B$4&amp;"]"&amp;Info!$B$5&amp;"'!$A$6:$Au$1000"),47,0))</f>
        <v>0</v>
      </c>
      <c r="O102" s="28">
        <f ca="1">IF(N102="","",IF(N102=0,0,VLOOKUP(A102,INDIRECT("'[" &amp;Info!$B$4&amp;"]"&amp;Info!$B$5&amp;"'!$A$6:$AH$1000"),34,0)))</f>
        <v>0</v>
      </c>
      <c r="P102" s="9">
        <f ca="1">IF(N102="","",IF(N102=0,0,VLOOKUP(A102,INDIRECT("'[" &amp;Info!$B$4&amp;"]"&amp;Info!$B$5&amp;"'!$A$6:$AW$1000"),49,0)))</f>
        <v>0</v>
      </c>
      <c r="Q102" s="9">
        <f ca="1">IF(N102="","",IF(N102=0,0, VLOOKUP(A102,INDIRECT("'[" &amp;Info!$B$4&amp;"]"&amp;Info!$B$5&amp;"'!$A$6:$AX$1000"),50,0)))</f>
        <v>0</v>
      </c>
      <c r="R102" s="29">
        <f ca="1">IF(N102="","",IF(N102=0,0, VLOOKUP(A102,INDIRECT("'[" &amp;Info!$B$4&amp;"]"&amp;Info!$B$5&amp;"'!$A$6:$AY$1000"),51,0)))</f>
        <v>0</v>
      </c>
      <c r="S102" s="15">
        <f ca="1">IF(N102="","",IF(N102=0,0,VLOOKUP(A102,INDIRECT("'[" &amp;Info!$B$4&amp;"]"&amp;Info!$B$5&amp;"'!$A$6:$Ai$1000"),35,0)))</f>
        <v>0</v>
      </c>
      <c r="T102" s="7">
        <f ca="1">IF(N102="","",IF(N102=0,0, VLOOKUP(A102,INDIRECT("'[" &amp;Info!$B$4&amp;"]"&amp;Info!$B$5&amp;"'!$A$6:$Az$1000"),52,0)))</f>
        <v>0</v>
      </c>
      <c r="U102" s="7">
        <f ca="1">IF(N102="","",IF(N102=0,0, VLOOKUP(A102,INDIRECT("'[" &amp;Info!$B$4&amp;"]"&amp;Info!$B$5&amp;"'!$A$6:$BA$1000"),53,0)))</f>
        <v>0</v>
      </c>
      <c r="V102" s="16">
        <f ca="1">IF(N102="","",IF(N102=0,0, VLOOKUP(A102,INDIRECT("'[" &amp;Info!$B$4&amp;"]"&amp;Info!$B$5&amp;"'!$A$6:$BB$1000"),54,0)))</f>
        <v>0</v>
      </c>
      <c r="W102" s="17">
        <f t="shared" ca="1" si="5"/>
        <v>0</v>
      </c>
      <c r="X102" s="18">
        <f t="shared" ca="1" si="6"/>
        <v>0</v>
      </c>
      <c r="Y102" s="19">
        <f t="shared" ca="1" si="7"/>
        <v>0</v>
      </c>
      <c r="Z102" s="18">
        <f t="shared" ca="1" si="8"/>
        <v>0</v>
      </c>
    </row>
    <row r="103" spans="1:26" x14ac:dyDescent="0.25">
      <c r="A103" s="8">
        <f ca="1">IFERROR( VLOOKUP(A102+1,INDIRECT("'[" &amp;Info!$B$4&amp;"]"&amp;Info!$B$5&amp;"'!$A$6:$A$1000"),1,0),"")</f>
        <v>99</v>
      </c>
      <c r="B103" s="5" t="str">
        <f ca="1">IFERROR( IF(A103="","", VLOOKUP(A103,INDIRECT("'[" &amp;Info!$B$4&amp;"]"&amp;Info!$B$5&amp;"'!$A$6:$B$1000"),2,0)),"")</f>
        <v>CNC22</v>
      </c>
      <c r="C103" s="14" t="str">
        <f ca="1">IFERROR( IF(A103="","", VLOOKUP(A103,INDIRECT("'[" &amp;Info!$B$4&amp;"]"&amp;Info!$B$5&amp;"'!$A$6:$D$1000"),3,0)),"")</f>
        <v>FB535</v>
      </c>
      <c r="D103" s="31" t="str">
        <f ca="1">IF(C103="","", VLOOKUP(A103,INDIRECT("'[" &amp;Info!$B$4&amp;"]"&amp;Info!$B$5&amp;"'!$A$6:$T$1000"),20,0))</f>
        <v>C3604</v>
      </c>
      <c r="E103" s="6" t="str">
        <f ca="1">IF(D103="","", VLOOKUP(A103,INDIRECT("'[" &amp;Info!$B$4&amp;"]"&amp;Info!$B$5&amp;"'!$A$6:$U$1000"),21,0))</f>
        <v>IB</v>
      </c>
      <c r="F103" s="6" t="str">
        <f ca="1">IF(D103="","", VLOOKUP(A103,INDIRECT("'[" &amp;Info!$B$4&amp;"]"&amp;Info!$B$5&amp;"'!$A$6:$U$1000"),21,0))</f>
        <v>IB</v>
      </c>
      <c r="G103" s="6">
        <f ca="1">IF(D103="","", VLOOKUP(A103,INDIRECT("'[" &amp;Info!$B$4&amp;"]"&amp;Info!$B$5&amp;"'!$A$6:$V$1000"),22,0))</f>
        <v>7</v>
      </c>
      <c r="H103" s="6">
        <f ca="1">IF(D103="","", VLOOKUP(A103,INDIRECT("'[" &amp;Info!$B$4&amp;"]"&amp;Info!$B$5&amp;"'!$A$6:$W$1000"),23,0))</f>
        <v>0</v>
      </c>
      <c r="I103" s="6" t="str">
        <f ca="1">LOWER( IF(D103="","", VLOOKUP(A103,INDIRECT("'[" &amp;Info!$B$4&amp;"]"&amp;Info!$B$5&amp;"'!$A$6:$y$1000"),25,0)))</f>
        <v>h9</v>
      </c>
      <c r="J103" s="6">
        <f ca="1">IF(D103="","", VLOOKUP(A103,INDIRECT("'[" &amp;Info!$B$4&amp;"]"&amp;Info!$B$5&amp;"'!$A$6:$Z$1000"),26,0))</f>
        <v>3</v>
      </c>
      <c r="K103" s="35" t="str">
        <f ca="1">IF(D103="","", VLOOKUP(A103,INDIRECT("'[" &amp;Info!$B$4&amp;"]"&amp;Info!$B$5&amp;"'!$A$6:$AA$1000"),27,0))</f>
        <v>B15</v>
      </c>
      <c r="L103" s="35">
        <f ca="1">IF(D103="","", VLOOKUP(A103,INDIRECT("'[" &amp;Info!$B$4&amp;"]"&amp;Info!$B$5&amp;"'!$A$6:$H$1000"),8,0))</f>
        <v>0.45</v>
      </c>
      <c r="M103" s="35">
        <f ca="1">IF(D103="","", VLOOKUP(A103,INDIRECT("'[" &amp;Info!$B$4&amp;"]"&amp;Info!$B$5&amp;"'!$A$6:$F$1000"),6,0))</f>
        <v>560</v>
      </c>
      <c r="N103" s="33">
        <f ca="1">IF(C103="","", VLOOKUP(A103,INDIRECT("'[" &amp;Info!$B$4&amp;"]"&amp;Info!$B$5&amp;"'!$A$6:$Au$1000"),47,0))</f>
        <v>0</v>
      </c>
      <c r="O103" s="28">
        <f ca="1">IF(N103="","",IF(N103=0,0,VLOOKUP(A103,INDIRECT("'[" &amp;Info!$B$4&amp;"]"&amp;Info!$B$5&amp;"'!$A$6:$AH$1000"),34,0)))</f>
        <v>0</v>
      </c>
      <c r="P103" s="9">
        <f ca="1">IF(N103="","",IF(N103=0,0,VLOOKUP(A103,INDIRECT("'[" &amp;Info!$B$4&amp;"]"&amp;Info!$B$5&amp;"'!$A$6:$AW$1000"),49,0)))</f>
        <v>0</v>
      </c>
      <c r="Q103" s="9">
        <f ca="1">IF(N103="","",IF(N103=0,0, VLOOKUP(A103,INDIRECT("'[" &amp;Info!$B$4&amp;"]"&amp;Info!$B$5&amp;"'!$A$6:$AX$1000"),50,0)))</f>
        <v>0</v>
      </c>
      <c r="R103" s="29">
        <f ca="1">IF(N103="","",IF(N103=0,0, VLOOKUP(A103,INDIRECT("'[" &amp;Info!$B$4&amp;"]"&amp;Info!$B$5&amp;"'!$A$6:$AY$1000"),51,0)))</f>
        <v>0</v>
      </c>
      <c r="S103" s="15">
        <f ca="1">IF(N103="","",IF(N103=0,0,VLOOKUP(A103,INDIRECT("'[" &amp;Info!$B$4&amp;"]"&amp;Info!$B$5&amp;"'!$A$6:$Ai$1000"),35,0)))</f>
        <v>0</v>
      </c>
      <c r="T103" s="7">
        <f ca="1">IF(N103="","",IF(N103=0,0, VLOOKUP(A103,INDIRECT("'[" &amp;Info!$B$4&amp;"]"&amp;Info!$B$5&amp;"'!$A$6:$Az$1000"),52,0)))</f>
        <v>0</v>
      </c>
      <c r="U103" s="7">
        <f ca="1">IF(N103="","",IF(N103=0,0, VLOOKUP(A103,INDIRECT("'[" &amp;Info!$B$4&amp;"]"&amp;Info!$B$5&amp;"'!$A$6:$BA$1000"),53,0)))</f>
        <v>0</v>
      </c>
      <c r="V103" s="16">
        <f ca="1">IF(N103="","",IF(N103=0,0, VLOOKUP(A103,INDIRECT("'[" &amp;Info!$B$4&amp;"]"&amp;Info!$B$5&amp;"'!$A$6:$BB$1000"),54,0)))</f>
        <v>0</v>
      </c>
      <c r="W103" s="17" t="str">
        <f t="shared" ca="1" si="5"/>
        <v/>
      </c>
      <c r="X103" s="18" t="str">
        <f t="shared" ca="1" si="6"/>
        <v/>
      </c>
      <c r="Y103" s="19" t="str">
        <f t="shared" ca="1" si="7"/>
        <v/>
      </c>
      <c r="Z103" s="18" t="str">
        <f t="shared" ca="1" si="8"/>
        <v/>
      </c>
    </row>
    <row r="104" spans="1:26" x14ac:dyDescent="0.25">
      <c r="A104" s="8" t="str">
        <f ca="1">IFERROR( VLOOKUP(A103+1,INDIRECT("'[" &amp;Info!$B$4&amp;"]"&amp;Info!$B$5&amp;"'!$A$6:$A$1000"),1,0),"")</f>
        <v/>
      </c>
      <c r="B104" s="5" t="str">
        <f ca="1">IFERROR( IF(A104="","", VLOOKUP(A104,INDIRECT("'[" &amp;Info!$B$4&amp;"]"&amp;Info!$B$5&amp;"'!$A$6:$B$1000"),2,0)),"")</f>
        <v/>
      </c>
      <c r="C104" s="14" t="str">
        <f ca="1">IFERROR( IF(A104="","", VLOOKUP(A104,INDIRECT("'[" &amp;Info!$B$4&amp;"]"&amp;Info!$B$5&amp;"'!$A$6:$D$1000"),3,0)),"")</f>
        <v/>
      </c>
      <c r="D104" s="31" t="str">
        <f ca="1">IF(C104="","", VLOOKUP(A104,INDIRECT("'[" &amp;Info!$B$4&amp;"]"&amp;Info!$B$5&amp;"'!$A$6:$T$1000"),20,0))</f>
        <v/>
      </c>
      <c r="E104" s="6" t="str">
        <f ca="1">IF(D104="","", VLOOKUP(A104,INDIRECT("'[" &amp;Info!$B$4&amp;"]"&amp;Info!$B$5&amp;"'!$A$6:$U$1000"),21,0))</f>
        <v/>
      </c>
      <c r="F104" s="6" t="str">
        <f ca="1">IF(D104="","", VLOOKUP(A104,INDIRECT("'[" &amp;Info!$B$4&amp;"]"&amp;Info!$B$5&amp;"'!$A$6:$U$1000"),21,0))</f>
        <v/>
      </c>
      <c r="G104" s="6" t="str">
        <f ca="1">IF(D104="","", VLOOKUP(A104,INDIRECT("'[" &amp;Info!$B$4&amp;"]"&amp;Info!$B$5&amp;"'!$A$6:$V$1000"),22,0))</f>
        <v/>
      </c>
      <c r="H104" s="6" t="str">
        <f ca="1">IF(D104="","", VLOOKUP(A104,INDIRECT("'[" &amp;Info!$B$4&amp;"]"&amp;Info!$B$5&amp;"'!$A$6:$W$1000"),23,0))</f>
        <v/>
      </c>
      <c r="I104" s="6" t="str">
        <f ca="1">LOWER( IF(D104="","", VLOOKUP(A104,INDIRECT("'[" &amp;Info!$B$4&amp;"]"&amp;Info!$B$5&amp;"'!$A$6:$y$1000"),25,0)))</f>
        <v/>
      </c>
      <c r="J104" s="6" t="str">
        <f ca="1">IF(D104="","", VLOOKUP(A104,INDIRECT("'[" &amp;Info!$B$4&amp;"]"&amp;Info!$B$5&amp;"'!$A$6:$Z$1000"),26,0))</f>
        <v/>
      </c>
      <c r="K104" s="35" t="str">
        <f ca="1">IF(D104="","", VLOOKUP(A104,INDIRECT("'[" &amp;Info!$B$4&amp;"]"&amp;Info!$B$5&amp;"'!$A$6:$AA$1000"),27,0))</f>
        <v/>
      </c>
      <c r="L104" s="35" t="str">
        <f ca="1">IF(D104="","", VLOOKUP(A104,INDIRECT("'[" &amp;Info!$B$4&amp;"]"&amp;Info!$B$5&amp;"'!$A$6:$H$1000"),8,0))</f>
        <v/>
      </c>
      <c r="M104" s="35" t="str">
        <f ca="1">IF(D104="","", VLOOKUP(A104,INDIRECT("'[" &amp;Info!$B$4&amp;"]"&amp;Info!$B$5&amp;"'!$A$6:$F$1000"),6,0))</f>
        <v/>
      </c>
      <c r="N104" s="33" t="str">
        <f ca="1">IF(C104="","", VLOOKUP(A104,INDIRECT("'[" &amp;Info!$B$4&amp;"]"&amp;Info!$B$5&amp;"'!$A$6:$Au$1000"),47,0))</f>
        <v/>
      </c>
      <c r="O104" s="28" t="str">
        <f ca="1">IF(N104="","",IF(N104=0,0,VLOOKUP(A104,INDIRECT("'[" &amp;Info!$B$4&amp;"]"&amp;Info!$B$5&amp;"'!$A$6:$AH$1000"),34,0)))</f>
        <v/>
      </c>
      <c r="P104" s="9" t="str">
        <f ca="1">IF(N104="","",IF(N104=0,0,VLOOKUP(A104,INDIRECT("'[" &amp;Info!$B$4&amp;"]"&amp;Info!$B$5&amp;"'!$A$6:$AW$1000"),49,0)))</f>
        <v/>
      </c>
      <c r="Q104" s="9" t="str">
        <f ca="1">IF(N104="","",IF(N104=0,0, VLOOKUP(A104,INDIRECT("'[" &amp;Info!$B$4&amp;"]"&amp;Info!$B$5&amp;"'!$A$6:$AX$1000"),50,0)))</f>
        <v/>
      </c>
      <c r="R104" s="29" t="str">
        <f ca="1">IF(N104="","",IF(N104=0,0, VLOOKUP(A104,INDIRECT("'[" &amp;Info!$B$4&amp;"]"&amp;Info!$B$5&amp;"'!$A$6:$AY$1000"),51,0)))</f>
        <v/>
      </c>
      <c r="S104" s="15" t="str">
        <f ca="1">IF(N104="","",IF(N104=0,0,VLOOKUP(A104,INDIRECT("'[" &amp;Info!$B$4&amp;"]"&amp;Info!$B$5&amp;"'!$A$6:$Ai$1000"),35,0)))</f>
        <v/>
      </c>
      <c r="T104" s="7" t="str">
        <f ca="1">IF(N104="","",IF(N104=0,0, VLOOKUP(A104,INDIRECT("'[" &amp;Info!$B$4&amp;"]"&amp;Info!$B$5&amp;"'!$A$6:$Az$1000"),52,0)))</f>
        <v/>
      </c>
      <c r="U104" s="7" t="str">
        <f ca="1">IF(N104="","",IF(N104=0,0, VLOOKUP(A104,INDIRECT("'[" &amp;Info!$B$4&amp;"]"&amp;Info!$B$5&amp;"'!$A$6:$BA$1000"),53,0)))</f>
        <v/>
      </c>
      <c r="V104" s="16" t="str">
        <f ca="1">IF(N104="","",IF(N104=0,0, VLOOKUP(A104,INDIRECT("'[" &amp;Info!$B$4&amp;"]"&amp;Info!$B$5&amp;"'!$A$6:$BB$1000"),54,0)))</f>
        <v/>
      </c>
      <c r="W104" s="17" t="str">
        <f t="shared" ca="1" si="5"/>
        <v/>
      </c>
      <c r="X104" s="18" t="str">
        <f t="shared" ca="1" si="6"/>
        <v/>
      </c>
      <c r="Y104" s="19" t="str">
        <f t="shared" ca="1" si="7"/>
        <v/>
      </c>
      <c r="Z104" s="18" t="str">
        <f t="shared" ca="1" si="8"/>
        <v/>
      </c>
    </row>
    <row r="105" spans="1:26" x14ac:dyDescent="0.25">
      <c r="A105" s="8" t="str">
        <f ca="1">IFERROR( VLOOKUP(A104+1,INDIRECT("'[" &amp;Info!$B$4&amp;"]"&amp;Info!$B$5&amp;"'!$A$6:$A$1000"),1,0),"")</f>
        <v/>
      </c>
      <c r="B105" s="5" t="str">
        <f ca="1">IFERROR( IF(A105="","", VLOOKUP(A105,INDIRECT("'[" &amp;Info!$B$4&amp;"]"&amp;Info!$B$5&amp;"'!$A$6:$B$1000"),2,0)),"")</f>
        <v/>
      </c>
      <c r="C105" s="14" t="str">
        <f ca="1">IFERROR( IF(A105="","", VLOOKUP(A105,INDIRECT("'[" &amp;Info!$B$4&amp;"]"&amp;Info!$B$5&amp;"'!$A$6:$D$1000"),3,0)),"")</f>
        <v/>
      </c>
      <c r="D105" s="31" t="str">
        <f ca="1">IF(C105="","", VLOOKUP(A105,INDIRECT("'[" &amp;Info!$B$4&amp;"]"&amp;Info!$B$5&amp;"'!$A$6:$T$1000"),20,0))</f>
        <v/>
      </c>
      <c r="E105" s="6" t="str">
        <f ca="1">IF(D105="","", VLOOKUP(A105,INDIRECT("'[" &amp;Info!$B$4&amp;"]"&amp;Info!$B$5&amp;"'!$A$6:$U$1000"),21,0))</f>
        <v/>
      </c>
      <c r="F105" s="6" t="str">
        <f ca="1">IF(D105="","", VLOOKUP(A105,INDIRECT("'[" &amp;Info!$B$4&amp;"]"&amp;Info!$B$5&amp;"'!$A$6:$U$1000"),21,0))</f>
        <v/>
      </c>
      <c r="G105" s="6" t="str">
        <f ca="1">IF(D105="","", VLOOKUP(A105,INDIRECT("'[" &amp;Info!$B$4&amp;"]"&amp;Info!$B$5&amp;"'!$A$6:$V$1000"),22,0))</f>
        <v/>
      </c>
      <c r="H105" s="6" t="str">
        <f ca="1">IF(D105="","", VLOOKUP(A105,INDIRECT("'[" &amp;Info!$B$4&amp;"]"&amp;Info!$B$5&amp;"'!$A$6:$W$1000"),23,0))</f>
        <v/>
      </c>
      <c r="I105" s="6" t="str">
        <f ca="1">LOWER( IF(D105="","", VLOOKUP(A105,INDIRECT("'[" &amp;Info!$B$4&amp;"]"&amp;Info!$B$5&amp;"'!$A$6:$y$1000"),25,0)))</f>
        <v/>
      </c>
      <c r="J105" s="6" t="str">
        <f ca="1">IF(D105="","", VLOOKUP(A105,INDIRECT("'[" &amp;Info!$B$4&amp;"]"&amp;Info!$B$5&amp;"'!$A$6:$Z$1000"),26,0))</f>
        <v/>
      </c>
      <c r="K105" s="35" t="str">
        <f ca="1">IF(D105="","", VLOOKUP(A105,INDIRECT("'[" &amp;Info!$B$4&amp;"]"&amp;Info!$B$5&amp;"'!$A$6:$AA$1000"),27,0))</f>
        <v/>
      </c>
      <c r="L105" s="35" t="str">
        <f ca="1">IF(D105="","", VLOOKUP(A105,INDIRECT("'[" &amp;Info!$B$4&amp;"]"&amp;Info!$B$5&amp;"'!$A$6:$H$1000"),8,0))</f>
        <v/>
      </c>
      <c r="M105" s="35" t="str">
        <f ca="1">IF(D105="","", VLOOKUP(A105,INDIRECT("'[" &amp;Info!$B$4&amp;"]"&amp;Info!$B$5&amp;"'!$A$6:$F$1000"),6,0))</f>
        <v/>
      </c>
      <c r="N105" s="33" t="str">
        <f ca="1">IF(C105="","", VLOOKUP(A105,INDIRECT("'[" &amp;Info!$B$4&amp;"]"&amp;Info!$B$5&amp;"'!$A$6:$Au$1000"),47,0))</f>
        <v/>
      </c>
      <c r="O105" s="28" t="str">
        <f ca="1">IF(N105="","",IF(N105=0,0,VLOOKUP(A105,INDIRECT("'[" &amp;Info!$B$4&amp;"]"&amp;Info!$B$5&amp;"'!$A$6:$AH$1000"),34,0)))</f>
        <v/>
      </c>
      <c r="P105" s="9" t="str">
        <f ca="1">IF(N105="","",IF(N105=0,0,VLOOKUP(A105,INDIRECT("'[" &amp;Info!$B$4&amp;"]"&amp;Info!$B$5&amp;"'!$A$6:$AW$1000"),49,0)))</f>
        <v/>
      </c>
      <c r="Q105" s="9" t="str">
        <f ca="1">IF(N105="","",IF(N105=0,0, VLOOKUP(A105,INDIRECT("'[" &amp;Info!$B$4&amp;"]"&amp;Info!$B$5&amp;"'!$A$6:$AX$1000"),50,0)))</f>
        <v/>
      </c>
      <c r="R105" s="29" t="str">
        <f ca="1">IF(N105="","",IF(N105=0,0, VLOOKUP(A105,INDIRECT("'[" &amp;Info!$B$4&amp;"]"&amp;Info!$B$5&amp;"'!$A$6:$AY$1000"),51,0)))</f>
        <v/>
      </c>
      <c r="S105" s="15" t="str">
        <f ca="1">IF(N105="","",IF(N105=0,0,VLOOKUP(A105,INDIRECT("'[" &amp;Info!$B$4&amp;"]"&amp;Info!$B$5&amp;"'!$A$6:$Ai$1000"),35,0)))</f>
        <v/>
      </c>
      <c r="T105" s="7" t="str">
        <f ca="1">IF(N105="","",IF(N105=0,0, VLOOKUP(A105,INDIRECT("'[" &amp;Info!$B$4&amp;"]"&amp;Info!$B$5&amp;"'!$A$6:$Az$1000"),52,0)))</f>
        <v/>
      </c>
      <c r="U105" s="7" t="str">
        <f ca="1">IF(N105="","",IF(N105=0,0, VLOOKUP(A105,INDIRECT("'[" &amp;Info!$B$4&amp;"]"&amp;Info!$B$5&amp;"'!$A$6:$BA$1000"),53,0)))</f>
        <v/>
      </c>
      <c r="V105" s="16" t="str">
        <f ca="1">IF(N105="","",IF(N105=0,0, VLOOKUP(A105,INDIRECT("'[" &amp;Info!$B$4&amp;"]"&amp;Info!$B$5&amp;"'!$A$6:$BB$1000"),54,0)))</f>
        <v/>
      </c>
      <c r="W105" s="17" t="str">
        <f t="shared" ca="1" si="5"/>
        <v/>
      </c>
      <c r="X105" s="18" t="str">
        <f t="shared" ca="1" si="6"/>
        <v/>
      </c>
      <c r="Y105" s="19" t="str">
        <f t="shared" ca="1" si="7"/>
        <v/>
      </c>
      <c r="Z105" s="18" t="str">
        <f t="shared" ca="1" si="8"/>
        <v/>
      </c>
    </row>
    <row r="106" spans="1:26" x14ac:dyDescent="0.25">
      <c r="A106" s="8" t="str">
        <f ca="1">IFERROR( VLOOKUP(A105+1,INDIRECT("'[" &amp;Info!$B$4&amp;"]"&amp;Info!$B$5&amp;"'!$A$6:$A$1000"),1,0),"")</f>
        <v/>
      </c>
      <c r="B106" s="5" t="str">
        <f ca="1">IFERROR( IF(A106="","", VLOOKUP(A106,INDIRECT("'[" &amp;Info!$B$4&amp;"]"&amp;Info!$B$5&amp;"'!$A$6:$B$1000"),2,0)),"")</f>
        <v/>
      </c>
      <c r="C106" s="14" t="str">
        <f ca="1">IFERROR( IF(A106="","", VLOOKUP(A106,INDIRECT("'[" &amp;Info!$B$4&amp;"]"&amp;Info!$B$5&amp;"'!$A$6:$D$1000"),3,0)),"")</f>
        <v/>
      </c>
      <c r="D106" s="31" t="str">
        <f ca="1">IF(C106="","", VLOOKUP(A106,INDIRECT("'[" &amp;Info!$B$4&amp;"]"&amp;Info!$B$5&amp;"'!$A$6:$T$1000"),20,0))</f>
        <v/>
      </c>
      <c r="E106" s="6" t="str">
        <f ca="1">IF(D106="","", VLOOKUP(A106,INDIRECT("'[" &amp;Info!$B$4&amp;"]"&amp;Info!$B$5&amp;"'!$A$6:$U$1000"),21,0))</f>
        <v/>
      </c>
      <c r="F106" s="6" t="str">
        <f ca="1">IF(D106="","", VLOOKUP(A106,INDIRECT("'[" &amp;Info!$B$4&amp;"]"&amp;Info!$B$5&amp;"'!$A$6:$U$1000"),21,0))</f>
        <v/>
      </c>
      <c r="G106" s="6" t="str">
        <f ca="1">IF(D106="","", VLOOKUP(A106,INDIRECT("'[" &amp;Info!$B$4&amp;"]"&amp;Info!$B$5&amp;"'!$A$6:$V$1000"),22,0))</f>
        <v/>
      </c>
      <c r="H106" s="6" t="str">
        <f ca="1">IF(D106="","", VLOOKUP(A106,INDIRECT("'[" &amp;Info!$B$4&amp;"]"&amp;Info!$B$5&amp;"'!$A$6:$W$1000"),23,0))</f>
        <v/>
      </c>
      <c r="I106" s="6" t="str">
        <f ca="1">LOWER( IF(D106="","", VLOOKUP(A106,INDIRECT("'[" &amp;Info!$B$4&amp;"]"&amp;Info!$B$5&amp;"'!$A$6:$y$1000"),25,0)))</f>
        <v/>
      </c>
      <c r="J106" s="6" t="str">
        <f ca="1">IF(D106="","", VLOOKUP(A106,INDIRECT("'[" &amp;Info!$B$4&amp;"]"&amp;Info!$B$5&amp;"'!$A$6:$Z$1000"),26,0))</f>
        <v/>
      </c>
      <c r="K106" s="35" t="str">
        <f ca="1">IF(D106="","", VLOOKUP(A106,INDIRECT("'[" &amp;Info!$B$4&amp;"]"&amp;Info!$B$5&amp;"'!$A$6:$AA$1000"),27,0))</f>
        <v/>
      </c>
      <c r="L106" s="35" t="str">
        <f ca="1">IF(D106="","", VLOOKUP(A106,INDIRECT("'[" &amp;Info!$B$4&amp;"]"&amp;Info!$B$5&amp;"'!$A$6:$H$1000"),8,0))</f>
        <v/>
      </c>
      <c r="M106" s="35" t="str">
        <f ca="1">IF(D106="","", VLOOKUP(A106,INDIRECT("'[" &amp;Info!$B$4&amp;"]"&amp;Info!$B$5&amp;"'!$A$6:$F$1000"),6,0))</f>
        <v/>
      </c>
      <c r="N106" s="33" t="str">
        <f ca="1">IF(C106="","", VLOOKUP(A106,INDIRECT("'[" &amp;Info!$B$4&amp;"]"&amp;Info!$B$5&amp;"'!$A$6:$Au$1000"),47,0))</f>
        <v/>
      </c>
      <c r="O106" s="28" t="str">
        <f ca="1">IF(N106="","",IF(N106=0,0,VLOOKUP(A106,INDIRECT("'[" &amp;Info!$B$4&amp;"]"&amp;Info!$B$5&amp;"'!$A$6:$AH$1000"),34,0)))</f>
        <v/>
      </c>
      <c r="P106" s="9" t="str">
        <f ca="1">IF(N106="","",IF(N106=0,0,VLOOKUP(A106,INDIRECT("'[" &amp;Info!$B$4&amp;"]"&amp;Info!$B$5&amp;"'!$A$6:$AW$1000"),49,0)))</f>
        <v/>
      </c>
      <c r="Q106" s="9" t="str">
        <f ca="1">IF(N106="","",IF(N106=0,0, VLOOKUP(A106,INDIRECT("'[" &amp;Info!$B$4&amp;"]"&amp;Info!$B$5&amp;"'!$A$6:$AX$1000"),50,0)))</f>
        <v/>
      </c>
      <c r="R106" s="29" t="str">
        <f ca="1">IF(N106="","",IF(N106=0,0, VLOOKUP(A106,INDIRECT("'[" &amp;Info!$B$4&amp;"]"&amp;Info!$B$5&amp;"'!$A$6:$AY$1000"),51,0)))</f>
        <v/>
      </c>
      <c r="S106" s="15" t="str">
        <f ca="1">IF(N106="","",IF(N106=0,0,VLOOKUP(A106,INDIRECT("'[" &amp;Info!$B$4&amp;"]"&amp;Info!$B$5&amp;"'!$A$6:$Ai$1000"),35,0)))</f>
        <v/>
      </c>
      <c r="T106" s="7" t="str">
        <f ca="1">IF(N106="","",IF(N106=0,0, VLOOKUP(A106,INDIRECT("'[" &amp;Info!$B$4&amp;"]"&amp;Info!$B$5&amp;"'!$A$6:$Az$1000"),52,0)))</f>
        <v/>
      </c>
      <c r="U106" s="7" t="str">
        <f ca="1">IF(N106="","",IF(N106=0,0, VLOOKUP(A106,INDIRECT("'[" &amp;Info!$B$4&amp;"]"&amp;Info!$B$5&amp;"'!$A$6:$BA$1000"),53,0)))</f>
        <v/>
      </c>
      <c r="V106" s="16" t="str">
        <f ca="1">IF(N106="","",IF(N106=0,0, VLOOKUP(A106,INDIRECT("'[" &amp;Info!$B$4&amp;"]"&amp;Info!$B$5&amp;"'!$A$6:$BB$1000"),54,0)))</f>
        <v/>
      </c>
      <c r="W106" s="17" t="str">
        <f t="shared" ca="1" si="5"/>
        <v/>
      </c>
      <c r="X106" s="18" t="str">
        <f t="shared" ca="1" si="6"/>
        <v/>
      </c>
      <c r="Y106" s="19" t="str">
        <f t="shared" ca="1" si="7"/>
        <v/>
      </c>
      <c r="Z106" s="18" t="str">
        <f t="shared" ca="1" si="8"/>
        <v/>
      </c>
    </row>
    <row r="107" spans="1:26" x14ac:dyDescent="0.25">
      <c r="A107" s="8" t="str">
        <f ca="1">IFERROR( VLOOKUP(A106+1,INDIRECT("'[" &amp;Info!$B$4&amp;"]"&amp;Info!$B$5&amp;"'!$A$6:$A$1000"),1,0),"")</f>
        <v/>
      </c>
      <c r="B107" s="5" t="str">
        <f ca="1">IFERROR( IF(A107="","", VLOOKUP(A107,INDIRECT("'[" &amp;Info!$B$4&amp;"]"&amp;Info!$B$5&amp;"'!$A$6:$B$1000"),2,0)),"")</f>
        <v/>
      </c>
      <c r="C107" s="14" t="str">
        <f ca="1">IFERROR( IF(A107="","", VLOOKUP(A107,INDIRECT("'[" &amp;Info!$B$4&amp;"]"&amp;Info!$B$5&amp;"'!$A$6:$D$1000"),3,0)),"")</f>
        <v/>
      </c>
      <c r="D107" s="31" t="str">
        <f ca="1">IF(C107="","", VLOOKUP(A107,INDIRECT("'[" &amp;Info!$B$4&amp;"]"&amp;Info!$B$5&amp;"'!$A$6:$T$1000"),20,0))</f>
        <v/>
      </c>
      <c r="E107" s="6" t="str">
        <f ca="1">IF(D107="","", VLOOKUP(A107,INDIRECT("'[" &amp;Info!$B$4&amp;"]"&amp;Info!$B$5&amp;"'!$A$6:$U$1000"),21,0))</f>
        <v/>
      </c>
      <c r="F107" s="6" t="str">
        <f ca="1">IF(D107="","", VLOOKUP(A107,INDIRECT("'[" &amp;Info!$B$4&amp;"]"&amp;Info!$B$5&amp;"'!$A$6:$U$1000"),21,0))</f>
        <v/>
      </c>
      <c r="G107" s="6" t="str">
        <f ca="1">IF(D107="","", VLOOKUP(A107,INDIRECT("'[" &amp;Info!$B$4&amp;"]"&amp;Info!$B$5&amp;"'!$A$6:$V$1000"),22,0))</f>
        <v/>
      </c>
      <c r="H107" s="6" t="str">
        <f ca="1">IF(D107="","", VLOOKUP(A107,INDIRECT("'[" &amp;Info!$B$4&amp;"]"&amp;Info!$B$5&amp;"'!$A$6:$W$1000"),23,0))</f>
        <v/>
      </c>
      <c r="I107" s="6" t="str">
        <f ca="1">LOWER( IF(D107="","", VLOOKUP(A107,INDIRECT("'[" &amp;Info!$B$4&amp;"]"&amp;Info!$B$5&amp;"'!$A$6:$y$1000"),25,0)))</f>
        <v/>
      </c>
      <c r="J107" s="6" t="str">
        <f ca="1">IF(D107="","", VLOOKUP(A107,INDIRECT("'[" &amp;Info!$B$4&amp;"]"&amp;Info!$B$5&amp;"'!$A$6:$Z$1000"),26,0))</f>
        <v/>
      </c>
      <c r="K107" s="35" t="str">
        <f ca="1">IF(D107="","", VLOOKUP(A107,INDIRECT("'[" &amp;Info!$B$4&amp;"]"&amp;Info!$B$5&amp;"'!$A$6:$AA$1000"),27,0))</f>
        <v/>
      </c>
      <c r="L107" s="35" t="str">
        <f ca="1">IF(D107="","", VLOOKUP(A107,INDIRECT("'[" &amp;Info!$B$4&amp;"]"&amp;Info!$B$5&amp;"'!$A$6:$H$1000"),8,0))</f>
        <v/>
      </c>
      <c r="M107" s="35" t="str">
        <f ca="1">IF(D107="","", VLOOKUP(A107,INDIRECT("'[" &amp;Info!$B$4&amp;"]"&amp;Info!$B$5&amp;"'!$A$6:$F$1000"),6,0))</f>
        <v/>
      </c>
      <c r="N107" s="33" t="str">
        <f ca="1">IF(C107="","", VLOOKUP(A107,INDIRECT("'[" &amp;Info!$B$4&amp;"]"&amp;Info!$B$5&amp;"'!$A$6:$Au$1000"),47,0))</f>
        <v/>
      </c>
      <c r="O107" s="28" t="str">
        <f ca="1">IF(N107="","",IF(N107=0,0,VLOOKUP(A107,INDIRECT("'[" &amp;Info!$B$4&amp;"]"&amp;Info!$B$5&amp;"'!$A$6:$AH$1000"),34,0)))</f>
        <v/>
      </c>
      <c r="P107" s="9" t="str">
        <f ca="1">IF(N107="","",IF(N107=0,0,VLOOKUP(A107,INDIRECT("'[" &amp;Info!$B$4&amp;"]"&amp;Info!$B$5&amp;"'!$A$6:$AW$1000"),49,0)))</f>
        <v/>
      </c>
      <c r="Q107" s="9" t="str">
        <f ca="1">IF(N107="","",IF(N107=0,0, VLOOKUP(A107,INDIRECT("'[" &amp;Info!$B$4&amp;"]"&amp;Info!$B$5&amp;"'!$A$6:$AX$1000"),50,0)))</f>
        <v/>
      </c>
      <c r="R107" s="29" t="str">
        <f ca="1">IF(N107="","",IF(N107=0,0, VLOOKUP(A107,INDIRECT("'[" &amp;Info!$B$4&amp;"]"&amp;Info!$B$5&amp;"'!$A$6:$AY$1000"),51,0)))</f>
        <v/>
      </c>
      <c r="S107" s="15" t="str">
        <f ca="1">IF(N107="","",IF(N107=0,0,VLOOKUP(A107,INDIRECT("'[" &amp;Info!$B$4&amp;"]"&amp;Info!$B$5&amp;"'!$A$6:$Ai$1000"),35,0)))</f>
        <v/>
      </c>
      <c r="T107" s="7" t="str">
        <f ca="1">IF(N107="","",IF(N107=0,0, VLOOKUP(A107,INDIRECT("'[" &amp;Info!$B$4&amp;"]"&amp;Info!$B$5&amp;"'!$A$6:$Az$1000"),52,0)))</f>
        <v/>
      </c>
      <c r="U107" s="7" t="str">
        <f ca="1">IF(N107="","",IF(N107=0,0, VLOOKUP(A107,INDIRECT("'[" &amp;Info!$B$4&amp;"]"&amp;Info!$B$5&amp;"'!$A$6:$BA$1000"),53,0)))</f>
        <v/>
      </c>
      <c r="V107" s="16" t="str">
        <f ca="1">IF(N107="","",IF(N107=0,0, VLOOKUP(A107,INDIRECT("'[" &amp;Info!$B$4&amp;"]"&amp;Info!$B$5&amp;"'!$A$6:$BB$1000"),54,0)))</f>
        <v/>
      </c>
      <c r="W107" s="17" t="str">
        <f t="shared" ca="1" si="5"/>
        <v/>
      </c>
      <c r="X107" s="18" t="str">
        <f t="shared" ca="1" si="6"/>
        <v/>
      </c>
      <c r="Y107" s="19" t="str">
        <f t="shared" ca="1" si="7"/>
        <v/>
      </c>
      <c r="Z107" s="18" t="str">
        <f t="shared" ca="1" si="8"/>
        <v/>
      </c>
    </row>
    <row r="108" spans="1:26" x14ac:dyDescent="0.25">
      <c r="A108" s="8" t="str">
        <f ca="1">IFERROR( VLOOKUP(A107+1,INDIRECT("'[" &amp;Info!$B$4&amp;"]"&amp;Info!$B$5&amp;"'!$A$6:$A$1000"),1,0),"")</f>
        <v/>
      </c>
      <c r="B108" s="5" t="str">
        <f ca="1">IFERROR( IF(A108="","", VLOOKUP(A108,INDIRECT("'[" &amp;Info!$B$4&amp;"]"&amp;Info!$B$5&amp;"'!$A$6:$B$1000"),2,0)),"")</f>
        <v/>
      </c>
      <c r="C108" s="14" t="str">
        <f ca="1">IFERROR( IF(A108="","", VLOOKUP(A108,INDIRECT("'[" &amp;Info!$B$4&amp;"]"&amp;Info!$B$5&amp;"'!$A$6:$D$1000"),3,0)),"")</f>
        <v/>
      </c>
      <c r="D108" s="31" t="str">
        <f ca="1">IF(C108="","", VLOOKUP(A108,INDIRECT("'[" &amp;Info!$B$4&amp;"]"&amp;Info!$B$5&amp;"'!$A$6:$T$1000"),20,0))</f>
        <v/>
      </c>
      <c r="E108" s="6" t="str">
        <f ca="1">IF(D108="","", VLOOKUP(A108,INDIRECT("'[" &amp;Info!$B$4&amp;"]"&amp;Info!$B$5&amp;"'!$A$6:$U$1000"),21,0))</f>
        <v/>
      </c>
      <c r="F108" s="6" t="str">
        <f ca="1">IF(D108="","", VLOOKUP(A108,INDIRECT("'[" &amp;Info!$B$4&amp;"]"&amp;Info!$B$5&amp;"'!$A$6:$U$1000"),21,0))</f>
        <v/>
      </c>
      <c r="G108" s="6" t="str">
        <f ca="1">IF(D108="","", VLOOKUP(A108,INDIRECT("'[" &amp;Info!$B$4&amp;"]"&amp;Info!$B$5&amp;"'!$A$6:$V$1000"),22,0))</f>
        <v/>
      </c>
      <c r="H108" s="6" t="str">
        <f ca="1">IF(D108="","", VLOOKUP(A108,INDIRECT("'[" &amp;Info!$B$4&amp;"]"&amp;Info!$B$5&amp;"'!$A$6:$W$1000"),23,0))</f>
        <v/>
      </c>
      <c r="I108" s="6" t="str">
        <f ca="1">LOWER( IF(D108="","", VLOOKUP(A108,INDIRECT("'[" &amp;Info!$B$4&amp;"]"&amp;Info!$B$5&amp;"'!$A$6:$y$1000"),25,0)))</f>
        <v/>
      </c>
      <c r="J108" s="6" t="str">
        <f ca="1">IF(D108="","", VLOOKUP(A108,INDIRECT("'[" &amp;Info!$B$4&amp;"]"&amp;Info!$B$5&amp;"'!$A$6:$Z$1000"),26,0))</f>
        <v/>
      </c>
      <c r="K108" s="35" t="str">
        <f ca="1">IF(D108="","", VLOOKUP(A108,INDIRECT("'[" &amp;Info!$B$4&amp;"]"&amp;Info!$B$5&amp;"'!$A$6:$AA$1000"),27,0))</f>
        <v/>
      </c>
      <c r="L108" s="35" t="str">
        <f ca="1">IF(D108="","", VLOOKUP(A108,INDIRECT("'[" &amp;Info!$B$4&amp;"]"&amp;Info!$B$5&amp;"'!$A$6:$H$1000"),8,0))</f>
        <v/>
      </c>
      <c r="M108" s="35" t="str">
        <f ca="1">IF(D108="","", VLOOKUP(A108,INDIRECT("'[" &amp;Info!$B$4&amp;"]"&amp;Info!$B$5&amp;"'!$A$6:$F$1000"),6,0))</f>
        <v/>
      </c>
      <c r="N108" s="33" t="str">
        <f ca="1">IF(C108="","", VLOOKUP(A108,INDIRECT("'[" &amp;Info!$B$4&amp;"]"&amp;Info!$B$5&amp;"'!$A$6:$Au$1000"),47,0))</f>
        <v/>
      </c>
      <c r="O108" s="28" t="str">
        <f ca="1">IF(N108="","",IF(N108=0,0,VLOOKUP(A108,INDIRECT("'[" &amp;Info!$B$4&amp;"]"&amp;Info!$B$5&amp;"'!$A$6:$AH$1000"),34,0)))</f>
        <v/>
      </c>
      <c r="P108" s="9" t="str">
        <f ca="1">IF(N108="","",IF(N108=0,0,VLOOKUP(A108,INDIRECT("'[" &amp;Info!$B$4&amp;"]"&amp;Info!$B$5&amp;"'!$A$6:$AW$1000"),49,0)))</f>
        <v/>
      </c>
      <c r="Q108" s="9" t="str">
        <f ca="1">IF(N108="","",IF(N108=0,0, VLOOKUP(A108,INDIRECT("'[" &amp;Info!$B$4&amp;"]"&amp;Info!$B$5&amp;"'!$A$6:$AX$1000"),50,0)))</f>
        <v/>
      </c>
      <c r="R108" s="29" t="str">
        <f ca="1">IF(N108="","",IF(N108=0,0, VLOOKUP(A108,INDIRECT("'[" &amp;Info!$B$4&amp;"]"&amp;Info!$B$5&amp;"'!$A$6:$AY$1000"),51,0)))</f>
        <v/>
      </c>
      <c r="S108" s="15" t="str">
        <f ca="1">IF(N108="","",IF(N108=0,0,VLOOKUP(A108,INDIRECT("'[" &amp;Info!$B$4&amp;"]"&amp;Info!$B$5&amp;"'!$A$6:$Ai$1000"),35,0)))</f>
        <v/>
      </c>
      <c r="T108" s="7" t="str">
        <f ca="1">IF(N108="","",IF(N108=0,0, VLOOKUP(A108,INDIRECT("'[" &amp;Info!$B$4&amp;"]"&amp;Info!$B$5&amp;"'!$A$6:$Az$1000"),52,0)))</f>
        <v/>
      </c>
      <c r="U108" s="7" t="str">
        <f ca="1">IF(N108="","",IF(N108=0,0, VLOOKUP(A108,INDIRECT("'[" &amp;Info!$B$4&amp;"]"&amp;Info!$B$5&amp;"'!$A$6:$BA$1000"),53,0)))</f>
        <v/>
      </c>
      <c r="V108" s="16" t="str">
        <f ca="1">IF(N108="","",IF(N108=0,0, VLOOKUP(A108,INDIRECT("'[" &amp;Info!$B$4&amp;"]"&amp;Info!$B$5&amp;"'!$A$6:$BB$1000"),54,0)))</f>
        <v/>
      </c>
      <c r="W108" s="17" t="str">
        <f t="shared" ca="1" si="5"/>
        <v/>
      </c>
      <c r="X108" s="18" t="str">
        <f t="shared" ca="1" si="6"/>
        <v/>
      </c>
      <c r="Y108" s="19" t="str">
        <f t="shared" ca="1" si="7"/>
        <v/>
      </c>
      <c r="Z108" s="18" t="str">
        <f t="shared" ca="1" si="8"/>
        <v/>
      </c>
    </row>
    <row r="109" spans="1:26" x14ac:dyDescent="0.25">
      <c r="A109" s="8" t="str">
        <f ca="1">IFERROR( VLOOKUP(A108+1,INDIRECT("'[" &amp;Info!$B$4&amp;"]"&amp;Info!$B$5&amp;"'!$A$6:$A$1000"),1,0),"")</f>
        <v/>
      </c>
      <c r="B109" s="5" t="str">
        <f ca="1">IFERROR( IF(A109="","", VLOOKUP(A109,INDIRECT("'[" &amp;Info!$B$4&amp;"]"&amp;Info!$B$5&amp;"'!$A$6:$B$1000"),2,0)),"")</f>
        <v/>
      </c>
      <c r="C109" s="14" t="str">
        <f ca="1">IFERROR( IF(A109="","", VLOOKUP(A109,INDIRECT("'[" &amp;Info!$B$4&amp;"]"&amp;Info!$B$5&amp;"'!$A$6:$D$1000"),3,0)),"")</f>
        <v/>
      </c>
      <c r="D109" s="31" t="str">
        <f ca="1">IF(C109="","", VLOOKUP(A109,INDIRECT("'[" &amp;Info!$B$4&amp;"]"&amp;Info!$B$5&amp;"'!$A$6:$T$1000"),20,0))</f>
        <v/>
      </c>
      <c r="E109" s="6" t="str">
        <f ca="1">IF(D109="","", VLOOKUP(A109,INDIRECT("'[" &amp;Info!$B$4&amp;"]"&amp;Info!$B$5&amp;"'!$A$6:$U$1000"),21,0))</f>
        <v/>
      </c>
      <c r="F109" s="6" t="str">
        <f ca="1">IF(D109="","", VLOOKUP(A109,INDIRECT("'[" &amp;Info!$B$4&amp;"]"&amp;Info!$B$5&amp;"'!$A$6:$U$1000"),21,0))</f>
        <v/>
      </c>
      <c r="G109" s="6" t="str">
        <f ca="1">IF(D109="","", VLOOKUP(A109,INDIRECT("'[" &amp;Info!$B$4&amp;"]"&amp;Info!$B$5&amp;"'!$A$6:$V$1000"),22,0))</f>
        <v/>
      </c>
      <c r="H109" s="6" t="str">
        <f ca="1">IF(D109="","", VLOOKUP(A109,INDIRECT("'[" &amp;Info!$B$4&amp;"]"&amp;Info!$B$5&amp;"'!$A$6:$W$1000"),23,0))</f>
        <v/>
      </c>
      <c r="I109" s="6" t="str">
        <f ca="1">LOWER( IF(D109="","", VLOOKUP(A109,INDIRECT("'[" &amp;Info!$B$4&amp;"]"&amp;Info!$B$5&amp;"'!$A$6:$y$1000"),25,0)))</f>
        <v/>
      </c>
      <c r="J109" s="6" t="str">
        <f ca="1">IF(D109="","", VLOOKUP(A109,INDIRECT("'[" &amp;Info!$B$4&amp;"]"&amp;Info!$B$5&amp;"'!$A$6:$Z$1000"),26,0))</f>
        <v/>
      </c>
      <c r="K109" s="35" t="str">
        <f ca="1">IF(D109="","", VLOOKUP(A109,INDIRECT("'[" &amp;Info!$B$4&amp;"]"&amp;Info!$B$5&amp;"'!$A$6:$AA$1000"),27,0))</f>
        <v/>
      </c>
      <c r="L109" s="35" t="str">
        <f ca="1">IF(D109="","", VLOOKUP(A109,INDIRECT("'[" &amp;Info!$B$4&amp;"]"&amp;Info!$B$5&amp;"'!$A$6:$H$1000"),8,0))</f>
        <v/>
      </c>
      <c r="M109" s="35" t="str">
        <f ca="1">IF(D109="","", VLOOKUP(A109,INDIRECT("'[" &amp;Info!$B$4&amp;"]"&amp;Info!$B$5&amp;"'!$A$6:$F$1000"),6,0))</f>
        <v/>
      </c>
      <c r="N109" s="33" t="str">
        <f ca="1">IF(C109="","", VLOOKUP(A109,INDIRECT("'[" &amp;Info!$B$4&amp;"]"&amp;Info!$B$5&amp;"'!$A$6:$Au$1000"),47,0))</f>
        <v/>
      </c>
      <c r="O109" s="28" t="str">
        <f ca="1">IF(N109="","",IF(N109=0,0,VLOOKUP(A109,INDIRECT("'[" &amp;Info!$B$4&amp;"]"&amp;Info!$B$5&amp;"'!$A$6:$AH$1000"),34,0)))</f>
        <v/>
      </c>
      <c r="P109" s="9" t="str">
        <f ca="1">IF(N109="","",IF(N109=0,0,VLOOKUP(A109,INDIRECT("'[" &amp;Info!$B$4&amp;"]"&amp;Info!$B$5&amp;"'!$A$6:$AW$1000"),49,0)))</f>
        <v/>
      </c>
      <c r="Q109" s="9" t="str">
        <f ca="1">IF(N109="","",IF(N109=0,0, VLOOKUP(A109,INDIRECT("'[" &amp;Info!$B$4&amp;"]"&amp;Info!$B$5&amp;"'!$A$6:$AX$1000"),50,0)))</f>
        <v/>
      </c>
      <c r="R109" s="29" t="str">
        <f ca="1">IF(N109="","",IF(N109=0,0, VLOOKUP(A109,INDIRECT("'[" &amp;Info!$B$4&amp;"]"&amp;Info!$B$5&amp;"'!$A$6:$AY$1000"),51,0)))</f>
        <v/>
      </c>
      <c r="S109" s="15" t="str">
        <f ca="1">IF(N109="","",IF(N109=0,0,VLOOKUP(A109,INDIRECT("'[" &amp;Info!$B$4&amp;"]"&amp;Info!$B$5&amp;"'!$A$6:$Ai$1000"),35,0)))</f>
        <v/>
      </c>
      <c r="T109" s="7" t="str">
        <f ca="1">IF(N109="","",IF(N109=0,0, VLOOKUP(A109,INDIRECT("'[" &amp;Info!$B$4&amp;"]"&amp;Info!$B$5&amp;"'!$A$6:$Az$1000"),52,0)))</f>
        <v/>
      </c>
      <c r="U109" s="7" t="str">
        <f ca="1">IF(N109="","",IF(N109=0,0, VLOOKUP(A109,INDIRECT("'[" &amp;Info!$B$4&amp;"]"&amp;Info!$B$5&amp;"'!$A$6:$BA$1000"),53,0)))</f>
        <v/>
      </c>
      <c r="V109" s="16" t="str">
        <f ca="1">IF(N109="","",IF(N109=0,0, VLOOKUP(A109,INDIRECT("'[" &amp;Info!$B$4&amp;"]"&amp;Info!$B$5&amp;"'!$A$6:$BB$1000"),54,0)))</f>
        <v/>
      </c>
      <c r="W109" s="17" t="str">
        <f t="shared" ca="1" si="5"/>
        <v/>
      </c>
      <c r="X109" s="18" t="str">
        <f t="shared" ca="1" si="6"/>
        <v/>
      </c>
      <c r="Y109" s="19" t="str">
        <f t="shared" ca="1" si="7"/>
        <v/>
      </c>
      <c r="Z109" s="18" t="str">
        <f t="shared" ca="1" si="8"/>
        <v/>
      </c>
    </row>
    <row r="110" spans="1:26" x14ac:dyDescent="0.25">
      <c r="A110" s="8" t="str">
        <f ca="1">IFERROR( VLOOKUP(A109+1,INDIRECT("'[" &amp;Info!$B$4&amp;"]"&amp;Info!$B$5&amp;"'!$A$6:$A$1000"),1,0),"")</f>
        <v/>
      </c>
      <c r="B110" s="5" t="str">
        <f ca="1">IFERROR( IF(A110="","", VLOOKUP(A110,INDIRECT("'[" &amp;Info!$B$4&amp;"]"&amp;Info!$B$5&amp;"'!$A$6:$B$1000"),2,0)),"")</f>
        <v/>
      </c>
      <c r="C110" s="14" t="str">
        <f ca="1">IFERROR( IF(A110="","", VLOOKUP(A110,INDIRECT("'[" &amp;Info!$B$4&amp;"]"&amp;Info!$B$5&amp;"'!$A$6:$D$1000"),3,0)),"")</f>
        <v/>
      </c>
      <c r="D110" s="31" t="str">
        <f ca="1">IF(C110="","", VLOOKUP(A110,INDIRECT("'[" &amp;Info!$B$4&amp;"]"&amp;Info!$B$5&amp;"'!$A$6:$T$1000"),20,0))</f>
        <v/>
      </c>
      <c r="E110" s="6" t="str">
        <f ca="1">IF(D110="","", VLOOKUP(A110,INDIRECT("'[" &amp;Info!$B$4&amp;"]"&amp;Info!$B$5&amp;"'!$A$6:$U$1000"),21,0))</f>
        <v/>
      </c>
      <c r="F110" s="6" t="str">
        <f ca="1">IF(D110="","", VLOOKUP(A110,INDIRECT("'[" &amp;Info!$B$4&amp;"]"&amp;Info!$B$5&amp;"'!$A$6:$U$1000"),21,0))</f>
        <v/>
      </c>
      <c r="G110" s="6" t="str">
        <f ca="1">IF(D110="","", VLOOKUP(A110,INDIRECT("'[" &amp;Info!$B$4&amp;"]"&amp;Info!$B$5&amp;"'!$A$6:$V$1000"),22,0))</f>
        <v/>
      </c>
      <c r="H110" s="6" t="str">
        <f ca="1">IF(D110="","", VLOOKUP(A110,INDIRECT("'[" &amp;Info!$B$4&amp;"]"&amp;Info!$B$5&amp;"'!$A$6:$W$1000"),23,0))</f>
        <v/>
      </c>
      <c r="I110" s="6" t="str">
        <f ca="1">LOWER( IF(D110="","", VLOOKUP(A110,INDIRECT("'[" &amp;Info!$B$4&amp;"]"&amp;Info!$B$5&amp;"'!$A$6:$y$1000"),25,0)))</f>
        <v/>
      </c>
      <c r="J110" s="6" t="str">
        <f ca="1">IF(D110="","", VLOOKUP(A110,INDIRECT("'[" &amp;Info!$B$4&amp;"]"&amp;Info!$B$5&amp;"'!$A$6:$Z$1000"),26,0))</f>
        <v/>
      </c>
      <c r="K110" s="35" t="str">
        <f ca="1">IF(D110="","", VLOOKUP(A110,INDIRECT("'[" &amp;Info!$B$4&amp;"]"&amp;Info!$B$5&amp;"'!$A$6:$AA$1000"),27,0))</f>
        <v/>
      </c>
      <c r="L110" s="35" t="str">
        <f ca="1">IF(D110="","", VLOOKUP(A110,INDIRECT("'[" &amp;Info!$B$4&amp;"]"&amp;Info!$B$5&amp;"'!$A$6:$H$1000"),8,0))</f>
        <v/>
      </c>
      <c r="M110" s="35" t="str">
        <f ca="1">IF(D110="","", VLOOKUP(A110,INDIRECT("'[" &amp;Info!$B$4&amp;"]"&amp;Info!$B$5&amp;"'!$A$6:$F$1000"),6,0))</f>
        <v/>
      </c>
      <c r="N110" s="33" t="str">
        <f ca="1">IF(C110="","", VLOOKUP(A110,INDIRECT("'[" &amp;Info!$B$4&amp;"]"&amp;Info!$B$5&amp;"'!$A$6:$Au$1000"),47,0))</f>
        <v/>
      </c>
      <c r="O110" s="28" t="str">
        <f ca="1">IF(N110="","",IF(N110=0,0,VLOOKUP(A110,INDIRECT("'[" &amp;Info!$B$4&amp;"]"&amp;Info!$B$5&amp;"'!$A$6:$AH$1000"),34,0)))</f>
        <v/>
      </c>
      <c r="P110" s="9" t="str">
        <f ca="1">IF(N110="","",IF(N110=0,0,VLOOKUP(A110,INDIRECT("'[" &amp;Info!$B$4&amp;"]"&amp;Info!$B$5&amp;"'!$A$6:$AW$1000"),49,0)))</f>
        <v/>
      </c>
      <c r="Q110" s="9" t="str">
        <f ca="1">IF(N110="","",IF(N110=0,0, VLOOKUP(A110,INDIRECT("'[" &amp;Info!$B$4&amp;"]"&amp;Info!$B$5&amp;"'!$A$6:$AX$1000"),50,0)))</f>
        <v/>
      </c>
      <c r="R110" s="29" t="str">
        <f ca="1">IF(N110="","",IF(N110=0,0, VLOOKUP(A110,INDIRECT("'[" &amp;Info!$B$4&amp;"]"&amp;Info!$B$5&amp;"'!$A$6:$AY$1000"),51,0)))</f>
        <v/>
      </c>
      <c r="S110" s="15" t="str">
        <f ca="1">IF(N110="","",IF(N110=0,0,VLOOKUP(A110,INDIRECT("'[" &amp;Info!$B$4&amp;"]"&amp;Info!$B$5&amp;"'!$A$6:$Ai$1000"),35,0)))</f>
        <v/>
      </c>
      <c r="T110" s="7" t="str">
        <f ca="1">IF(N110="","",IF(N110=0,0, VLOOKUP(A110,INDIRECT("'[" &amp;Info!$B$4&amp;"]"&amp;Info!$B$5&amp;"'!$A$6:$Az$1000"),52,0)))</f>
        <v/>
      </c>
      <c r="U110" s="7" t="str">
        <f ca="1">IF(N110="","",IF(N110=0,0, VLOOKUP(A110,INDIRECT("'[" &amp;Info!$B$4&amp;"]"&amp;Info!$B$5&amp;"'!$A$6:$BA$1000"),53,0)))</f>
        <v/>
      </c>
      <c r="V110" s="16" t="str">
        <f ca="1">IF(N110="","",IF(N110=0,0, VLOOKUP(A110,INDIRECT("'[" &amp;Info!$B$4&amp;"]"&amp;Info!$B$5&amp;"'!$A$6:$BB$1000"),54,0)))</f>
        <v/>
      </c>
      <c r="W110" s="17" t="str">
        <f t="shared" ca="1" si="5"/>
        <v/>
      </c>
      <c r="X110" s="18" t="str">
        <f t="shared" ca="1" si="6"/>
        <v/>
      </c>
      <c r="Y110" s="19" t="str">
        <f t="shared" ca="1" si="7"/>
        <v/>
      </c>
      <c r="Z110" s="18" t="str">
        <f t="shared" ca="1" si="8"/>
        <v/>
      </c>
    </row>
    <row r="111" spans="1:26" x14ac:dyDescent="0.25">
      <c r="A111" s="8" t="str">
        <f ca="1">IFERROR( VLOOKUP(A110+1,INDIRECT("'[" &amp;Info!$B$4&amp;"]"&amp;Info!$B$5&amp;"'!$A$6:$A$1000"),1,0),"")</f>
        <v/>
      </c>
      <c r="B111" s="5" t="str">
        <f ca="1">IFERROR( IF(A111="","", VLOOKUP(A111,INDIRECT("'[" &amp;Info!$B$4&amp;"]"&amp;Info!$B$5&amp;"'!$A$6:$B$1000"),2,0)),"")</f>
        <v/>
      </c>
      <c r="C111" s="14" t="str">
        <f ca="1">IFERROR( IF(A111="","", VLOOKUP(A111,INDIRECT("'[" &amp;Info!$B$4&amp;"]"&amp;Info!$B$5&amp;"'!$A$6:$D$1000"),3,0)),"")</f>
        <v/>
      </c>
      <c r="D111" s="31" t="str">
        <f ca="1">IF(C111="","", VLOOKUP(A111,INDIRECT("'[" &amp;Info!$B$4&amp;"]"&amp;Info!$B$5&amp;"'!$A$6:$T$1000"),20,0))</f>
        <v/>
      </c>
      <c r="E111" s="6" t="str">
        <f ca="1">IF(D111="","", VLOOKUP(A111,INDIRECT("'[" &amp;Info!$B$4&amp;"]"&amp;Info!$B$5&amp;"'!$A$6:$U$1000"),21,0))</f>
        <v/>
      </c>
      <c r="F111" s="6" t="str">
        <f ca="1">IF(D111="","", VLOOKUP(A111,INDIRECT("'[" &amp;Info!$B$4&amp;"]"&amp;Info!$B$5&amp;"'!$A$6:$U$1000"),21,0))</f>
        <v/>
      </c>
      <c r="G111" s="6" t="str">
        <f ca="1">IF(D111="","", VLOOKUP(A111,INDIRECT("'[" &amp;Info!$B$4&amp;"]"&amp;Info!$B$5&amp;"'!$A$6:$V$1000"),22,0))</f>
        <v/>
      </c>
      <c r="H111" s="6" t="str">
        <f ca="1">IF(D111="","", VLOOKUP(A111,INDIRECT("'[" &amp;Info!$B$4&amp;"]"&amp;Info!$B$5&amp;"'!$A$6:$W$1000"),23,0))</f>
        <v/>
      </c>
      <c r="I111" s="6" t="str">
        <f ca="1">LOWER( IF(D111="","", VLOOKUP(A111,INDIRECT("'[" &amp;Info!$B$4&amp;"]"&amp;Info!$B$5&amp;"'!$A$6:$y$1000"),25,0)))</f>
        <v/>
      </c>
      <c r="J111" s="6" t="str">
        <f ca="1">IF(D111="","", VLOOKUP(A111,INDIRECT("'[" &amp;Info!$B$4&amp;"]"&amp;Info!$B$5&amp;"'!$A$6:$Z$1000"),26,0))</f>
        <v/>
      </c>
      <c r="K111" s="35" t="str">
        <f ca="1">IF(D111="","", VLOOKUP(A111,INDIRECT("'[" &amp;Info!$B$4&amp;"]"&amp;Info!$B$5&amp;"'!$A$6:$AA$1000"),27,0))</f>
        <v/>
      </c>
      <c r="L111" s="35" t="str">
        <f ca="1">IF(D111="","", VLOOKUP(A111,INDIRECT("'[" &amp;Info!$B$4&amp;"]"&amp;Info!$B$5&amp;"'!$A$6:$H$1000"),8,0))</f>
        <v/>
      </c>
      <c r="M111" s="35" t="str">
        <f ca="1">IF(D111="","", VLOOKUP(A111,INDIRECT("'[" &amp;Info!$B$4&amp;"]"&amp;Info!$B$5&amp;"'!$A$6:$F$1000"),6,0))</f>
        <v/>
      </c>
      <c r="N111" s="33" t="str">
        <f ca="1">IF(C111="","", VLOOKUP(A111,INDIRECT("'[" &amp;Info!$B$4&amp;"]"&amp;Info!$B$5&amp;"'!$A$6:$Au$1000"),47,0))</f>
        <v/>
      </c>
      <c r="O111" s="28" t="str">
        <f ca="1">IF(N111="","",IF(N111=0,0,VLOOKUP(A111,INDIRECT("'[" &amp;Info!$B$4&amp;"]"&amp;Info!$B$5&amp;"'!$A$6:$AH$1000"),34,0)))</f>
        <v/>
      </c>
      <c r="P111" s="9" t="str">
        <f ca="1">IF(N111="","",IF(N111=0,0,VLOOKUP(A111,INDIRECT("'[" &amp;Info!$B$4&amp;"]"&amp;Info!$B$5&amp;"'!$A$6:$AW$1000"),49,0)))</f>
        <v/>
      </c>
      <c r="Q111" s="9" t="str">
        <f ca="1">IF(N111="","",IF(N111=0,0, VLOOKUP(A111,INDIRECT("'[" &amp;Info!$B$4&amp;"]"&amp;Info!$B$5&amp;"'!$A$6:$AX$1000"),50,0)))</f>
        <v/>
      </c>
      <c r="R111" s="29" t="str">
        <f ca="1">IF(N111="","",IF(N111=0,0, VLOOKUP(A111,INDIRECT("'[" &amp;Info!$B$4&amp;"]"&amp;Info!$B$5&amp;"'!$A$6:$AY$1000"),51,0)))</f>
        <v/>
      </c>
      <c r="S111" s="15" t="str">
        <f ca="1">IF(N111="","",IF(N111=0,0,VLOOKUP(A111,INDIRECT("'[" &amp;Info!$B$4&amp;"]"&amp;Info!$B$5&amp;"'!$A$6:$Ai$1000"),35,0)))</f>
        <v/>
      </c>
      <c r="T111" s="7" t="str">
        <f ca="1">IF(N111="","",IF(N111=0,0, VLOOKUP(A111,INDIRECT("'[" &amp;Info!$B$4&amp;"]"&amp;Info!$B$5&amp;"'!$A$6:$Az$1000"),52,0)))</f>
        <v/>
      </c>
      <c r="U111" s="7" t="str">
        <f ca="1">IF(N111="","",IF(N111=0,0, VLOOKUP(A111,INDIRECT("'[" &amp;Info!$B$4&amp;"]"&amp;Info!$B$5&amp;"'!$A$6:$BA$1000"),53,0)))</f>
        <v/>
      </c>
      <c r="V111" s="16" t="str">
        <f ca="1">IF(N111="","",IF(N111=0,0, VLOOKUP(A111,INDIRECT("'[" &amp;Info!$B$4&amp;"]"&amp;Info!$B$5&amp;"'!$A$6:$BB$1000"),54,0)))</f>
        <v/>
      </c>
      <c r="W111" s="17" t="str">
        <f t="shared" ca="1" si="5"/>
        <v/>
      </c>
      <c r="X111" s="18" t="str">
        <f t="shared" ca="1" si="6"/>
        <v/>
      </c>
      <c r="Y111" s="19" t="str">
        <f t="shared" ca="1" si="7"/>
        <v/>
      </c>
      <c r="Z111" s="18" t="str">
        <f t="shared" ca="1" si="8"/>
        <v/>
      </c>
    </row>
    <row r="112" spans="1:26" x14ac:dyDescent="0.25">
      <c r="A112" s="8" t="str">
        <f ca="1">IFERROR( VLOOKUP(A111+1,INDIRECT("'[" &amp;Info!$B$4&amp;"]"&amp;Info!$B$5&amp;"'!$A$6:$A$1000"),1,0),"")</f>
        <v/>
      </c>
      <c r="B112" s="5" t="str">
        <f ca="1">IFERROR( IF(A112="","", VLOOKUP(A112,INDIRECT("'[" &amp;Info!$B$4&amp;"]"&amp;Info!$B$5&amp;"'!$A$6:$B$1000"),2,0)),"")</f>
        <v/>
      </c>
      <c r="C112" s="14" t="str">
        <f ca="1">IFERROR( IF(A112="","", VLOOKUP(A112,INDIRECT("'[" &amp;Info!$B$4&amp;"]"&amp;Info!$B$5&amp;"'!$A$6:$D$1000"),3,0)),"")</f>
        <v/>
      </c>
      <c r="D112" s="31" t="str">
        <f ca="1">IF(C112="","", VLOOKUP(A112,INDIRECT("'[" &amp;Info!$B$4&amp;"]"&amp;Info!$B$5&amp;"'!$A$6:$T$1000"),20,0))</f>
        <v/>
      </c>
      <c r="E112" s="6" t="str">
        <f ca="1">IF(D112="","", VLOOKUP(A112,INDIRECT("'[" &amp;Info!$B$4&amp;"]"&amp;Info!$B$5&amp;"'!$A$6:$U$1000"),21,0))</f>
        <v/>
      </c>
      <c r="F112" s="6" t="str">
        <f ca="1">IF(D112="","", VLOOKUP(A112,INDIRECT("'[" &amp;Info!$B$4&amp;"]"&amp;Info!$B$5&amp;"'!$A$6:$U$1000"),21,0))</f>
        <v/>
      </c>
      <c r="G112" s="6" t="str">
        <f ca="1">IF(D112="","", VLOOKUP(A112,INDIRECT("'[" &amp;Info!$B$4&amp;"]"&amp;Info!$B$5&amp;"'!$A$6:$V$1000"),22,0))</f>
        <v/>
      </c>
      <c r="H112" s="6" t="str">
        <f ca="1">IF(D112="","", VLOOKUP(A112,INDIRECT("'[" &amp;Info!$B$4&amp;"]"&amp;Info!$B$5&amp;"'!$A$6:$W$1000"),23,0))</f>
        <v/>
      </c>
      <c r="I112" s="6" t="str">
        <f ca="1">LOWER( IF(D112="","", VLOOKUP(A112,INDIRECT("'[" &amp;Info!$B$4&amp;"]"&amp;Info!$B$5&amp;"'!$A$6:$y$1000"),25,0)))</f>
        <v/>
      </c>
      <c r="J112" s="6" t="str">
        <f ca="1">IF(D112="","", VLOOKUP(A112,INDIRECT("'[" &amp;Info!$B$4&amp;"]"&amp;Info!$B$5&amp;"'!$A$6:$Z$1000"),26,0))</f>
        <v/>
      </c>
      <c r="K112" s="35" t="str">
        <f ca="1">IF(D112="","", VLOOKUP(A112,INDIRECT("'[" &amp;Info!$B$4&amp;"]"&amp;Info!$B$5&amp;"'!$A$6:$AA$1000"),27,0))</f>
        <v/>
      </c>
      <c r="L112" s="35" t="str">
        <f ca="1">IF(D112="","", VLOOKUP(A112,INDIRECT("'[" &amp;Info!$B$4&amp;"]"&amp;Info!$B$5&amp;"'!$A$6:$H$1000"),8,0))</f>
        <v/>
      </c>
      <c r="M112" s="35" t="str">
        <f ca="1">IF(D112="","", VLOOKUP(A112,INDIRECT("'[" &amp;Info!$B$4&amp;"]"&amp;Info!$B$5&amp;"'!$A$6:$F$1000"),6,0))</f>
        <v/>
      </c>
      <c r="N112" s="33" t="str">
        <f ca="1">IF(C112="","", VLOOKUP(A112,INDIRECT("'[" &amp;Info!$B$4&amp;"]"&amp;Info!$B$5&amp;"'!$A$6:$Au$1000"),47,0))</f>
        <v/>
      </c>
      <c r="O112" s="28" t="str">
        <f ca="1">IF(N112="","",IF(N112=0,0,VLOOKUP(A112,INDIRECT("'[" &amp;Info!$B$4&amp;"]"&amp;Info!$B$5&amp;"'!$A$6:$AH$1000"),34,0)))</f>
        <v/>
      </c>
      <c r="P112" s="9" t="str">
        <f ca="1">IF(N112="","",IF(N112=0,0,VLOOKUP(A112,INDIRECT("'[" &amp;Info!$B$4&amp;"]"&amp;Info!$B$5&amp;"'!$A$6:$AW$1000"),49,0)))</f>
        <v/>
      </c>
      <c r="Q112" s="9" t="str">
        <f ca="1">IF(N112="","",IF(N112=0,0, VLOOKUP(A112,INDIRECT("'[" &amp;Info!$B$4&amp;"]"&amp;Info!$B$5&amp;"'!$A$6:$AX$1000"),50,0)))</f>
        <v/>
      </c>
      <c r="R112" s="29" t="str">
        <f ca="1">IF(N112="","",IF(N112=0,0, VLOOKUP(A112,INDIRECT("'[" &amp;Info!$B$4&amp;"]"&amp;Info!$B$5&amp;"'!$A$6:$AY$1000"),51,0)))</f>
        <v/>
      </c>
      <c r="S112" s="15" t="str">
        <f ca="1">IF(N112="","",IF(N112=0,0,VLOOKUP(A112,INDIRECT("'[" &amp;Info!$B$4&amp;"]"&amp;Info!$B$5&amp;"'!$A$6:$Ai$1000"),35,0)))</f>
        <v/>
      </c>
      <c r="T112" s="7" t="str">
        <f ca="1">IF(N112="","",IF(N112=0,0, VLOOKUP(A112,INDIRECT("'[" &amp;Info!$B$4&amp;"]"&amp;Info!$B$5&amp;"'!$A$6:$Az$1000"),52,0)))</f>
        <v/>
      </c>
      <c r="U112" s="7" t="str">
        <f ca="1">IF(N112="","",IF(N112=0,0, VLOOKUP(A112,INDIRECT("'[" &amp;Info!$B$4&amp;"]"&amp;Info!$B$5&amp;"'!$A$6:$BA$1000"),53,0)))</f>
        <v/>
      </c>
      <c r="V112" s="16" t="str">
        <f ca="1">IF(N112="","",IF(N112=0,0, VLOOKUP(A112,INDIRECT("'[" &amp;Info!$B$4&amp;"]"&amp;Info!$B$5&amp;"'!$A$6:$BB$1000"),54,0)))</f>
        <v/>
      </c>
      <c r="W112" s="17" t="str">
        <f t="shared" ca="1" si="5"/>
        <v/>
      </c>
      <c r="X112" s="18" t="str">
        <f t="shared" ca="1" si="6"/>
        <v/>
      </c>
      <c r="Y112" s="19" t="str">
        <f t="shared" ca="1" si="7"/>
        <v/>
      </c>
      <c r="Z112" s="18" t="str">
        <f t="shared" ca="1" si="8"/>
        <v/>
      </c>
    </row>
    <row r="113" spans="1:26" x14ac:dyDescent="0.25">
      <c r="A113" s="8" t="str">
        <f ca="1">IFERROR( VLOOKUP(A112+1,INDIRECT("'[" &amp;Info!$B$4&amp;"]"&amp;Info!$B$5&amp;"'!$A$6:$A$1000"),1,0),"")</f>
        <v/>
      </c>
      <c r="B113" s="5" t="str">
        <f ca="1">IFERROR( IF(A113="","", VLOOKUP(A113,INDIRECT("'[" &amp;Info!$B$4&amp;"]"&amp;Info!$B$5&amp;"'!$A$6:$B$1000"),2,0)),"")</f>
        <v/>
      </c>
      <c r="C113" s="14" t="str">
        <f ca="1">IFERROR( IF(A113="","", VLOOKUP(A113,INDIRECT("'[" &amp;Info!$B$4&amp;"]"&amp;Info!$B$5&amp;"'!$A$6:$D$1000"),3,0)),"")</f>
        <v/>
      </c>
      <c r="D113" s="31" t="str">
        <f ca="1">IF(C113="","", VLOOKUP(A113,INDIRECT("'[" &amp;Info!$B$4&amp;"]"&amp;Info!$B$5&amp;"'!$A$6:$T$1000"),20,0))</f>
        <v/>
      </c>
      <c r="E113" s="6" t="str">
        <f ca="1">IF(D113="","", VLOOKUP(A113,INDIRECT("'[" &amp;Info!$B$4&amp;"]"&amp;Info!$B$5&amp;"'!$A$6:$U$1000"),21,0))</f>
        <v/>
      </c>
      <c r="F113" s="6" t="str">
        <f ca="1">IF(D113="","", VLOOKUP(A113,INDIRECT("'[" &amp;Info!$B$4&amp;"]"&amp;Info!$B$5&amp;"'!$A$6:$U$1000"),21,0))</f>
        <v/>
      </c>
      <c r="G113" s="6" t="str">
        <f ca="1">IF(D113="","", VLOOKUP(A113,INDIRECT("'[" &amp;Info!$B$4&amp;"]"&amp;Info!$B$5&amp;"'!$A$6:$V$1000"),22,0))</f>
        <v/>
      </c>
      <c r="H113" s="6" t="str">
        <f ca="1">IF(D113="","", VLOOKUP(A113,INDIRECT("'[" &amp;Info!$B$4&amp;"]"&amp;Info!$B$5&amp;"'!$A$6:$W$1000"),23,0))</f>
        <v/>
      </c>
      <c r="I113" s="6" t="str">
        <f ca="1">LOWER( IF(D113="","", VLOOKUP(A113,INDIRECT("'[" &amp;Info!$B$4&amp;"]"&amp;Info!$B$5&amp;"'!$A$6:$y$1000"),25,0)))</f>
        <v/>
      </c>
      <c r="J113" s="6" t="str">
        <f ca="1">IF(D113="","", VLOOKUP(A113,INDIRECT("'[" &amp;Info!$B$4&amp;"]"&amp;Info!$B$5&amp;"'!$A$6:$Z$1000"),26,0))</f>
        <v/>
      </c>
      <c r="K113" s="35" t="str">
        <f ca="1">IF(D113="","", VLOOKUP(A113,INDIRECT("'[" &amp;Info!$B$4&amp;"]"&amp;Info!$B$5&amp;"'!$A$6:$AA$1000"),27,0))</f>
        <v/>
      </c>
      <c r="L113" s="35" t="str">
        <f ca="1">IF(D113="","", VLOOKUP(A113,INDIRECT("'[" &amp;Info!$B$4&amp;"]"&amp;Info!$B$5&amp;"'!$A$6:$H$1000"),8,0))</f>
        <v/>
      </c>
      <c r="M113" s="35" t="str">
        <f ca="1">IF(D113="","", VLOOKUP(A113,INDIRECT("'[" &amp;Info!$B$4&amp;"]"&amp;Info!$B$5&amp;"'!$A$6:$F$1000"),6,0))</f>
        <v/>
      </c>
      <c r="N113" s="33" t="str">
        <f ca="1">IF(C113="","", VLOOKUP(A113,INDIRECT("'[" &amp;Info!$B$4&amp;"]"&amp;Info!$B$5&amp;"'!$A$6:$Au$1000"),47,0))</f>
        <v/>
      </c>
      <c r="O113" s="28" t="str">
        <f ca="1">IF(N113="","",IF(N113=0,0,VLOOKUP(A113,INDIRECT("'[" &amp;Info!$B$4&amp;"]"&amp;Info!$B$5&amp;"'!$A$6:$AH$1000"),34,0)))</f>
        <v/>
      </c>
      <c r="P113" s="9" t="str">
        <f ca="1">IF(N113="","",IF(N113=0,0,VLOOKUP(A113,INDIRECT("'[" &amp;Info!$B$4&amp;"]"&amp;Info!$B$5&amp;"'!$A$6:$AW$1000"),49,0)))</f>
        <v/>
      </c>
      <c r="Q113" s="9" t="str">
        <f ca="1">IF(N113="","",IF(N113=0,0, VLOOKUP(A113,INDIRECT("'[" &amp;Info!$B$4&amp;"]"&amp;Info!$B$5&amp;"'!$A$6:$AX$1000"),50,0)))</f>
        <v/>
      </c>
      <c r="R113" s="29" t="str">
        <f ca="1">IF(N113="","",IF(N113=0,0, VLOOKUP(A113,INDIRECT("'[" &amp;Info!$B$4&amp;"]"&amp;Info!$B$5&amp;"'!$A$6:$AY$1000"),51,0)))</f>
        <v/>
      </c>
      <c r="S113" s="15" t="str">
        <f ca="1">IF(N113="","",IF(N113=0,0,VLOOKUP(A113,INDIRECT("'[" &amp;Info!$B$4&amp;"]"&amp;Info!$B$5&amp;"'!$A$6:$Ai$1000"),35,0)))</f>
        <v/>
      </c>
      <c r="T113" s="7" t="str">
        <f ca="1">IF(N113="","",IF(N113=0,0, VLOOKUP(A113,INDIRECT("'[" &amp;Info!$B$4&amp;"]"&amp;Info!$B$5&amp;"'!$A$6:$Az$1000"),52,0)))</f>
        <v/>
      </c>
      <c r="U113" s="7" t="str">
        <f ca="1">IF(N113="","",IF(N113=0,0, VLOOKUP(A113,INDIRECT("'[" &amp;Info!$B$4&amp;"]"&amp;Info!$B$5&amp;"'!$A$6:$BA$1000"),53,0)))</f>
        <v/>
      </c>
      <c r="V113" s="16" t="str">
        <f ca="1">IF(N113="","",IF(N113=0,0, VLOOKUP(A113,INDIRECT("'[" &amp;Info!$B$4&amp;"]"&amp;Info!$B$5&amp;"'!$A$6:$BB$1000"),54,0)))</f>
        <v/>
      </c>
      <c r="W113" s="17" t="str">
        <f t="shared" ca="1" si="5"/>
        <v/>
      </c>
      <c r="X113" s="18" t="str">
        <f t="shared" ca="1" si="6"/>
        <v/>
      </c>
      <c r="Y113" s="19" t="str">
        <f t="shared" ca="1" si="7"/>
        <v/>
      </c>
      <c r="Z113" s="18" t="str">
        <f t="shared" ca="1" si="8"/>
        <v/>
      </c>
    </row>
    <row r="114" spans="1:26" x14ac:dyDescent="0.25">
      <c r="A114" s="8" t="str">
        <f ca="1">IFERROR( VLOOKUP(A113+1,INDIRECT("'[" &amp;Info!$B$4&amp;"]"&amp;Info!$B$5&amp;"'!$A$6:$A$1000"),1,0),"")</f>
        <v/>
      </c>
      <c r="B114" s="5" t="str">
        <f ca="1">IFERROR( IF(A114="","", VLOOKUP(A114,INDIRECT("'[" &amp;Info!$B$4&amp;"]"&amp;Info!$B$5&amp;"'!$A$6:$B$1000"),2,0)),"")</f>
        <v/>
      </c>
      <c r="C114" s="14" t="str">
        <f ca="1">IFERROR( IF(A114="","", VLOOKUP(A114,INDIRECT("'[" &amp;Info!$B$4&amp;"]"&amp;Info!$B$5&amp;"'!$A$6:$D$1000"),3,0)),"")</f>
        <v/>
      </c>
      <c r="D114" s="31" t="str">
        <f ca="1">IF(C114="","", VLOOKUP(A114,INDIRECT("'[" &amp;Info!$B$4&amp;"]"&amp;Info!$B$5&amp;"'!$A$6:$T$1000"),20,0))</f>
        <v/>
      </c>
      <c r="E114" s="6" t="str">
        <f ca="1">IF(D114="","", VLOOKUP(A114,INDIRECT("'[" &amp;Info!$B$4&amp;"]"&amp;Info!$B$5&amp;"'!$A$6:$U$1000"),21,0))</f>
        <v/>
      </c>
      <c r="F114" s="6" t="str">
        <f ca="1">IF(D114="","", VLOOKUP(A114,INDIRECT("'[" &amp;Info!$B$4&amp;"]"&amp;Info!$B$5&amp;"'!$A$6:$U$1000"),21,0))</f>
        <v/>
      </c>
      <c r="G114" s="6" t="str">
        <f ca="1">IF(D114="","", VLOOKUP(A114,INDIRECT("'[" &amp;Info!$B$4&amp;"]"&amp;Info!$B$5&amp;"'!$A$6:$V$1000"),22,0))</f>
        <v/>
      </c>
      <c r="H114" s="6" t="str">
        <f ca="1">IF(D114="","", VLOOKUP(A114,INDIRECT("'[" &amp;Info!$B$4&amp;"]"&amp;Info!$B$5&amp;"'!$A$6:$W$1000"),23,0))</f>
        <v/>
      </c>
      <c r="I114" s="6" t="str">
        <f ca="1">LOWER( IF(D114="","", VLOOKUP(A114,INDIRECT("'[" &amp;Info!$B$4&amp;"]"&amp;Info!$B$5&amp;"'!$A$6:$y$1000"),25,0)))</f>
        <v/>
      </c>
      <c r="J114" s="6" t="str">
        <f ca="1">IF(D114="","", VLOOKUP(A114,INDIRECT("'[" &amp;Info!$B$4&amp;"]"&amp;Info!$B$5&amp;"'!$A$6:$Z$1000"),26,0))</f>
        <v/>
      </c>
      <c r="K114" s="35" t="str">
        <f ca="1">IF(D114="","", VLOOKUP(A114,INDIRECT("'[" &amp;Info!$B$4&amp;"]"&amp;Info!$B$5&amp;"'!$A$6:$AA$1000"),27,0))</f>
        <v/>
      </c>
      <c r="L114" s="35" t="str">
        <f ca="1">IF(D114="","", VLOOKUP(A114,INDIRECT("'[" &amp;Info!$B$4&amp;"]"&amp;Info!$B$5&amp;"'!$A$6:$H$1000"),8,0))</f>
        <v/>
      </c>
      <c r="M114" s="35" t="str">
        <f ca="1">IF(D114="","", VLOOKUP(A114,INDIRECT("'[" &amp;Info!$B$4&amp;"]"&amp;Info!$B$5&amp;"'!$A$6:$F$1000"),6,0))</f>
        <v/>
      </c>
      <c r="N114" s="33" t="str">
        <f ca="1">IF(C114="","", VLOOKUP(A114,INDIRECT("'[" &amp;Info!$B$4&amp;"]"&amp;Info!$B$5&amp;"'!$A$6:$Au$1000"),47,0))</f>
        <v/>
      </c>
      <c r="O114" s="28" t="str">
        <f ca="1">IF(N114="","",IF(N114=0,0,VLOOKUP(A114,INDIRECT("'[" &amp;Info!$B$4&amp;"]"&amp;Info!$B$5&amp;"'!$A$6:$AH$1000"),34,0)))</f>
        <v/>
      </c>
      <c r="P114" s="9" t="str">
        <f ca="1">IF(N114="","",IF(N114=0,0,VLOOKUP(A114,INDIRECT("'[" &amp;Info!$B$4&amp;"]"&amp;Info!$B$5&amp;"'!$A$6:$AW$1000"),49,0)))</f>
        <v/>
      </c>
      <c r="Q114" s="9" t="str">
        <f ca="1">IF(N114="","",IF(N114=0,0, VLOOKUP(A114,INDIRECT("'[" &amp;Info!$B$4&amp;"]"&amp;Info!$B$5&amp;"'!$A$6:$AX$1000"),50,0)))</f>
        <v/>
      </c>
      <c r="R114" s="29" t="str">
        <f ca="1">IF(N114="","",IF(N114=0,0, VLOOKUP(A114,INDIRECT("'[" &amp;Info!$B$4&amp;"]"&amp;Info!$B$5&amp;"'!$A$6:$AY$1000"),51,0)))</f>
        <v/>
      </c>
      <c r="S114" s="15" t="str">
        <f ca="1">IF(N114="","",IF(N114=0,0,VLOOKUP(A114,INDIRECT("'[" &amp;Info!$B$4&amp;"]"&amp;Info!$B$5&amp;"'!$A$6:$Ai$1000"),35,0)))</f>
        <v/>
      </c>
      <c r="T114" s="7" t="str">
        <f ca="1">IF(N114="","",IF(N114=0,0, VLOOKUP(A114,INDIRECT("'[" &amp;Info!$B$4&amp;"]"&amp;Info!$B$5&amp;"'!$A$6:$Az$1000"),52,0)))</f>
        <v/>
      </c>
      <c r="U114" s="7" t="str">
        <f ca="1">IF(N114="","",IF(N114=0,0, VLOOKUP(A114,INDIRECT("'[" &amp;Info!$B$4&amp;"]"&amp;Info!$B$5&amp;"'!$A$6:$BA$1000"),53,0)))</f>
        <v/>
      </c>
      <c r="V114" s="16" t="str">
        <f ca="1">IF(N114="","",IF(N114=0,0, VLOOKUP(A114,INDIRECT("'[" &amp;Info!$B$4&amp;"]"&amp;Info!$B$5&amp;"'!$A$6:$BB$1000"),54,0)))</f>
        <v/>
      </c>
      <c r="W114" s="17" t="str">
        <f t="shared" ca="1" si="5"/>
        <v/>
      </c>
      <c r="X114" s="18" t="str">
        <f t="shared" ca="1" si="6"/>
        <v/>
      </c>
      <c r="Y114" s="19" t="str">
        <f t="shared" ca="1" si="7"/>
        <v/>
      </c>
      <c r="Z114" s="18" t="str">
        <f t="shared" ca="1" si="8"/>
        <v/>
      </c>
    </row>
    <row r="115" spans="1:26" x14ac:dyDescent="0.25">
      <c r="A115" s="8" t="str">
        <f ca="1">IFERROR( VLOOKUP(A114+1,INDIRECT("'[" &amp;Info!$B$4&amp;"]"&amp;Info!$B$5&amp;"'!$A$6:$A$1000"),1,0),"")</f>
        <v/>
      </c>
      <c r="B115" s="5" t="str">
        <f ca="1">IFERROR( IF(A115="","", VLOOKUP(A115,INDIRECT("'[" &amp;Info!$B$4&amp;"]"&amp;Info!$B$5&amp;"'!$A$6:$B$1000"),2,0)),"")</f>
        <v/>
      </c>
      <c r="C115" s="14" t="str">
        <f ca="1">IFERROR( IF(A115="","", VLOOKUP(A115,INDIRECT("'[" &amp;Info!$B$4&amp;"]"&amp;Info!$B$5&amp;"'!$A$6:$D$1000"),3,0)),"")</f>
        <v/>
      </c>
      <c r="D115" s="31" t="str">
        <f ca="1">IF(C115="","", VLOOKUP(A115,INDIRECT("'[" &amp;Info!$B$4&amp;"]"&amp;Info!$B$5&amp;"'!$A$6:$T$1000"),20,0))</f>
        <v/>
      </c>
      <c r="E115" s="6" t="str">
        <f ca="1">IF(D115="","", VLOOKUP(A115,INDIRECT("'[" &amp;Info!$B$4&amp;"]"&amp;Info!$B$5&amp;"'!$A$6:$U$1000"),21,0))</f>
        <v/>
      </c>
      <c r="F115" s="6" t="str">
        <f ca="1">IF(D115="","", VLOOKUP(A115,INDIRECT("'[" &amp;Info!$B$4&amp;"]"&amp;Info!$B$5&amp;"'!$A$6:$U$1000"),21,0))</f>
        <v/>
      </c>
      <c r="G115" s="6" t="str">
        <f ca="1">IF(D115="","", VLOOKUP(A115,INDIRECT("'[" &amp;Info!$B$4&amp;"]"&amp;Info!$B$5&amp;"'!$A$6:$V$1000"),22,0))</f>
        <v/>
      </c>
      <c r="H115" s="6" t="str">
        <f ca="1">IF(D115="","", VLOOKUP(A115,INDIRECT("'[" &amp;Info!$B$4&amp;"]"&amp;Info!$B$5&amp;"'!$A$6:$W$1000"),23,0))</f>
        <v/>
      </c>
      <c r="I115" s="6" t="str">
        <f ca="1">LOWER( IF(D115="","", VLOOKUP(A115,INDIRECT("'[" &amp;Info!$B$4&amp;"]"&amp;Info!$B$5&amp;"'!$A$6:$y$1000"),25,0)))</f>
        <v/>
      </c>
      <c r="J115" s="6" t="str">
        <f ca="1">IF(D115="","", VLOOKUP(A115,INDIRECT("'[" &amp;Info!$B$4&amp;"]"&amp;Info!$B$5&amp;"'!$A$6:$Z$1000"),26,0))</f>
        <v/>
      </c>
      <c r="K115" s="35" t="str">
        <f ca="1">IF(D115="","", VLOOKUP(A115,INDIRECT("'[" &amp;Info!$B$4&amp;"]"&amp;Info!$B$5&amp;"'!$A$6:$AA$1000"),27,0))</f>
        <v/>
      </c>
      <c r="L115" s="35" t="str">
        <f ca="1">IF(D115="","", VLOOKUP(A115,INDIRECT("'[" &amp;Info!$B$4&amp;"]"&amp;Info!$B$5&amp;"'!$A$6:$H$1000"),8,0))</f>
        <v/>
      </c>
      <c r="M115" s="35" t="str">
        <f ca="1">IF(D115="","", VLOOKUP(A115,INDIRECT("'[" &amp;Info!$B$4&amp;"]"&amp;Info!$B$5&amp;"'!$A$6:$F$1000"),6,0))</f>
        <v/>
      </c>
      <c r="N115" s="33" t="str">
        <f ca="1">IF(C115="","", VLOOKUP(A115,INDIRECT("'[" &amp;Info!$B$4&amp;"]"&amp;Info!$B$5&amp;"'!$A$6:$Au$1000"),47,0))</f>
        <v/>
      </c>
      <c r="O115" s="28" t="str">
        <f ca="1">IF(N115="","",IF(N115=0,0,VLOOKUP(A115,INDIRECT("'[" &amp;Info!$B$4&amp;"]"&amp;Info!$B$5&amp;"'!$A$6:$AH$1000"),34,0)))</f>
        <v/>
      </c>
      <c r="P115" s="9" t="str">
        <f ca="1">IF(N115="","",IF(N115=0,0,VLOOKUP(A115,INDIRECT("'[" &amp;Info!$B$4&amp;"]"&amp;Info!$B$5&amp;"'!$A$6:$AW$1000"),49,0)))</f>
        <v/>
      </c>
      <c r="Q115" s="9" t="str">
        <f ca="1">IF(N115="","",IF(N115=0,0, VLOOKUP(A115,INDIRECT("'[" &amp;Info!$B$4&amp;"]"&amp;Info!$B$5&amp;"'!$A$6:$AX$1000"),50,0)))</f>
        <v/>
      </c>
      <c r="R115" s="29" t="str">
        <f ca="1">IF(N115="","",IF(N115=0,0, VLOOKUP(A115,INDIRECT("'[" &amp;Info!$B$4&amp;"]"&amp;Info!$B$5&amp;"'!$A$6:$AY$1000"),51,0)))</f>
        <v/>
      </c>
      <c r="S115" s="15" t="str">
        <f ca="1">IF(N115="","",IF(N115=0,0,VLOOKUP(A115,INDIRECT("'[" &amp;Info!$B$4&amp;"]"&amp;Info!$B$5&amp;"'!$A$6:$Ai$1000"),35,0)))</f>
        <v/>
      </c>
      <c r="T115" s="7" t="str">
        <f ca="1">IF(N115="","",IF(N115=0,0, VLOOKUP(A115,INDIRECT("'[" &amp;Info!$B$4&amp;"]"&amp;Info!$B$5&amp;"'!$A$6:$Az$1000"),52,0)))</f>
        <v/>
      </c>
      <c r="U115" s="7" t="str">
        <f ca="1">IF(N115="","",IF(N115=0,0, VLOOKUP(A115,INDIRECT("'[" &amp;Info!$B$4&amp;"]"&amp;Info!$B$5&amp;"'!$A$6:$BA$1000"),53,0)))</f>
        <v/>
      </c>
      <c r="V115" s="16" t="str">
        <f ca="1">IF(N115="","",IF(N115=0,0, VLOOKUP(A115,INDIRECT("'[" &amp;Info!$B$4&amp;"]"&amp;Info!$B$5&amp;"'!$A$6:$BB$1000"),54,0)))</f>
        <v/>
      </c>
      <c r="W115" s="17" t="str">
        <f t="shared" ca="1" si="5"/>
        <v/>
      </c>
      <c r="X115" s="18" t="str">
        <f t="shared" ca="1" si="6"/>
        <v/>
      </c>
      <c r="Y115" s="19" t="str">
        <f t="shared" ca="1" si="7"/>
        <v/>
      </c>
      <c r="Z115" s="18" t="str">
        <f t="shared" ca="1" si="8"/>
        <v/>
      </c>
    </row>
    <row r="116" spans="1:26" x14ac:dyDescent="0.25">
      <c r="A116" s="8" t="str">
        <f ca="1">IFERROR( VLOOKUP(A115+1,INDIRECT("'[" &amp;Info!$B$4&amp;"]"&amp;Info!$B$5&amp;"'!$A$6:$A$1000"),1,0),"")</f>
        <v/>
      </c>
      <c r="B116" s="5" t="str">
        <f ca="1">IFERROR( IF(A116="","", VLOOKUP(A116,INDIRECT("'[" &amp;Info!$B$4&amp;"]"&amp;Info!$B$5&amp;"'!$A$6:$B$1000"),2,0)),"")</f>
        <v/>
      </c>
      <c r="C116" s="14" t="str">
        <f ca="1">IFERROR( IF(A116="","", VLOOKUP(A116,INDIRECT("'[" &amp;Info!$B$4&amp;"]"&amp;Info!$B$5&amp;"'!$A$6:$D$1000"),3,0)),"")</f>
        <v/>
      </c>
      <c r="D116" s="31" t="str">
        <f ca="1">IF(C116="","", VLOOKUP(A116,INDIRECT("'[" &amp;Info!$B$4&amp;"]"&amp;Info!$B$5&amp;"'!$A$6:$T$1000"),20,0))</f>
        <v/>
      </c>
      <c r="E116" s="6" t="str">
        <f ca="1">IF(D116="","", VLOOKUP(A116,INDIRECT("'[" &amp;Info!$B$4&amp;"]"&amp;Info!$B$5&amp;"'!$A$6:$U$1000"),21,0))</f>
        <v/>
      </c>
      <c r="F116" s="6" t="str">
        <f ca="1">IF(D116="","", VLOOKUP(A116,INDIRECT("'[" &amp;Info!$B$4&amp;"]"&amp;Info!$B$5&amp;"'!$A$6:$U$1000"),21,0))</f>
        <v/>
      </c>
      <c r="G116" s="6" t="str">
        <f ca="1">IF(D116="","", VLOOKUP(A116,INDIRECT("'[" &amp;Info!$B$4&amp;"]"&amp;Info!$B$5&amp;"'!$A$6:$V$1000"),22,0))</f>
        <v/>
      </c>
      <c r="H116" s="6" t="str">
        <f ca="1">IF(D116="","", VLOOKUP(A116,INDIRECT("'[" &amp;Info!$B$4&amp;"]"&amp;Info!$B$5&amp;"'!$A$6:$W$1000"),23,0))</f>
        <v/>
      </c>
      <c r="I116" s="6" t="str">
        <f ca="1">LOWER( IF(D116="","", VLOOKUP(A116,INDIRECT("'[" &amp;Info!$B$4&amp;"]"&amp;Info!$B$5&amp;"'!$A$6:$y$1000"),25,0)))</f>
        <v/>
      </c>
      <c r="J116" s="6" t="str">
        <f ca="1">IF(D116="","", VLOOKUP(A116,INDIRECT("'[" &amp;Info!$B$4&amp;"]"&amp;Info!$B$5&amp;"'!$A$6:$Z$1000"),26,0))</f>
        <v/>
      </c>
      <c r="K116" s="35" t="str">
        <f ca="1">IF(D116="","", VLOOKUP(A116,INDIRECT("'[" &amp;Info!$B$4&amp;"]"&amp;Info!$B$5&amp;"'!$A$6:$AA$1000"),27,0))</f>
        <v/>
      </c>
      <c r="L116" s="35" t="str">
        <f ca="1">IF(D116="","", VLOOKUP(A116,INDIRECT("'[" &amp;Info!$B$4&amp;"]"&amp;Info!$B$5&amp;"'!$A$6:$H$1000"),8,0))</f>
        <v/>
      </c>
      <c r="M116" s="35" t="str">
        <f ca="1">IF(D116="","", VLOOKUP(A116,INDIRECT("'[" &amp;Info!$B$4&amp;"]"&amp;Info!$B$5&amp;"'!$A$6:$F$1000"),6,0))</f>
        <v/>
      </c>
      <c r="N116" s="33" t="str">
        <f ca="1">IF(C116="","", VLOOKUP(A116,INDIRECT("'[" &amp;Info!$B$4&amp;"]"&amp;Info!$B$5&amp;"'!$A$6:$Au$1000"),47,0))</f>
        <v/>
      </c>
      <c r="O116" s="28" t="str">
        <f ca="1">IF(N116="","",IF(N116=0,0,VLOOKUP(A116,INDIRECT("'[" &amp;Info!$B$4&amp;"]"&amp;Info!$B$5&amp;"'!$A$6:$AH$1000"),34,0)))</f>
        <v/>
      </c>
      <c r="P116" s="9" t="str">
        <f ca="1">IF(N116="","",IF(N116=0,0,VLOOKUP(A116,INDIRECT("'[" &amp;Info!$B$4&amp;"]"&amp;Info!$B$5&amp;"'!$A$6:$AW$1000"),49,0)))</f>
        <v/>
      </c>
      <c r="Q116" s="9" t="str">
        <f ca="1">IF(N116="","",IF(N116=0,0, VLOOKUP(A116,INDIRECT("'[" &amp;Info!$B$4&amp;"]"&amp;Info!$B$5&amp;"'!$A$6:$AX$1000"),50,0)))</f>
        <v/>
      </c>
      <c r="R116" s="29" t="str">
        <f ca="1">IF(N116="","",IF(N116=0,0, VLOOKUP(A116,INDIRECT("'[" &amp;Info!$B$4&amp;"]"&amp;Info!$B$5&amp;"'!$A$6:$AY$1000"),51,0)))</f>
        <v/>
      </c>
      <c r="S116" s="15" t="str">
        <f ca="1">IF(N116="","",IF(N116=0,0,VLOOKUP(A116,INDIRECT("'[" &amp;Info!$B$4&amp;"]"&amp;Info!$B$5&amp;"'!$A$6:$Ai$1000"),35,0)))</f>
        <v/>
      </c>
      <c r="T116" s="7" t="str">
        <f ca="1">IF(N116="","",IF(N116=0,0, VLOOKUP(A116,INDIRECT("'[" &amp;Info!$B$4&amp;"]"&amp;Info!$B$5&amp;"'!$A$6:$Az$1000"),52,0)))</f>
        <v/>
      </c>
      <c r="U116" s="7" t="str">
        <f ca="1">IF(N116="","",IF(N116=0,0, VLOOKUP(A116,INDIRECT("'[" &amp;Info!$B$4&amp;"]"&amp;Info!$B$5&amp;"'!$A$6:$BA$1000"),53,0)))</f>
        <v/>
      </c>
      <c r="V116" s="16" t="str">
        <f ca="1">IF(N116="","",IF(N116=0,0, VLOOKUP(A116,INDIRECT("'[" &amp;Info!$B$4&amp;"]"&amp;Info!$B$5&amp;"'!$A$6:$BB$1000"),54,0)))</f>
        <v/>
      </c>
      <c r="W116" s="17" t="str">
        <f t="shared" ca="1" si="5"/>
        <v/>
      </c>
      <c r="X116" s="18" t="str">
        <f t="shared" ca="1" si="6"/>
        <v/>
      </c>
      <c r="Y116" s="19" t="str">
        <f t="shared" ca="1" si="7"/>
        <v/>
      </c>
      <c r="Z116" s="18" t="str">
        <f t="shared" ca="1" si="8"/>
        <v/>
      </c>
    </row>
    <row r="117" spans="1:26" x14ac:dyDescent="0.25">
      <c r="A117" s="8" t="str">
        <f ca="1">IFERROR( VLOOKUP(A116+1,INDIRECT("'[" &amp;Info!$B$4&amp;"]"&amp;Info!$B$5&amp;"'!$A$6:$A$1000"),1,0),"")</f>
        <v/>
      </c>
      <c r="B117" s="5" t="str">
        <f ca="1">IFERROR( IF(A117="","", VLOOKUP(A117,INDIRECT("'[" &amp;Info!$B$4&amp;"]"&amp;Info!$B$5&amp;"'!$A$6:$B$1000"),2,0)),"")</f>
        <v/>
      </c>
      <c r="C117" s="14" t="str">
        <f ca="1">IFERROR( IF(A117="","", VLOOKUP(A117,INDIRECT("'[" &amp;Info!$B$4&amp;"]"&amp;Info!$B$5&amp;"'!$A$6:$D$1000"),3,0)),"")</f>
        <v/>
      </c>
      <c r="D117" s="31" t="str">
        <f ca="1">IF(C117="","", VLOOKUP(A117,INDIRECT("'[" &amp;Info!$B$4&amp;"]"&amp;Info!$B$5&amp;"'!$A$6:$T$1000"),20,0))</f>
        <v/>
      </c>
      <c r="E117" s="6" t="str">
        <f ca="1">IF(D117="","", VLOOKUP(A117,INDIRECT("'[" &amp;Info!$B$4&amp;"]"&amp;Info!$B$5&amp;"'!$A$6:$U$1000"),21,0))</f>
        <v/>
      </c>
      <c r="F117" s="6" t="str">
        <f ca="1">IF(D117="","", VLOOKUP(A117,INDIRECT("'[" &amp;Info!$B$4&amp;"]"&amp;Info!$B$5&amp;"'!$A$6:$U$1000"),21,0))</f>
        <v/>
      </c>
      <c r="G117" s="6" t="str">
        <f ca="1">IF(D117="","", VLOOKUP(A117,INDIRECT("'[" &amp;Info!$B$4&amp;"]"&amp;Info!$B$5&amp;"'!$A$6:$V$1000"),22,0))</f>
        <v/>
      </c>
      <c r="H117" s="6" t="str">
        <f ca="1">IF(D117="","", VLOOKUP(A117,INDIRECT("'[" &amp;Info!$B$4&amp;"]"&amp;Info!$B$5&amp;"'!$A$6:$W$1000"),23,0))</f>
        <v/>
      </c>
      <c r="I117" s="6" t="str">
        <f ca="1">LOWER( IF(D117="","", VLOOKUP(A117,INDIRECT("'[" &amp;Info!$B$4&amp;"]"&amp;Info!$B$5&amp;"'!$A$6:$y$1000"),25,0)))</f>
        <v/>
      </c>
      <c r="J117" s="6" t="str">
        <f ca="1">IF(D117="","", VLOOKUP(A117,INDIRECT("'[" &amp;Info!$B$4&amp;"]"&amp;Info!$B$5&amp;"'!$A$6:$Z$1000"),26,0))</f>
        <v/>
      </c>
      <c r="K117" s="35" t="str">
        <f ca="1">IF(D117="","", VLOOKUP(A117,INDIRECT("'[" &amp;Info!$B$4&amp;"]"&amp;Info!$B$5&amp;"'!$A$6:$AA$1000"),27,0))</f>
        <v/>
      </c>
      <c r="L117" s="35" t="str">
        <f ca="1">IF(D117="","", VLOOKUP(A117,INDIRECT("'[" &amp;Info!$B$4&amp;"]"&amp;Info!$B$5&amp;"'!$A$6:$H$1000"),8,0))</f>
        <v/>
      </c>
      <c r="M117" s="35" t="str">
        <f ca="1">IF(D117="","", VLOOKUP(A117,INDIRECT("'[" &amp;Info!$B$4&amp;"]"&amp;Info!$B$5&amp;"'!$A$6:$F$1000"),6,0))</f>
        <v/>
      </c>
      <c r="N117" s="33" t="str">
        <f ca="1">IF(C117="","", VLOOKUP(A117,INDIRECT("'[" &amp;Info!$B$4&amp;"]"&amp;Info!$B$5&amp;"'!$A$6:$Au$1000"),47,0))</f>
        <v/>
      </c>
      <c r="O117" s="28" t="str">
        <f ca="1">IF(N117="","",IF(N117=0,0,VLOOKUP(A117,INDIRECT("'[" &amp;Info!$B$4&amp;"]"&amp;Info!$B$5&amp;"'!$A$6:$AH$1000"),34,0)))</f>
        <v/>
      </c>
      <c r="P117" s="9" t="str">
        <f ca="1">IF(N117="","",IF(N117=0,0,VLOOKUP(A117,INDIRECT("'[" &amp;Info!$B$4&amp;"]"&amp;Info!$B$5&amp;"'!$A$6:$AW$1000"),49,0)))</f>
        <v/>
      </c>
      <c r="Q117" s="9" t="str">
        <f ca="1">IF(N117="","",IF(N117=0,0, VLOOKUP(A117,INDIRECT("'[" &amp;Info!$B$4&amp;"]"&amp;Info!$B$5&amp;"'!$A$6:$AX$1000"),50,0)))</f>
        <v/>
      </c>
      <c r="R117" s="29" t="str">
        <f ca="1">IF(N117="","",IF(N117=0,0, VLOOKUP(A117,INDIRECT("'[" &amp;Info!$B$4&amp;"]"&amp;Info!$B$5&amp;"'!$A$6:$AY$1000"),51,0)))</f>
        <v/>
      </c>
      <c r="S117" s="15" t="str">
        <f ca="1">IF(N117="","",IF(N117=0,0,VLOOKUP(A117,INDIRECT("'[" &amp;Info!$B$4&amp;"]"&amp;Info!$B$5&amp;"'!$A$6:$Ai$1000"),35,0)))</f>
        <v/>
      </c>
      <c r="T117" s="7" t="str">
        <f ca="1">IF(N117="","",IF(N117=0,0, VLOOKUP(A117,INDIRECT("'[" &amp;Info!$B$4&amp;"]"&amp;Info!$B$5&amp;"'!$A$6:$Az$1000"),52,0)))</f>
        <v/>
      </c>
      <c r="U117" s="7" t="str">
        <f ca="1">IF(N117="","",IF(N117=0,0, VLOOKUP(A117,INDIRECT("'[" &amp;Info!$B$4&amp;"]"&amp;Info!$B$5&amp;"'!$A$6:$BA$1000"),53,0)))</f>
        <v/>
      </c>
      <c r="V117" s="16" t="str">
        <f ca="1">IF(N117="","",IF(N117=0,0, VLOOKUP(A117,INDIRECT("'[" &amp;Info!$B$4&amp;"]"&amp;Info!$B$5&amp;"'!$A$6:$BB$1000"),54,0)))</f>
        <v/>
      </c>
      <c r="W117" s="17" t="str">
        <f t="shared" ca="1" si="5"/>
        <v/>
      </c>
      <c r="X117" s="18" t="str">
        <f t="shared" ca="1" si="6"/>
        <v/>
      </c>
      <c r="Y117" s="19" t="str">
        <f t="shared" ca="1" si="7"/>
        <v/>
      </c>
      <c r="Z117" s="18" t="str">
        <f t="shared" ca="1" si="8"/>
        <v/>
      </c>
    </row>
    <row r="118" spans="1:26" x14ac:dyDescent="0.25">
      <c r="A118" s="8" t="str">
        <f ca="1">IFERROR( VLOOKUP(A117+1,INDIRECT("'[" &amp;Info!$B$4&amp;"]"&amp;Info!$B$5&amp;"'!$A$6:$A$1000"),1,0),"")</f>
        <v/>
      </c>
      <c r="B118" s="5" t="str">
        <f ca="1">IFERROR( IF(A118="","", VLOOKUP(A118,INDIRECT("'[" &amp;Info!$B$4&amp;"]"&amp;Info!$B$5&amp;"'!$A$6:$B$1000"),2,0)),"")</f>
        <v/>
      </c>
      <c r="C118" s="14" t="str">
        <f ca="1">IFERROR( IF(A118="","", VLOOKUP(A118,INDIRECT("'[" &amp;Info!$B$4&amp;"]"&amp;Info!$B$5&amp;"'!$A$6:$D$1000"),3,0)),"")</f>
        <v/>
      </c>
      <c r="D118" s="31" t="str">
        <f ca="1">IF(C118="","", VLOOKUP(A118,INDIRECT("'[" &amp;Info!$B$4&amp;"]"&amp;Info!$B$5&amp;"'!$A$6:$T$1000"),20,0))</f>
        <v/>
      </c>
      <c r="E118" s="6" t="str">
        <f ca="1">IF(D118="","", VLOOKUP(A118,INDIRECT("'[" &amp;Info!$B$4&amp;"]"&amp;Info!$B$5&amp;"'!$A$6:$U$1000"),21,0))</f>
        <v/>
      </c>
      <c r="F118" s="6" t="str">
        <f ca="1">IF(D118="","", VLOOKUP(A118,INDIRECT("'[" &amp;Info!$B$4&amp;"]"&amp;Info!$B$5&amp;"'!$A$6:$U$1000"),21,0))</f>
        <v/>
      </c>
      <c r="G118" s="6" t="str">
        <f ca="1">IF(D118="","", VLOOKUP(A118,INDIRECT("'[" &amp;Info!$B$4&amp;"]"&amp;Info!$B$5&amp;"'!$A$6:$V$1000"),22,0))</f>
        <v/>
      </c>
      <c r="H118" s="6" t="str">
        <f ca="1">IF(D118="","", VLOOKUP(A118,INDIRECT("'[" &amp;Info!$B$4&amp;"]"&amp;Info!$B$5&amp;"'!$A$6:$W$1000"),23,0))</f>
        <v/>
      </c>
      <c r="I118" s="6" t="str">
        <f ca="1">LOWER( IF(D118="","", VLOOKUP(A118,INDIRECT("'[" &amp;Info!$B$4&amp;"]"&amp;Info!$B$5&amp;"'!$A$6:$y$1000"),25,0)))</f>
        <v/>
      </c>
      <c r="J118" s="6" t="str">
        <f ca="1">IF(D118="","", VLOOKUP(A118,INDIRECT("'[" &amp;Info!$B$4&amp;"]"&amp;Info!$B$5&amp;"'!$A$6:$Z$1000"),26,0))</f>
        <v/>
      </c>
      <c r="K118" s="35" t="str">
        <f ca="1">IF(D118="","", VLOOKUP(A118,INDIRECT("'[" &amp;Info!$B$4&amp;"]"&amp;Info!$B$5&amp;"'!$A$6:$AA$1000"),27,0))</f>
        <v/>
      </c>
      <c r="L118" s="35" t="str">
        <f ca="1">IF(D118="","", VLOOKUP(A118,INDIRECT("'[" &amp;Info!$B$4&amp;"]"&amp;Info!$B$5&amp;"'!$A$6:$H$1000"),8,0))</f>
        <v/>
      </c>
      <c r="M118" s="35" t="str">
        <f ca="1">IF(D118="","", VLOOKUP(A118,INDIRECT("'[" &amp;Info!$B$4&amp;"]"&amp;Info!$B$5&amp;"'!$A$6:$F$1000"),6,0))</f>
        <v/>
      </c>
      <c r="N118" s="33" t="str">
        <f ca="1">IF(C118="","", VLOOKUP(A118,INDIRECT("'[" &amp;Info!$B$4&amp;"]"&amp;Info!$B$5&amp;"'!$A$6:$Au$1000"),47,0))</f>
        <v/>
      </c>
      <c r="O118" s="28" t="str">
        <f ca="1">IF(N118="","",IF(N118=0,0,VLOOKUP(A118,INDIRECT("'[" &amp;Info!$B$4&amp;"]"&amp;Info!$B$5&amp;"'!$A$6:$AH$1000"),34,0)))</f>
        <v/>
      </c>
      <c r="P118" s="9" t="str">
        <f ca="1">IF(N118="","",IF(N118=0,0,VLOOKUP(A118,INDIRECT("'[" &amp;Info!$B$4&amp;"]"&amp;Info!$B$5&amp;"'!$A$6:$AW$1000"),49,0)))</f>
        <v/>
      </c>
      <c r="Q118" s="9" t="str">
        <f ca="1">IF(N118="","",IF(N118=0,0, VLOOKUP(A118,INDIRECT("'[" &amp;Info!$B$4&amp;"]"&amp;Info!$B$5&amp;"'!$A$6:$AX$1000"),50,0)))</f>
        <v/>
      </c>
      <c r="R118" s="29" t="str">
        <f ca="1">IF(N118="","",IF(N118=0,0, VLOOKUP(A118,INDIRECT("'[" &amp;Info!$B$4&amp;"]"&amp;Info!$B$5&amp;"'!$A$6:$AY$1000"),51,0)))</f>
        <v/>
      </c>
      <c r="S118" s="15" t="str">
        <f ca="1">IF(N118="","",IF(N118=0,0,VLOOKUP(A118,INDIRECT("'[" &amp;Info!$B$4&amp;"]"&amp;Info!$B$5&amp;"'!$A$6:$Ai$1000"),35,0)))</f>
        <v/>
      </c>
      <c r="T118" s="7" t="str">
        <f ca="1">IF(N118="","",IF(N118=0,0, VLOOKUP(A118,INDIRECT("'[" &amp;Info!$B$4&amp;"]"&amp;Info!$B$5&amp;"'!$A$6:$Az$1000"),52,0)))</f>
        <v/>
      </c>
      <c r="U118" s="7" t="str">
        <f ca="1">IF(N118="","",IF(N118=0,0, VLOOKUP(A118,INDIRECT("'[" &amp;Info!$B$4&amp;"]"&amp;Info!$B$5&amp;"'!$A$6:$BA$1000"),53,0)))</f>
        <v/>
      </c>
      <c r="V118" s="16" t="str">
        <f ca="1">IF(N118="","",IF(N118=0,0, VLOOKUP(A118,INDIRECT("'[" &amp;Info!$B$4&amp;"]"&amp;Info!$B$5&amp;"'!$A$6:$BB$1000"),54,0)))</f>
        <v/>
      </c>
      <c r="W118" s="17" t="str">
        <f t="shared" ca="1" si="5"/>
        <v/>
      </c>
      <c r="X118" s="18" t="str">
        <f t="shared" ca="1" si="6"/>
        <v/>
      </c>
      <c r="Y118" s="19" t="str">
        <f t="shared" ca="1" si="7"/>
        <v/>
      </c>
      <c r="Z118" s="18" t="str">
        <f t="shared" ca="1" si="8"/>
        <v/>
      </c>
    </row>
    <row r="119" spans="1:26" x14ac:dyDescent="0.25">
      <c r="A119" s="8" t="str">
        <f ca="1">IFERROR( VLOOKUP(A118+1,INDIRECT("'[" &amp;Info!$B$4&amp;"]"&amp;Info!$B$5&amp;"'!$A$6:$A$1000"),1,0),"")</f>
        <v/>
      </c>
      <c r="B119" s="5" t="str">
        <f ca="1">IFERROR( IF(A119="","", VLOOKUP(A119,INDIRECT("'[" &amp;Info!$B$4&amp;"]"&amp;Info!$B$5&amp;"'!$A$6:$B$1000"),2,0)),"")</f>
        <v/>
      </c>
      <c r="C119" s="14" t="str">
        <f ca="1">IFERROR( IF(A119="","", VLOOKUP(A119,INDIRECT("'[" &amp;Info!$B$4&amp;"]"&amp;Info!$B$5&amp;"'!$A$6:$D$1000"),3,0)),"")</f>
        <v/>
      </c>
      <c r="D119" s="31" t="str">
        <f ca="1">IF(C119="","", VLOOKUP(A119,INDIRECT("'[" &amp;Info!$B$4&amp;"]"&amp;Info!$B$5&amp;"'!$A$6:$T$1000"),20,0))</f>
        <v/>
      </c>
      <c r="E119" s="6" t="str">
        <f ca="1">IF(D119="","", VLOOKUP(A119,INDIRECT("'[" &amp;Info!$B$4&amp;"]"&amp;Info!$B$5&amp;"'!$A$6:$U$1000"),21,0))</f>
        <v/>
      </c>
      <c r="F119" s="6" t="str">
        <f ca="1">IF(D119="","", VLOOKUP(A119,INDIRECT("'[" &amp;Info!$B$4&amp;"]"&amp;Info!$B$5&amp;"'!$A$6:$U$1000"),21,0))</f>
        <v/>
      </c>
      <c r="G119" s="6" t="str">
        <f ca="1">IF(D119="","", VLOOKUP(A119,INDIRECT("'[" &amp;Info!$B$4&amp;"]"&amp;Info!$B$5&amp;"'!$A$6:$V$1000"),22,0))</f>
        <v/>
      </c>
      <c r="H119" s="6" t="str">
        <f ca="1">IF(D119="","", VLOOKUP(A119,INDIRECT("'[" &amp;Info!$B$4&amp;"]"&amp;Info!$B$5&amp;"'!$A$6:$W$1000"),23,0))</f>
        <v/>
      </c>
      <c r="I119" s="6" t="str">
        <f ca="1">LOWER( IF(D119="","", VLOOKUP(A119,INDIRECT("'[" &amp;Info!$B$4&amp;"]"&amp;Info!$B$5&amp;"'!$A$6:$y$1000"),25,0)))</f>
        <v/>
      </c>
      <c r="J119" s="6" t="str">
        <f ca="1">IF(D119="","", VLOOKUP(A119,INDIRECT("'[" &amp;Info!$B$4&amp;"]"&amp;Info!$B$5&amp;"'!$A$6:$Z$1000"),26,0))</f>
        <v/>
      </c>
      <c r="K119" s="35" t="str">
        <f ca="1">IF(D119="","", VLOOKUP(A119,INDIRECT("'[" &amp;Info!$B$4&amp;"]"&amp;Info!$B$5&amp;"'!$A$6:$AA$1000"),27,0))</f>
        <v/>
      </c>
      <c r="L119" s="35" t="str">
        <f ca="1">IF(D119="","", VLOOKUP(A119,INDIRECT("'[" &amp;Info!$B$4&amp;"]"&amp;Info!$B$5&amp;"'!$A$6:$H$1000"),8,0))</f>
        <v/>
      </c>
      <c r="M119" s="35" t="str">
        <f ca="1">IF(D119="","", VLOOKUP(A119,INDIRECT("'[" &amp;Info!$B$4&amp;"]"&amp;Info!$B$5&amp;"'!$A$6:$F$1000"),6,0))</f>
        <v/>
      </c>
      <c r="N119" s="33" t="str">
        <f ca="1">IF(C119="","", VLOOKUP(A119,INDIRECT("'[" &amp;Info!$B$4&amp;"]"&amp;Info!$B$5&amp;"'!$A$6:$Au$1000"),47,0))</f>
        <v/>
      </c>
      <c r="O119" s="28" t="str">
        <f ca="1">IF(N119="","",IF(N119=0,0,VLOOKUP(A119,INDIRECT("'[" &amp;Info!$B$4&amp;"]"&amp;Info!$B$5&amp;"'!$A$6:$AH$1000"),34,0)))</f>
        <v/>
      </c>
      <c r="P119" s="9" t="str">
        <f ca="1">IF(N119="","",IF(N119=0,0,VLOOKUP(A119,INDIRECT("'[" &amp;Info!$B$4&amp;"]"&amp;Info!$B$5&amp;"'!$A$6:$AW$1000"),49,0)))</f>
        <v/>
      </c>
      <c r="Q119" s="9" t="str">
        <f ca="1">IF(N119="","",IF(N119=0,0, VLOOKUP(A119,INDIRECT("'[" &amp;Info!$B$4&amp;"]"&amp;Info!$B$5&amp;"'!$A$6:$AX$1000"),50,0)))</f>
        <v/>
      </c>
      <c r="R119" s="29" t="str">
        <f ca="1">IF(N119="","",IF(N119=0,0, VLOOKUP(A119,INDIRECT("'[" &amp;Info!$B$4&amp;"]"&amp;Info!$B$5&amp;"'!$A$6:$AY$1000"),51,0)))</f>
        <v/>
      </c>
      <c r="S119" s="15" t="str">
        <f ca="1">IF(N119="","",IF(N119=0,0,VLOOKUP(A119,INDIRECT("'[" &amp;Info!$B$4&amp;"]"&amp;Info!$B$5&amp;"'!$A$6:$Ai$1000"),35,0)))</f>
        <v/>
      </c>
      <c r="T119" s="7" t="str">
        <f ca="1">IF(N119="","",IF(N119=0,0, VLOOKUP(A119,INDIRECT("'[" &amp;Info!$B$4&amp;"]"&amp;Info!$B$5&amp;"'!$A$6:$Az$1000"),52,0)))</f>
        <v/>
      </c>
      <c r="U119" s="7" t="str">
        <f ca="1">IF(N119="","",IF(N119=0,0, VLOOKUP(A119,INDIRECT("'[" &amp;Info!$B$4&amp;"]"&amp;Info!$B$5&amp;"'!$A$6:$BA$1000"),53,0)))</f>
        <v/>
      </c>
      <c r="V119" s="16" t="str">
        <f ca="1">IF(N119="","",IF(N119=0,0, VLOOKUP(A119,INDIRECT("'[" &amp;Info!$B$4&amp;"]"&amp;Info!$B$5&amp;"'!$A$6:$BB$1000"),54,0)))</f>
        <v/>
      </c>
      <c r="W119" s="17" t="str">
        <f t="shared" ca="1" si="5"/>
        <v/>
      </c>
      <c r="X119" s="18" t="str">
        <f t="shared" ca="1" si="6"/>
        <v/>
      </c>
      <c r="Y119" s="19" t="str">
        <f t="shared" ca="1" si="7"/>
        <v/>
      </c>
      <c r="Z119" s="18" t="str">
        <f t="shared" ca="1" si="8"/>
        <v/>
      </c>
    </row>
    <row r="120" spans="1:26" x14ac:dyDescent="0.25">
      <c r="A120" s="8" t="str">
        <f ca="1">IFERROR( VLOOKUP(A119+1,INDIRECT("'[" &amp;Info!$B$4&amp;"]"&amp;Info!$B$5&amp;"'!$A$6:$A$1000"),1,0),"")</f>
        <v/>
      </c>
      <c r="B120" s="5" t="str">
        <f ca="1">IFERROR( IF(A120="","", VLOOKUP(A120,INDIRECT("'[" &amp;Info!$B$4&amp;"]"&amp;Info!$B$5&amp;"'!$A$6:$B$1000"),2,0)),"")</f>
        <v/>
      </c>
      <c r="C120" s="14" t="str">
        <f ca="1">IFERROR( IF(A120="","", VLOOKUP(A120,INDIRECT("'[" &amp;Info!$B$4&amp;"]"&amp;Info!$B$5&amp;"'!$A$6:$D$1000"),3,0)),"")</f>
        <v/>
      </c>
      <c r="D120" s="31" t="str">
        <f ca="1">IF(C120="","", VLOOKUP(A120,INDIRECT("'[" &amp;Info!$B$4&amp;"]"&amp;Info!$B$5&amp;"'!$A$6:$T$1000"),20,0))</f>
        <v/>
      </c>
      <c r="E120" s="6" t="str">
        <f ca="1">IF(D120="","", VLOOKUP(A120,INDIRECT("'[" &amp;Info!$B$4&amp;"]"&amp;Info!$B$5&amp;"'!$A$6:$U$1000"),21,0))</f>
        <v/>
      </c>
      <c r="F120" s="6" t="str">
        <f ca="1">IF(D120="","", VLOOKUP(A120,INDIRECT("'[" &amp;Info!$B$4&amp;"]"&amp;Info!$B$5&amp;"'!$A$6:$U$1000"),21,0))</f>
        <v/>
      </c>
      <c r="G120" s="6" t="str">
        <f ca="1">IF(D120="","", VLOOKUP(A120,INDIRECT("'[" &amp;Info!$B$4&amp;"]"&amp;Info!$B$5&amp;"'!$A$6:$V$1000"),22,0))</f>
        <v/>
      </c>
      <c r="H120" s="6" t="str">
        <f ca="1">IF(D120="","", VLOOKUP(A120,INDIRECT("'[" &amp;Info!$B$4&amp;"]"&amp;Info!$B$5&amp;"'!$A$6:$W$1000"),23,0))</f>
        <v/>
      </c>
      <c r="I120" s="6" t="str">
        <f ca="1">LOWER( IF(D120="","", VLOOKUP(A120,INDIRECT("'[" &amp;Info!$B$4&amp;"]"&amp;Info!$B$5&amp;"'!$A$6:$y$1000"),25,0)))</f>
        <v/>
      </c>
      <c r="J120" s="6" t="str">
        <f ca="1">IF(D120="","", VLOOKUP(A120,INDIRECT("'[" &amp;Info!$B$4&amp;"]"&amp;Info!$B$5&amp;"'!$A$6:$Z$1000"),26,0))</f>
        <v/>
      </c>
      <c r="K120" s="35" t="str">
        <f ca="1">IF(D120="","", VLOOKUP(A120,INDIRECT("'[" &amp;Info!$B$4&amp;"]"&amp;Info!$B$5&amp;"'!$A$6:$AA$1000"),27,0))</f>
        <v/>
      </c>
      <c r="L120" s="35" t="str">
        <f ca="1">IF(D120="","", VLOOKUP(A120,INDIRECT("'[" &amp;Info!$B$4&amp;"]"&amp;Info!$B$5&amp;"'!$A$6:$H$1000"),8,0))</f>
        <v/>
      </c>
      <c r="M120" s="35" t="str">
        <f ca="1">IF(D120="","", VLOOKUP(A120,INDIRECT("'[" &amp;Info!$B$4&amp;"]"&amp;Info!$B$5&amp;"'!$A$6:$F$1000"),6,0))</f>
        <v/>
      </c>
      <c r="N120" s="33" t="str">
        <f ca="1">IF(C120="","", VLOOKUP(A120,INDIRECT("'[" &amp;Info!$B$4&amp;"]"&amp;Info!$B$5&amp;"'!$A$6:$Au$1000"),47,0))</f>
        <v/>
      </c>
      <c r="O120" s="28" t="str">
        <f ca="1">IF(N120="","",IF(N120=0,0,VLOOKUP(A120,INDIRECT("'[" &amp;Info!$B$4&amp;"]"&amp;Info!$B$5&amp;"'!$A$6:$AH$1000"),34,0)))</f>
        <v/>
      </c>
      <c r="P120" s="9" t="str">
        <f ca="1">IF(N120="","",IF(N120=0,0,VLOOKUP(A120,INDIRECT("'[" &amp;Info!$B$4&amp;"]"&amp;Info!$B$5&amp;"'!$A$6:$AW$1000"),49,0)))</f>
        <v/>
      </c>
      <c r="Q120" s="9" t="str">
        <f ca="1">IF(N120="","",IF(N120=0,0, VLOOKUP(A120,INDIRECT("'[" &amp;Info!$B$4&amp;"]"&amp;Info!$B$5&amp;"'!$A$6:$AX$1000"),50,0)))</f>
        <v/>
      </c>
      <c r="R120" s="29" t="str">
        <f ca="1">IF(N120="","",IF(N120=0,0, VLOOKUP(A120,INDIRECT("'[" &amp;Info!$B$4&amp;"]"&amp;Info!$B$5&amp;"'!$A$6:$AY$1000"),51,0)))</f>
        <v/>
      </c>
      <c r="S120" s="15" t="str">
        <f ca="1">IF(N120="","",IF(N120=0,0,VLOOKUP(A120,INDIRECT("'[" &amp;Info!$B$4&amp;"]"&amp;Info!$B$5&amp;"'!$A$6:$Ai$1000"),35,0)))</f>
        <v/>
      </c>
      <c r="T120" s="7" t="str">
        <f ca="1">IF(N120="","",IF(N120=0,0, VLOOKUP(A120,INDIRECT("'[" &amp;Info!$B$4&amp;"]"&amp;Info!$B$5&amp;"'!$A$6:$Az$1000"),52,0)))</f>
        <v/>
      </c>
      <c r="U120" s="7" t="str">
        <f ca="1">IF(N120="","",IF(N120=0,0, VLOOKUP(A120,INDIRECT("'[" &amp;Info!$B$4&amp;"]"&amp;Info!$B$5&amp;"'!$A$6:$BA$1000"),53,0)))</f>
        <v/>
      </c>
      <c r="V120" s="16" t="str">
        <f ca="1">IF(N120="","",IF(N120=0,0, VLOOKUP(A120,INDIRECT("'[" &amp;Info!$B$4&amp;"]"&amp;Info!$B$5&amp;"'!$A$6:$BB$1000"),54,0)))</f>
        <v/>
      </c>
      <c r="W120" s="17" t="str">
        <f t="shared" ca="1" si="5"/>
        <v/>
      </c>
      <c r="X120" s="18" t="str">
        <f t="shared" ca="1" si="6"/>
        <v/>
      </c>
      <c r="Y120" s="19" t="str">
        <f t="shared" ca="1" si="7"/>
        <v/>
      </c>
      <c r="Z120" s="18" t="str">
        <f t="shared" ca="1" si="8"/>
        <v/>
      </c>
    </row>
    <row r="121" spans="1:26" x14ac:dyDescent="0.25">
      <c r="A121" s="8" t="str">
        <f ca="1">IFERROR( VLOOKUP(A120+1,INDIRECT("'[" &amp;Info!$B$4&amp;"]"&amp;Info!$B$5&amp;"'!$A$6:$A$1000"),1,0),"")</f>
        <v/>
      </c>
      <c r="B121" s="5" t="str">
        <f ca="1">IFERROR( IF(A121="","", VLOOKUP(A121,INDIRECT("'[" &amp;Info!$B$4&amp;"]"&amp;Info!$B$5&amp;"'!$A$6:$B$1000"),2,0)),"")</f>
        <v/>
      </c>
      <c r="C121" s="14" t="str">
        <f ca="1">IFERROR( IF(A121="","", VLOOKUP(A121,INDIRECT("'[" &amp;Info!$B$4&amp;"]"&amp;Info!$B$5&amp;"'!$A$6:$D$1000"),3,0)),"")</f>
        <v/>
      </c>
      <c r="D121" s="31" t="str">
        <f ca="1">IF(C121="","", VLOOKUP(A121,INDIRECT("'[" &amp;Info!$B$4&amp;"]"&amp;Info!$B$5&amp;"'!$A$6:$T$1000"),20,0))</f>
        <v/>
      </c>
      <c r="E121" s="6" t="str">
        <f ca="1">IF(D121="","", VLOOKUP(A121,INDIRECT("'[" &amp;Info!$B$4&amp;"]"&amp;Info!$B$5&amp;"'!$A$6:$U$1000"),21,0))</f>
        <v/>
      </c>
      <c r="F121" s="6" t="str">
        <f ca="1">IF(D121="","", VLOOKUP(A121,INDIRECT("'[" &amp;Info!$B$4&amp;"]"&amp;Info!$B$5&amp;"'!$A$6:$U$1000"),21,0))</f>
        <v/>
      </c>
      <c r="G121" s="6" t="str">
        <f ca="1">IF(D121="","", VLOOKUP(A121,INDIRECT("'[" &amp;Info!$B$4&amp;"]"&amp;Info!$B$5&amp;"'!$A$6:$V$1000"),22,0))</f>
        <v/>
      </c>
      <c r="H121" s="6" t="str">
        <f ca="1">IF(D121="","", VLOOKUP(A121,INDIRECT("'[" &amp;Info!$B$4&amp;"]"&amp;Info!$B$5&amp;"'!$A$6:$W$1000"),23,0))</f>
        <v/>
      </c>
      <c r="I121" s="6" t="str">
        <f ca="1">LOWER( IF(D121="","", VLOOKUP(A121,INDIRECT("'[" &amp;Info!$B$4&amp;"]"&amp;Info!$B$5&amp;"'!$A$6:$y$1000"),25,0)))</f>
        <v/>
      </c>
      <c r="J121" s="6" t="str">
        <f ca="1">IF(D121="","", VLOOKUP(A121,INDIRECT("'[" &amp;Info!$B$4&amp;"]"&amp;Info!$B$5&amp;"'!$A$6:$Z$1000"),26,0))</f>
        <v/>
      </c>
      <c r="K121" s="35" t="str">
        <f ca="1">IF(D121="","", VLOOKUP(A121,INDIRECT("'[" &amp;Info!$B$4&amp;"]"&amp;Info!$B$5&amp;"'!$A$6:$AA$1000"),27,0))</f>
        <v/>
      </c>
      <c r="L121" s="35" t="str">
        <f ca="1">IF(D121="","", VLOOKUP(A121,INDIRECT("'[" &amp;Info!$B$4&amp;"]"&amp;Info!$B$5&amp;"'!$A$6:$H$1000"),8,0))</f>
        <v/>
      </c>
      <c r="M121" s="35" t="str">
        <f ca="1">IF(D121="","", VLOOKUP(A121,INDIRECT("'[" &amp;Info!$B$4&amp;"]"&amp;Info!$B$5&amp;"'!$A$6:$F$1000"),6,0))</f>
        <v/>
      </c>
      <c r="N121" s="33" t="str">
        <f ca="1">IF(C121="","", VLOOKUP(A121,INDIRECT("'[" &amp;Info!$B$4&amp;"]"&amp;Info!$B$5&amp;"'!$A$6:$Au$1000"),47,0))</f>
        <v/>
      </c>
      <c r="O121" s="28" t="str">
        <f ca="1">IF(N121="","",IF(N121=0,0,VLOOKUP(A121,INDIRECT("'[" &amp;Info!$B$4&amp;"]"&amp;Info!$B$5&amp;"'!$A$6:$AH$1000"),34,0)))</f>
        <v/>
      </c>
      <c r="P121" s="9" t="str">
        <f ca="1">IF(N121="","",IF(N121=0,0,VLOOKUP(A121,INDIRECT("'[" &amp;Info!$B$4&amp;"]"&amp;Info!$B$5&amp;"'!$A$6:$AW$1000"),49,0)))</f>
        <v/>
      </c>
      <c r="Q121" s="9" t="str">
        <f ca="1">IF(N121="","",IF(N121=0,0, VLOOKUP(A121,INDIRECT("'[" &amp;Info!$B$4&amp;"]"&amp;Info!$B$5&amp;"'!$A$6:$AX$1000"),50,0)))</f>
        <v/>
      </c>
      <c r="R121" s="29" t="str">
        <f ca="1">IF(N121="","",IF(N121=0,0, VLOOKUP(A121,INDIRECT("'[" &amp;Info!$B$4&amp;"]"&amp;Info!$B$5&amp;"'!$A$6:$AY$1000"),51,0)))</f>
        <v/>
      </c>
      <c r="S121" s="15" t="str">
        <f ca="1">IF(N121="","",IF(N121=0,0,VLOOKUP(A121,INDIRECT("'[" &amp;Info!$B$4&amp;"]"&amp;Info!$B$5&amp;"'!$A$6:$Ai$1000"),35,0)))</f>
        <v/>
      </c>
      <c r="T121" s="7" t="str">
        <f ca="1">IF(N121="","",IF(N121=0,0, VLOOKUP(A121,INDIRECT("'[" &amp;Info!$B$4&amp;"]"&amp;Info!$B$5&amp;"'!$A$6:$Az$1000"),52,0)))</f>
        <v/>
      </c>
      <c r="U121" s="7" t="str">
        <f ca="1">IF(N121="","",IF(N121=0,0, VLOOKUP(A121,INDIRECT("'[" &amp;Info!$B$4&amp;"]"&amp;Info!$B$5&amp;"'!$A$6:$BA$1000"),53,0)))</f>
        <v/>
      </c>
      <c r="V121" s="16" t="str">
        <f ca="1">IF(N121="","",IF(N121=0,0, VLOOKUP(A121,INDIRECT("'[" &amp;Info!$B$4&amp;"]"&amp;Info!$B$5&amp;"'!$A$6:$BB$1000"),54,0)))</f>
        <v/>
      </c>
      <c r="W121" s="17" t="str">
        <f t="shared" ca="1" si="5"/>
        <v/>
      </c>
      <c r="X121" s="18" t="str">
        <f t="shared" ca="1" si="6"/>
        <v/>
      </c>
      <c r="Y121" s="19" t="str">
        <f t="shared" ca="1" si="7"/>
        <v/>
      </c>
      <c r="Z121" s="18" t="str">
        <f t="shared" ca="1" si="8"/>
        <v/>
      </c>
    </row>
    <row r="122" spans="1:26" x14ac:dyDescent="0.25">
      <c r="A122" s="8" t="str">
        <f ca="1">IFERROR( VLOOKUP(A121+1,INDIRECT("'[" &amp;Info!$B$4&amp;"]"&amp;Info!$B$5&amp;"'!$A$6:$A$1000"),1,0),"")</f>
        <v/>
      </c>
      <c r="B122" s="5" t="str">
        <f ca="1">IFERROR( IF(A122="","", VLOOKUP(A122,INDIRECT("'[" &amp;Info!$B$4&amp;"]"&amp;Info!$B$5&amp;"'!$A$6:$B$1000"),2,0)),"")</f>
        <v/>
      </c>
      <c r="C122" s="14" t="str">
        <f ca="1">IFERROR( IF(A122="","", VLOOKUP(A122,INDIRECT("'[" &amp;Info!$B$4&amp;"]"&amp;Info!$B$5&amp;"'!$A$6:$D$1000"),3,0)),"")</f>
        <v/>
      </c>
      <c r="D122" s="31" t="str">
        <f ca="1">IF(C122="","", VLOOKUP(A122,INDIRECT("'[" &amp;Info!$B$4&amp;"]"&amp;Info!$B$5&amp;"'!$A$6:$T$1000"),20,0))</f>
        <v/>
      </c>
      <c r="E122" s="6" t="str">
        <f ca="1">IF(D122="","", VLOOKUP(A122,INDIRECT("'[" &amp;Info!$B$4&amp;"]"&amp;Info!$B$5&amp;"'!$A$6:$U$1000"),21,0))</f>
        <v/>
      </c>
      <c r="F122" s="6" t="str">
        <f ca="1">IF(D122="","", VLOOKUP(A122,INDIRECT("'[" &amp;Info!$B$4&amp;"]"&amp;Info!$B$5&amp;"'!$A$6:$U$1000"),21,0))</f>
        <v/>
      </c>
      <c r="G122" s="6" t="str">
        <f ca="1">IF(D122="","", VLOOKUP(A122,INDIRECT("'[" &amp;Info!$B$4&amp;"]"&amp;Info!$B$5&amp;"'!$A$6:$V$1000"),22,0))</f>
        <v/>
      </c>
      <c r="H122" s="6" t="str">
        <f ca="1">IF(D122="","", VLOOKUP(A122,INDIRECT("'[" &amp;Info!$B$4&amp;"]"&amp;Info!$B$5&amp;"'!$A$6:$W$1000"),23,0))</f>
        <v/>
      </c>
      <c r="I122" s="6" t="str">
        <f ca="1">LOWER( IF(D122="","", VLOOKUP(A122,INDIRECT("'[" &amp;Info!$B$4&amp;"]"&amp;Info!$B$5&amp;"'!$A$6:$y$1000"),25,0)))</f>
        <v/>
      </c>
      <c r="J122" s="6" t="str">
        <f ca="1">IF(D122="","", VLOOKUP(A122,INDIRECT("'[" &amp;Info!$B$4&amp;"]"&amp;Info!$B$5&amp;"'!$A$6:$Z$1000"),26,0))</f>
        <v/>
      </c>
      <c r="K122" s="35" t="str">
        <f ca="1">IF(D122="","", VLOOKUP(A122,INDIRECT("'[" &amp;Info!$B$4&amp;"]"&amp;Info!$B$5&amp;"'!$A$6:$AA$1000"),27,0))</f>
        <v/>
      </c>
      <c r="L122" s="35" t="str">
        <f ca="1">IF(D122="","", VLOOKUP(A122,INDIRECT("'[" &amp;Info!$B$4&amp;"]"&amp;Info!$B$5&amp;"'!$A$6:$H$1000"),8,0))</f>
        <v/>
      </c>
      <c r="M122" s="35" t="str">
        <f ca="1">IF(D122="","", VLOOKUP(A122,INDIRECT("'[" &amp;Info!$B$4&amp;"]"&amp;Info!$B$5&amp;"'!$A$6:$F$1000"),6,0))</f>
        <v/>
      </c>
      <c r="N122" s="33" t="str">
        <f ca="1">IF(C122="","", VLOOKUP(A122,INDIRECT("'[" &amp;Info!$B$4&amp;"]"&amp;Info!$B$5&amp;"'!$A$6:$Au$1000"),47,0))</f>
        <v/>
      </c>
      <c r="O122" s="28" t="str">
        <f ca="1">IF(N122="","",IF(N122=0,0,VLOOKUP(A122,INDIRECT("'[" &amp;Info!$B$4&amp;"]"&amp;Info!$B$5&amp;"'!$A$6:$AH$1000"),34,0)))</f>
        <v/>
      </c>
      <c r="P122" s="9" t="str">
        <f ca="1">IF(N122="","",IF(N122=0,0,VLOOKUP(A122,INDIRECT("'[" &amp;Info!$B$4&amp;"]"&amp;Info!$B$5&amp;"'!$A$6:$AW$1000"),49,0)))</f>
        <v/>
      </c>
      <c r="Q122" s="9" t="str">
        <f ca="1">IF(N122="","",IF(N122=0,0, VLOOKUP(A122,INDIRECT("'[" &amp;Info!$B$4&amp;"]"&amp;Info!$B$5&amp;"'!$A$6:$AX$1000"),50,0)))</f>
        <v/>
      </c>
      <c r="R122" s="29" t="str">
        <f ca="1">IF(N122="","",IF(N122=0,0, VLOOKUP(A122,INDIRECT("'[" &amp;Info!$B$4&amp;"]"&amp;Info!$B$5&amp;"'!$A$6:$AY$1000"),51,0)))</f>
        <v/>
      </c>
      <c r="S122" s="15" t="str">
        <f ca="1">IF(N122="","",IF(N122=0,0,VLOOKUP(A122,INDIRECT("'[" &amp;Info!$B$4&amp;"]"&amp;Info!$B$5&amp;"'!$A$6:$Ai$1000"),35,0)))</f>
        <v/>
      </c>
      <c r="T122" s="7" t="str">
        <f ca="1">IF(N122="","",IF(N122=0,0, VLOOKUP(A122,INDIRECT("'[" &amp;Info!$B$4&amp;"]"&amp;Info!$B$5&amp;"'!$A$6:$Az$1000"),52,0)))</f>
        <v/>
      </c>
      <c r="U122" s="7" t="str">
        <f ca="1">IF(N122="","",IF(N122=0,0, VLOOKUP(A122,INDIRECT("'[" &amp;Info!$B$4&amp;"]"&amp;Info!$B$5&amp;"'!$A$6:$BA$1000"),53,0)))</f>
        <v/>
      </c>
      <c r="V122" s="16" t="str">
        <f ca="1">IF(N122="","",IF(N122=0,0, VLOOKUP(A122,INDIRECT("'[" &amp;Info!$B$4&amp;"]"&amp;Info!$B$5&amp;"'!$A$6:$BB$1000"),54,0)))</f>
        <v/>
      </c>
      <c r="W122" s="17" t="str">
        <f t="shared" ca="1" si="5"/>
        <v/>
      </c>
      <c r="X122" s="18" t="str">
        <f t="shared" ca="1" si="6"/>
        <v/>
      </c>
      <c r="Y122" s="19" t="str">
        <f t="shared" ca="1" si="7"/>
        <v/>
      </c>
      <c r="Z122" s="18" t="str">
        <f t="shared" ca="1" si="8"/>
        <v/>
      </c>
    </row>
    <row r="123" spans="1:26" x14ac:dyDescent="0.25">
      <c r="A123" s="8" t="str">
        <f ca="1">IFERROR( VLOOKUP(A122+1,INDIRECT("'[" &amp;Info!$B$4&amp;"]"&amp;Info!$B$5&amp;"'!$A$6:$A$1000"),1,0),"")</f>
        <v/>
      </c>
      <c r="B123" s="5" t="str">
        <f ca="1">IFERROR( IF(A123="","", VLOOKUP(A123,INDIRECT("'[" &amp;Info!$B$4&amp;"]"&amp;Info!$B$5&amp;"'!$A$6:$B$1000"),2,0)),"")</f>
        <v/>
      </c>
      <c r="C123" s="14" t="str">
        <f ca="1">IFERROR( IF(A123="","", VLOOKUP(A123,INDIRECT("'[" &amp;Info!$B$4&amp;"]"&amp;Info!$B$5&amp;"'!$A$6:$D$1000"),3,0)),"")</f>
        <v/>
      </c>
      <c r="D123" s="31" t="str">
        <f ca="1">IF(C123="","", VLOOKUP(A123,INDIRECT("'[" &amp;Info!$B$4&amp;"]"&amp;Info!$B$5&amp;"'!$A$6:$T$1000"),20,0))</f>
        <v/>
      </c>
      <c r="E123" s="6" t="str">
        <f ca="1">IF(D123="","", VLOOKUP(A123,INDIRECT("'[" &amp;Info!$B$4&amp;"]"&amp;Info!$B$5&amp;"'!$A$6:$U$1000"),21,0))</f>
        <v/>
      </c>
      <c r="F123" s="6" t="str">
        <f ca="1">IF(D123="","", VLOOKUP(A123,INDIRECT("'[" &amp;Info!$B$4&amp;"]"&amp;Info!$B$5&amp;"'!$A$6:$U$1000"),21,0))</f>
        <v/>
      </c>
      <c r="G123" s="6" t="str">
        <f ca="1">IF(D123="","", VLOOKUP(A123,INDIRECT("'[" &amp;Info!$B$4&amp;"]"&amp;Info!$B$5&amp;"'!$A$6:$V$1000"),22,0))</f>
        <v/>
      </c>
      <c r="H123" s="6" t="str">
        <f ca="1">IF(D123="","", VLOOKUP(A123,INDIRECT("'[" &amp;Info!$B$4&amp;"]"&amp;Info!$B$5&amp;"'!$A$6:$W$1000"),23,0))</f>
        <v/>
      </c>
      <c r="I123" s="6" t="str">
        <f ca="1">LOWER( IF(D123="","", VLOOKUP(A123,INDIRECT("'[" &amp;Info!$B$4&amp;"]"&amp;Info!$B$5&amp;"'!$A$6:$y$1000"),25,0)))</f>
        <v/>
      </c>
      <c r="J123" s="6" t="str">
        <f ca="1">IF(D123="","", VLOOKUP(A123,INDIRECT("'[" &amp;Info!$B$4&amp;"]"&amp;Info!$B$5&amp;"'!$A$6:$Z$1000"),26,0))</f>
        <v/>
      </c>
      <c r="K123" s="35" t="str">
        <f ca="1">IF(D123="","", VLOOKUP(A123,INDIRECT("'[" &amp;Info!$B$4&amp;"]"&amp;Info!$B$5&amp;"'!$A$6:$AA$1000"),27,0))</f>
        <v/>
      </c>
      <c r="L123" s="35" t="str">
        <f ca="1">IF(D123="","", VLOOKUP(A123,INDIRECT("'[" &amp;Info!$B$4&amp;"]"&amp;Info!$B$5&amp;"'!$A$6:$H$1000"),8,0))</f>
        <v/>
      </c>
      <c r="M123" s="35" t="str">
        <f ca="1">IF(D123="","", VLOOKUP(A123,INDIRECT("'[" &amp;Info!$B$4&amp;"]"&amp;Info!$B$5&amp;"'!$A$6:$F$1000"),6,0))</f>
        <v/>
      </c>
      <c r="N123" s="33" t="str">
        <f ca="1">IF(C123="","", VLOOKUP(A123,INDIRECT("'[" &amp;Info!$B$4&amp;"]"&amp;Info!$B$5&amp;"'!$A$6:$Au$1000"),47,0))</f>
        <v/>
      </c>
      <c r="O123" s="28" t="str">
        <f ca="1">IF(N123="","",IF(N123=0,0,VLOOKUP(A123,INDIRECT("'[" &amp;Info!$B$4&amp;"]"&amp;Info!$B$5&amp;"'!$A$6:$AH$1000"),34,0)))</f>
        <v/>
      </c>
      <c r="P123" s="9" t="str">
        <f ca="1">IF(N123="","",IF(N123=0,0,VLOOKUP(A123,INDIRECT("'[" &amp;Info!$B$4&amp;"]"&amp;Info!$B$5&amp;"'!$A$6:$AW$1000"),49,0)))</f>
        <v/>
      </c>
      <c r="Q123" s="9" t="str">
        <f ca="1">IF(N123="","",IF(N123=0,0, VLOOKUP(A123,INDIRECT("'[" &amp;Info!$B$4&amp;"]"&amp;Info!$B$5&amp;"'!$A$6:$AX$1000"),50,0)))</f>
        <v/>
      </c>
      <c r="R123" s="29" t="str">
        <f ca="1">IF(N123="","",IF(N123=0,0, VLOOKUP(A123,INDIRECT("'[" &amp;Info!$B$4&amp;"]"&amp;Info!$B$5&amp;"'!$A$6:$AY$1000"),51,0)))</f>
        <v/>
      </c>
      <c r="S123" s="15" t="str">
        <f ca="1">IF(N123="","",IF(N123=0,0,VLOOKUP(A123,INDIRECT("'[" &amp;Info!$B$4&amp;"]"&amp;Info!$B$5&amp;"'!$A$6:$Ai$1000"),35,0)))</f>
        <v/>
      </c>
      <c r="T123" s="7" t="str">
        <f ca="1">IF(N123="","",IF(N123=0,0, VLOOKUP(A123,INDIRECT("'[" &amp;Info!$B$4&amp;"]"&amp;Info!$B$5&amp;"'!$A$6:$Az$1000"),52,0)))</f>
        <v/>
      </c>
      <c r="U123" s="7" t="str">
        <f ca="1">IF(N123="","",IF(N123=0,0, VLOOKUP(A123,INDIRECT("'[" &amp;Info!$B$4&amp;"]"&amp;Info!$B$5&amp;"'!$A$6:$BA$1000"),53,0)))</f>
        <v/>
      </c>
      <c r="V123" s="16" t="str">
        <f ca="1">IF(N123="","",IF(N123=0,0, VLOOKUP(A123,INDIRECT("'[" &amp;Info!$B$4&amp;"]"&amp;Info!$B$5&amp;"'!$A$6:$BB$1000"),54,0)))</f>
        <v/>
      </c>
      <c r="W123" s="17" t="str">
        <f t="shared" ca="1" si="5"/>
        <v/>
      </c>
      <c r="X123" s="18" t="str">
        <f t="shared" ca="1" si="6"/>
        <v/>
      </c>
      <c r="Y123" s="19" t="str">
        <f t="shared" ca="1" si="7"/>
        <v/>
      </c>
      <c r="Z123" s="18" t="str">
        <f t="shared" ca="1" si="8"/>
        <v/>
      </c>
    </row>
    <row r="124" spans="1:26" x14ac:dyDescent="0.25">
      <c r="A124" s="8" t="str">
        <f ca="1">IFERROR( VLOOKUP(A123+1,INDIRECT("'[" &amp;Info!$B$4&amp;"]"&amp;Info!$B$5&amp;"'!$A$6:$A$1000"),1,0),"")</f>
        <v/>
      </c>
      <c r="B124" s="5" t="str">
        <f ca="1">IFERROR( IF(A124="","", VLOOKUP(A124,INDIRECT("'[" &amp;Info!$B$4&amp;"]"&amp;Info!$B$5&amp;"'!$A$6:$B$1000"),2,0)),"")</f>
        <v/>
      </c>
      <c r="C124" s="14" t="str">
        <f ca="1">IFERROR( IF(A124="","", VLOOKUP(A124,INDIRECT("'[" &amp;Info!$B$4&amp;"]"&amp;Info!$B$5&amp;"'!$A$6:$D$1000"),3,0)),"")</f>
        <v/>
      </c>
      <c r="D124" s="31" t="str">
        <f ca="1">IF(C124="","", VLOOKUP(A124,INDIRECT("'[" &amp;Info!$B$4&amp;"]"&amp;Info!$B$5&amp;"'!$A$6:$T$1000"),20,0))</f>
        <v/>
      </c>
      <c r="E124" s="6" t="str">
        <f ca="1">IF(D124="","", VLOOKUP(A124,INDIRECT("'[" &amp;Info!$B$4&amp;"]"&amp;Info!$B$5&amp;"'!$A$6:$U$1000"),21,0))</f>
        <v/>
      </c>
      <c r="F124" s="6" t="str">
        <f ca="1">IF(D124="","", VLOOKUP(A124,INDIRECT("'[" &amp;Info!$B$4&amp;"]"&amp;Info!$B$5&amp;"'!$A$6:$U$1000"),21,0))</f>
        <v/>
      </c>
      <c r="G124" s="6" t="str">
        <f ca="1">IF(D124="","", VLOOKUP(A124,INDIRECT("'[" &amp;Info!$B$4&amp;"]"&amp;Info!$B$5&amp;"'!$A$6:$V$1000"),22,0))</f>
        <v/>
      </c>
      <c r="H124" s="6" t="str">
        <f ca="1">IF(D124="","", VLOOKUP(A124,INDIRECT("'[" &amp;Info!$B$4&amp;"]"&amp;Info!$B$5&amp;"'!$A$6:$W$1000"),23,0))</f>
        <v/>
      </c>
      <c r="I124" s="6" t="str">
        <f ca="1">LOWER( IF(D124="","", VLOOKUP(A124,INDIRECT("'[" &amp;Info!$B$4&amp;"]"&amp;Info!$B$5&amp;"'!$A$6:$y$1000"),25,0)))</f>
        <v/>
      </c>
      <c r="J124" s="6" t="str">
        <f ca="1">IF(D124="","", VLOOKUP(A124,INDIRECT("'[" &amp;Info!$B$4&amp;"]"&amp;Info!$B$5&amp;"'!$A$6:$Z$1000"),26,0))</f>
        <v/>
      </c>
      <c r="K124" s="35" t="str">
        <f ca="1">IF(D124="","", VLOOKUP(A124,INDIRECT("'[" &amp;Info!$B$4&amp;"]"&amp;Info!$B$5&amp;"'!$A$6:$AA$1000"),27,0))</f>
        <v/>
      </c>
      <c r="L124" s="35" t="str">
        <f ca="1">IF(D124="","", VLOOKUP(A124,INDIRECT("'[" &amp;Info!$B$4&amp;"]"&amp;Info!$B$5&amp;"'!$A$6:$H$1000"),8,0))</f>
        <v/>
      </c>
      <c r="M124" s="35" t="str">
        <f ca="1">IF(D124="","", VLOOKUP(A124,INDIRECT("'[" &amp;Info!$B$4&amp;"]"&amp;Info!$B$5&amp;"'!$A$6:$F$1000"),6,0))</f>
        <v/>
      </c>
      <c r="N124" s="33" t="str">
        <f ca="1">IF(C124="","", VLOOKUP(A124,INDIRECT("'[" &amp;Info!$B$4&amp;"]"&amp;Info!$B$5&amp;"'!$A$6:$Au$1000"),47,0))</f>
        <v/>
      </c>
      <c r="O124" s="28" t="str">
        <f ca="1">IF(N124="","",IF(N124=0,0,VLOOKUP(A124,INDIRECT("'[" &amp;Info!$B$4&amp;"]"&amp;Info!$B$5&amp;"'!$A$6:$AH$1000"),34,0)))</f>
        <v/>
      </c>
      <c r="P124" s="9" t="str">
        <f ca="1">IF(N124="","",IF(N124=0,0,VLOOKUP(A124,INDIRECT("'[" &amp;Info!$B$4&amp;"]"&amp;Info!$B$5&amp;"'!$A$6:$AW$1000"),49,0)))</f>
        <v/>
      </c>
      <c r="Q124" s="9" t="str">
        <f ca="1">IF(N124="","",IF(N124=0,0, VLOOKUP(A124,INDIRECT("'[" &amp;Info!$B$4&amp;"]"&amp;Info!$B$5&amp;"'!$A$6:$AX$1000"),50,0)))</f>
        <v/>
      </c>
      <c r="R124" s="29" t="str">
        <f ca="1">IF(N124="","",IF(N124=0,0, VLOOKUP(A124,INDIRECT("'[" &amp;Info!$B$4&amp;"]"&amp;Info!$B$5&amp;"'!$A$6:$AY$1000"),51,0)))</f>
        <v/>
      </c>
      <c r="S124" s="15" t="str">
        <f ca="1">IF(N124="","",IF(N124=0,0,VLOOKUP(A124,INDIRECT("'[" &amp;Info!$B$4&amp;"]"&amp;Info!$B$5&amp;"'!$A$6:$Ai$1000"),35,0)))</f>
        <v/>
      </c>
      <c r="T124" s="7" t="str">
        <f ca="1">IF(N124="","",IF(N124=0,0, VLOOKUP(A124,INDIRECT("'[" &amp;Info!$B$4&amp;"]"&amp;Info!$B$5&amp;"'!$A$6:$Az$1000"),52,0)))</f>
        <v/>
      </c>
      <c r="U124" s="7" t="str">
        <f ca="1">IF(N124="","",IF(N124=0,0, VLOOKUP(A124,INDIRECT("'[" &amp;Info!$B$4&amp;"]"&amp;Info!$B$5&amp;"'!$A$6:$BA$1000"),53,0)))</f>
        <v/>
      </c>
      <c r="V124" s="16" t="str">
        <f ca="1">IF(N124="","",IF(N124=0,0, VLOOKUP(A124,INDIRECT("'[" &amp;Info!$B$4&amp;"]"&amp;Info!$B$5&amp;"'!$A$6:$BB$1000"),54,0)))</f>
        <v/>
      </c>
      <c r="W124" s="17" t="str">
        <f t="shared" ca="1" si="5"/>
        <v/>
      </c>
      <c r="X124" s="18" t="str">
        <f t="shared" ca="1" si="6"/>
        <v/>
      </c>
      <c r="Y124" s="19" t="str">
        <f t="shared" ca="1" si="7"/>
        <v/>
      </c>
      <c r="Z124" s="18" t="str">
        <f t="shared" ca="1" si="8"/>
        <v/>
      </c>
    </row>
    <row r="125" spans="1:26" x14ac:dyDescent="0.25">
      <c r="A125" s="8" t="str">
        <f ca="1">IFERROR( VLOOKUP(A124+1,INDIRECT("'[" &amp;Info!$B$4&amp;"]"&amp;Info!$B$5&amp;"'!$A$6:$A$1000"),1,0),"")</f>
        <v/>
      </c>
      <c r="B125" s="5" t="str">
        <f ca="1">IFERROR( IF(A125="","", VLOOKUP(A125,INDIRECT("'[" &amp;Info!$B$4&amp;"]"&amp;Info!$B$5&amp;"'!$A$6:$B$1000"),2,0)),"")</f>
        <v/>
      </c>
      <c r="C125" s="14" t="str">
        <f ca="1">IFERROR( IF(A125="","", VLOOKUP(A125,INDIRECT("'[" &amp;Info!$B$4&amp;"]"&amp;Info!$B$5&amp;"'!$A$6:$D$1000"),3,0)),"")</f>
        <v/>
      </c>
      <c r="D125" s="31" t="str">
        <f ca="1">IF(C125="","", VLOOKUP(A125,INDIRECT("'[" &amp;Info!$B$4&amp;"]"&amp;Info!$B$5&amp;"'!$A$6:$T$1000"),20,0))</f>
        <v/>
      </c>
      <c r="E125" s="6" t="str">
        <f ca="1">IF(D125="","", VLOOKUP(A125,INDIRECT("'[" &amp;Info!$B$4&amp;"]"&amp;Info!$B$5&amp;"'!$A$6:$U$1000"),21,0))</f>
        <v/>
      </c>
      <c r="F125" s="6" t="str">
        <f ca="1">IF(D125="","", VLOOKUP(A125,INDIRECT("'[" &amp;Info!$B$4&amp;"]"&amp;Info!$B$5&amp;"'!$A$6:$U$1000"),21,0))</f>
        <v/>
      </c>
      <c r="G125" s="6" t="str">
        <f ca="1">IF(D125="","", VLOOKUP(A125,INDIRECT("'[" &amp;Info!$B$4&amp;"]"&amp;Info!$B$5&amp;"'!$A$6:$V$1000"),22,0))</f>
        <v/>
      </c>
      <c r="H125" s="6" t="str">
        <f ca="1">IF(D125="","", VLOOKUP(A125,INDIRECT("'[" &amp;Info!$B$4&amp;"]"&amp;Info!$B$5&amp;"'!$A$6:$W$1000"),23,0))</f>
        <v/>
      </c>
      <c r="I125" s="6" t="str">
        <f ca="1">LOWER( IF(D125="","", VLOOKUP(A125,INDIRECT("'[" &amp;Info!$B$4&amp;"]"&amp;Info!$B$5&amp;"'!$A$6:$y$1000"),25,0)))</f>
        <v/>
      </c>
      <c r="J125" s="6" t="str">
        <f ca="1">IF(D125="","", VLOOKUP(A125,INDIRECT("'[" &amp;Info!$B$4&amp;"]"&amp;Info!$B$5&amp;"'!$A$6:$Z$1000"),26,0))</f>
        <v/>
      </c>
      <c r="K125" s="35" t="str">
        <f ca="1">IF(D125="","", VLOOKUP(A125,INDIRECT("'[" &amp;Info!$B$4&amp;"]"&amp;Info!$B$5&amp;"'!$A$6:$AA$1000"),27,0))</f>
        <v/>
      </c>
      <c r="L125" s="35" t="str">
        <f ca="1">IF(D125="","", VLOOKUP(A125,INDIRECT("'[" &amp;Info!$B$4&amp;"]"&amp;Info!$B$5&amp;"'!$A$6:$H$1000"),8,0))</f>
        <v/>
      </c>
      <c r="M125" s="35" t="str">
        <f ca="1">IF(D125="","", VLOOKUP(A125,INDIRECT("'[" &amp;Info!$B$4&amp;"]"&amp;Info!$B$5&amp;"'!$A$6:$F$1000"),6,0))</f>
        <v/>
      </c>
      <c r="N125" s="33" t="str">
        <f ca="1">IF(C125="","", VLOOKUP(A125,INDIRECT("'[" &amp;Info!$B$4&amp;"]"&amp;Info!$B$5&amp;"'!$A$6:$Au$1000"),47,0))</f>
        <v/>
      </c>
      <c r="O125" s="28" t="str">
        <f ca="1">IF(N125="","",IF(N125=0,0,VLOOKUP(A125,INDIRECT("'[" &amp;Info!$B$4&amp;"]"&amp;Info!$B$5&amp;"'!$A$6:$AH$1000"),34,0)))</f>
        <v/>
      </c>
      <c r="P125" s="9" t="str">
        <f ca="1">IF(N125="","",IF(N125=0,0,VLOOKUP(A125,INDIRECT("'[" &amp;Info!$B$4&amp;"]"&amp;Info!$B$5&amp;"'!$A$6:$AW$1000"),49,0)))</f>
        <v/>
      </c>
      <c r="Q125" s="9" t="str">
        <f ca="1">IF(N125="","",IF(N125=0,0, VLOOKUP(A125,INDIRECT("'[" &amp;Info!$B$4&amp;"]"&amp;Info!$B$5&amp;"'!$A$6:$AX$1000"),50,0)))</f>
        <v/>
      </c>
      <c r="R125" s="29" t="str">
        <f ca="1">IF(N125="","",IF(N125=0,0, VLOOKUP(A125,INDIRECT("'[" &amp;Info!$B$4&amp;"]"&amp;Info!$B$5&amp;"'!$A$6:$AY$1000"),51,0)))</f>
        <v/>
      </c>
      <c r="S125" s="15" t="str">
        <f ca="1">IF(N125="","",IF(N125=0,0,VLOOKUP(A125,INDIRECT("'[" &amp;Info!$B$4&amp;"]"&amp;Info!$B$5&amp;"'!$A$6:$Ai$1000"),35,0)))</f>
        <v/>
      </c>
      <c r="T125" s="7" t="str">
        <f ca="1">IF(N125="","",IF(N125=0,0, VLOOKUP(A125,INDIRECT("'[" &amp;Info!$B$4&amp;"]"&amp;Info!$B$5&amp;"'!$A$6:$Az$1000"),52,0)))</f>
        <v/>
      </c>
      <c r="U125" s="7" t="str">
        <f ca="1">IF(N125="","",IF(N125=0,0, VLOOKUP(A125,INDIRECT("'[" &amp;Info!$B$4&amp;"]"&amp;Info!$B$5&amp;"'!$A$6:$BA$1000"),53,0)))</f>
        <v/>
      </c>
      <c r="V125" s="16" t="str">
        <f ca="1">IF(N125="","",IF(N125=0,0, VLOOKUP(A125,INDIRECT("'[" &amp;Info!$B$4&amp;"]"&amp;Info!$B$5&amp;"'!$A$6:$BB$1000"),54,0)))</f>
        <v/>
      </c>
      <c r="W125" s="17" t="str">
        <f t="shared" ca="1" si="5"/>
        <v/>
      </c>
      <c r="X125" s="18" t="str">
        <f t="shared" ca="1" si="6"/>
        <v/>
      </c>
      <c r="Y125" s="19" t="str">
        <f t="shared" ca="1" si="7"/>
        <v/>
      </c>
      <c r="Z125" s="18" t="str">
        <f t="shared" ca="1" si="8"/>
        <v/>
      </c>
    </row>
    <row r="126" spans="1:26" x14ac:dyDescent="0.25">
      <c r="A126" s="8" t="str">
        <f ca="1">IFERROR( VLOOKUP(A125+1,INDIRECT("'[" &amp;Info!$B$4&amp;"]"&amp;Info!$B$5&amp;"'!$A$6:$A$1000"),1,0),"")</f>
        <v/>
      </c>
      <c r="B126" s="5" t="str">
        <f ca="1">IFERROR( IF(A126="","", VLOOKUP(A126,INDIRECT("'[" &amp;Info!$B$4&amp;"]"&amp;Info!$B$5&amp;"'!$A$6:$B$1000"),2,0)),"")</f>
        <v/>
      </c>
      <c r="C126" s="14" t="str">
        <f ca="1">IFERROR( IF(A126="","", VLOOKUP(A126,INDIRECT("'[" &amp;Info!$B$4&amp;"]"&amp;Info!$B$5&amp;"'!$A$6:$D$1000"),3,0)),"")</f>
        <v/>
      </c>
      <c r="D126" s="31" t="str">
        <f ca="1">IF(C126="","", VLOOKUP(A126,INDIRECT("'[" &amp;Info!$B$4&amp;"]"&amp;Info!$B$5&amp;"'!$A$6:$T$1000"),20,0))</f>
        <v/>
      </c>
      <c r="E126" s="6" t="str">
        <f ca="1">IF(D126="","", VLOOKUP(A126,INDIRECT("'[" &amp;Info!$B$4&amp;"]"&amp;Info!$B$5&amp;"'!$A$6:$U$1000"),21,0))</f>
        <v/>
      </c>
      <c r="F126" s="6" t="str">
        <f ca="1">IF(D126="","", VLOOKUP(A126,INDIRECT("'[" &amp;Info!$B$4&amp;"]"&amp;Info!$B$5&amp;"'!$A$6:$U$1000"),21,0))</f>
        <v/>
      </c>
      <c r="G126" s="6" t="str">
        <f ca="1">IF(D126="","", VLOOKUP(A126,INDIRECT("'[" &amp;Info!$B$4&amp;"]"&amp;Info!$B$5&amp;"'!$A$6:$V$1000"),22,0))</f>
        <v/>
      </c>
      <c r="H126" s="6" t="str">
        <f ca="1">IF(D126="","", VLOOKUP(A126,INDIRECT("'[" &amp;Info!$B$4&amp;"]"&amp;Info!$B$5&amp;"'!$A$6:$W$1000"),23,0))</f>
        <v/>
      </c>
      <c r="I126" s="6" t="str">
        <f ca="1">LOWER( IF(D126="","", VLOOKUP(A126,INDIRECT("'[" &amp;Info!$B$4&amp;"]"&amp;Info!$B$5&amp;"'!$A$6:$y$1000"),25,0)))</f>
        <v/>
      </c>
      <c r="J126" s="6" t="str">
        <f ca="1">IF(D126="","", VLOOKUP(A126,INDIRECT("'[" &amp;Info!$B$4&amp;"]"&amp;Info!$B$5&amp;"'!$A$6:$Z$1000"),26,0))</f>
        <v/>
      </c>
      <c r="K126" s="35" t="str">
        <f ca="1">IF(D126="","", VLOOKUP(A126,INDIRECT("'[" &amp;Info!$B$4&amp;"]"&amp;Info!$B$5&amp;"'!$A$6:$AA$1000"),27,0))</f>
        <v/>
      </c>
      <c r="L126" s="35" t="str">
        <f ca="1">IF(D126="","", VLOOKUP(A126,INDIRECT("'[" &amp;Info!$B$4&amp;"]"&amp;Info!$B$5&amp;"'!$A$6:$H$1000"),8,0))</f>
        <v/>
      </c>
      <c r="M126" s="35" t="str">
        <f ca="1">IF(D126="","", VLOOKUP(A126,INDIRECT("'[" &amp;Info!$B$4&amp;"]"&amp;Info!$B$5&amp;"'!$A$6:$F$1000"),6,0))</f>
        <v/>
      </c>
      <c r="N126" s="33" t="str">
        <f ca="1">IF(C126="","", VLOOKUP(A126,INDIRECT("'[" &amp;Info!$B$4&amp;"]"&amp;Info!$B$5&amp;"'!$A$6:$Au$1000"),47,0))</f>
        <v/>
      </c>
      <c r="O126" s="28" t="str">
        <f ca="1">IF(N126="","",IF(N126=0,0,VLOOKUP(A126,INDIRECT("'[" &amp;Info!$B$4&amp;"]"&amp;Info!$B$5&amp;"'!$A$6:$AH$1000"),34,0)))</f>
        <v/>
      </c>
      <c r="P126" s="9" t="str">
        <f ca="1">IF(N126="","",IF(N126=0,0,VLOOKUP(A126,INDIRECT("'[" &amp;Info!$B$4&amp;"]"&amp;Info!$B$5&amp;"'!$A$6:$AW$1000"),49,0)))</f>
        <v/>
      </c>
      <c r="Q126" s="9" t="str">
        <f ca="1">IF(N126="","",IF(N126=0,0, VLOOKUP(A126,INDIRECT("'[" &amp;Info!$B$4&amp;"]"&amp;Info!$B$5&amp;"'!$A$6:$AX$1000"),50,0)))</f>
        <v/>
      </c>
      <c r="R126" s="29" t="str">
        <f ca="1">IF(N126="","",IF(N126=0,0, VLOOKUP(A126,INDIRECT("'[" &amp;Info!$B$4&amp;"]"&amp;Info!$B$5&amp;"'!$A$6:$AY$1000"),51,0)))</f>
        <v/>
      </c>
      <c r="S126" s="15" t="str">
        <f ca="1">IF(N126="","",IF(N126=0,0,VLOOKUP(A126,INDIRECT("'[" &amp;Info!$B$4&amp;"]"&amp;Info!$B$5&amp;"'!$A$6:$Ai$1000"),35,0)))</f>
        <v/>
      </c>
      <c r="T126" s="7" t="str">
        <f ca="1">IF(N126="","",IF(N126=0,0, VLOOKUP(A126,INDIRECT("'[" &amp;Info!$B$4&amp;"]"&amp;Info!$B$5&amp;"'!$A$6:$Az$1000"),52,0)))</f>
        <v/>
      </c>
      <c r="U126" s="7" t="str">
        <f ca="1">IF(N126="","",IF(N126=0,0, VLOOKUP(A126,INDIRECT("'[" &amp;Info!$B$4&amp;"]"&amp;Info!$B$5&amp;"'!$A$6:$BA$1000"),53,0)))</f>
        <v/>
      </c>
      <c r="V126" s="16" t="str">
        <f ca="1">IF(N126="","",IF(N126=0,0, VLOOKUP(A126,INDIRECT("'[" &amp;Info!$B$4&amp;"]"&amp;Info!$B$5&amp;"'!$A$6:$BB$1000"),54,0)))</f>
        <v/>
      </c>
      <c r="W126" s="17" t="str">
        <f t="shared" ca="1" si="5"/>
        <v/>
      </c>
      <c r="X126" s="18" t="str">
        <f t="shared" ca="1" si="6"/>
        <v/>
      </c>
      <c r="Y126" s="19" t="str">
        <f t="shared" ca="1" si="7"/>
        <v/>
      </c>
      <c r="Z126" s="18" t="str">
        <f t="shared" ca="1" si="8"/>
        <v/>
      </c>
    </row>
    <row r="127" spans="1:26" x14ac:dyDescent="0.25">
      <c r="A127" s="8" t="str">
        <f ca="1">IFERROR( VLOOKUP(A126+1,INDIRECT("'[" &amp;Info!$B$4&amp;"]"&amp;Info!$B$5&amp;"'!$A$6:$A$1000"),1,0),"")</f>
        <v/>
      </c>
      <c r="B127" s="5" t="str">
        <f ca="1">IFERROR( IF(A127="","", VLOOKUP(A127,INDIRECT("'[" &amp;Info!$B$4&amp;"]"&amp;Info!$B$5&amp;"'!$A$6:$B$1000"),2,0)),"")</f>
        <v/>
      </c>
      <c r="C127" s="14" t="str">
        <f ca="1">IFERROR( IF(A127="","", VLOOKUP(A127,INDIRECT("'[" &amp;Info!$B$4&amp;"]"&amp;Info!$B$5&amp;"'!$A$6:$D$1000"),3,0)),"")</f>
        <v/>
      </c>
      <c r="D127" s="31" t="str">
        <f ca="1">IF(C127="","", VLOOKUP(A127,INDIRECT("'[" &amp;Info!$B$4&amp;"]"&amp;Info!$B$5&amp;"'!$A$6:$T$1000"),20,0))</f>
        <v/>
      </c>
      <c r="E127" s="6" t="str">
        <f ca="1">IF(D127="","", VLOOKUP(A127,INDIRECT("'[" &amp;Info!$B$4&amp;"]"&amp;Info!$B$5&amp;"'!$A$6:$U$1000"),21,0))</f>
        <v/>
      </c>
      <c r="F127" s="6" t="str">
        <f ca="1">IF(D127="","", VLOOKUP(A127,INDIRECT("'[" &amp;Info!$B$4&amp;"]"&amp;Info!$B$5&amp;"'!$A$6:$U$1000"),21,0))</f>
        <v/>
      </c>
      <c r="G127" s="6" t="str">
        <f ca="1">IF(D127="","", VLOOKUP(A127,INDIRECT("'[" &amp;Info!$B$4&amp;"]"&amp;Info!$B$5&amp;"'!$A$6:$V$1000"),22,0))</f>
        <v/>
      </c>
      <c r="H127" s="6" t="str">
        <f ca="1">IF(D127="","", VLOOKUP(A127,INDIRECT("'[" &amp;Info!$B$4&amp;"]"&amp;Info!$B$5&amp;"'!$A$6:$W$1000"),23,0))</f>
        <v/>
      </c>
      <c r="I127" s="6" t="str">
        <f ca="1">LOWER( IF(D127="","", VLOOKUP(A127,INDIRECT("'[" &amp;Info!$B$4&amp;"]"&amp;Info!$B$5&amp;"'!$A$6:$y$1000"),25,0)))</f>
        <v/>
      </c>
      <c r="J127" s="6" t="str">
        <f ca="1">IF(D127="","", VLOOKUP(A127,INDIRECT("'[" &amp;Info!$B$4&amp;"]"&amp;Info!$B$5&amp;"'!$A$6:$Z$1000"),26,0))</f>
        <v/>
      </c>
      <c r="K127" s="35" t="str">
        <f ca="1">IF(D127="","", VLOOKUP(A127,INDIRECT("'[" &amp;Info!$B$4&amp;"]"&amp;Info!$B$5&amp;"'!$A$6:$AA$1000"),27,0))</f>
        <v/>
      </c>
      <c r="L127" s="35" t="str">
        <f ca="1">IF(D127="","", VLOOKUP(A127,INDIRECT("'[" &amp;Info!$B$4&amp;"]"&amp;Info!$B$5&amp;"'!$A$6:$H$1000"),8,0))</f>
        <v/>
      </c>
      <c r="M127" s="35" t="str">
        <f ca="1">IF(D127="","", VLOOKUP(A127,INDIRECT("'[" &amp;Info!$B$4&amp;"]"&amp;Info!$B$5&amp;"'!$A$6:$F$1000"),6,0))</f>
        <v/>
      </c>
      <c r="N127" s="33" t="str">
        <f ca="1">IF(C127="","", VLOOKUP(A127,INDIRECT("'[" &amp;Info!$B$4&amp;"]"&amp;Info!$B$5&amp;"'!$A$6:$Au$1000"),47,0))</f>
        <v/>
      </c>
      <c r="O127" s="28" t="str">
        <f ca="1">IF(N127="","",IF(N127=0,0,VLOOKUP(A127,INDIRECT("'[" &amp;Info!$B$4&amp;"]"&amp;Info!$B$5&amp;"'!$A$6:$AH$1000"),34,0)))</f>
        <v/>
      </c>
      <c r="P127" s="9" t="str">
        <f ca="1">IF(N127="","",IF(N127=0,0,VLOOKUP(A127,INDIRECT("'[" &amp;Info!$B$4&amp;"]"&amp;Info!$B$5&amp;"'!$A$6:$AW$1000"),49,0)))</f>
        <v/>
      </c>
      <c r="Q127" s="9" t="str">
        <f ca="1">IF(N127="","",IF(N127=0,0, VLOOKUP(A127,INDIRECT("'[" &amp;Info!$B$4&amp;"]"&amp;Info!$B$5&amp;"'!$A$6:$AX$1000"),50,0)))</f>
        <v/>
      </c>
      <c r="R127" s="29" t="str">
        <f ca="1">IF(N127="","",IF(N127=0,0, VLOOKUP(A127,INDIRECT("'[" &amp;Info!$B$4&amp;"]"&amp;Info!$B$5&amp;"'!$A$6:$AY$1000"),51,0)))</f>
        <v/>
      </c>
      <c r="S127" s="15" t="str">
        <f ca="1">IF(N127="","",IF(N127=0,0,VLOOKUP(A127,INDIRECT("'[" &amp;Info!$B$4&amp;"]"&amp;Info!$B$5&amp;"'!$A$6:$Ai$1000"),35,0)))</f>
        <v/>
      </c>
      <c r="T127" s="7" t="str">
        <f ca="1">IF(N127="","",IF(N127=0,0, VLOOKUP(A127,INDIRECT("'[" &amp;Info!$B$4&amp;"]"&amp;Info!$B$5&amp;"'!$A$6:$Az$1000"),52,0)))</f>
        <v/>
      </c>
      <c r="U127" s="7" t="str">
        <f ca="1">IF(N127="","",IF(N127=0,0, VLOOKUP(A127,INDIRECT("'[" &amp;Info!$B$4&amp;"]"&amp;Info!$B$5&amp;"'!$A$6:$BA$1000"),53,0)))</f>
        <v/>
      </c>
      <c r="V127" s="16" t="str">
        <f ca="1">IF(N127="","",IF(N127=0,0, VLOOKUP(A127,INDIRECT("'[" &amp;Info!$B$4&amp;"]"&amp;Info!$B$5&amp;"'!$A$6:$BB$1000"),54,0)))</f>
        <v/>
      </c>
      <c r="W127" s="17" t="str">
        <f t="shared" ca="1" si="5"/>
        <v/>
      </c>
      <c r="X127" s="18" t="str">
        <f t="shared" ca="1" si="6"/>
        <v/>
      </c>
      <c r="Y127" s="19" t="str">
        <f t="shared" ca="1" si="7"/>
        <v/>
      </c>
      <c r="Z127" s="18" t="str">
        <f t="shared" ca="1" si="8"/>
        <v/>
      </c>
    </row>
    <row r="128" spans="1:26" x14ac:dyDescent="0.25">
      <c r="A128" s="8" t="str">
        <f ca="1">IFERROR( VLOOKUP(A127+1,INDIRECT("'[" &amp;Info!$B$4&amp;"]"&amp;Info!$B$5&amp;"'!$A$6:$A$1000"),1,0),"")</f>
        <v/>
      </c>
      <c r="B128" s="5" t="str">
        <f ca="1">IFERROR( IF(A128="","", VLOOKUP(A128,INDIRECT("'[" &amp;Info!$B$4&amp;"]"&amp;Info!$B$5&amp;"'!$A$6:$B$1000"),2,0)),"")</f>
        <v/>
      </c>
      <c r="C128" s="14" t="str">
        <f ca="1">IFERROR( IF(A128="","", VLOOKUP(A128,INDIRECT("'[" &amp;Info!$B$4&amp;"]"&amp;Info!$B$5&amp;"'!$A$6:$D$1000"),3,0)),"")</f>
        <v/>
      </c>
      <c r="D128" s="31" t="str">
        <f ca="1">IF(C128="","", VLOOKUP(A128,INDIRECT("'[" &amp;Info!$B$4&amp;"]"&amp;Info!$B$5&amp;"'!$A$6:$T$1000"),20,0))</f>
        <v/>
      </c>
      <c r="E128" s="6" t="str">
        <f ca="1">IF(D128="","", VLOOKUP(A128,INDIRECT("'[" &amp;Info!$B$4&amp;"]"&amp;Info!$B$5&amp;"'!$A$6:$U$1000"),21,0))</f>
        <v/>
      </c>
      <c r="F128" s="6" t="str">
        <f ca="1">IF(D128="","", VLOOKUP(A128,INDIRECT("'[" &amp;Info!$B$4&amp;"]"&amp;Info!$B$5&amp;"'!$A$6:$U$1000"),21,0))</f>
        <v/>
      </c>
      <c r="G128" s="6" t="str">
        <f ca="1">IF(D128="","", VLOOKUP(A128,INDIRECT("'[" &amp;Info!$B$4&amp;"]"&amp;Info!$B$5&amp;"'!$A$6:$V$1000"),22,0))</f>
        <v/>
      </c>
      <c r="H128" s="6" t="str">
        <f ca="1">IF(D128="","", VLOOKUP(A128,INDIRECT("'[" &amp;Info!$B$4&amp;"]"&amp;Info!$B$5&amp;"'!$A$6:$W$1000"),23,0))</f>
        <v/>
      </c>
      <c r="I128" s="6" t="str">
        <f ca="1">LOWER( IF(D128="","", VLOOKUP(A128,INDIRECT("'[" &amp;Info!$B$4&amp;"]"&amp;Info!$B$5&amp;"'!$A$6:$y$1000"),25,0)))</f>
        <v/>
      </c>
      <c r="J128" s="6" t="str">
        <f ca="1">IF(D128="","", VLOOKUP(A128,INDIRECT("'[" &amp;Info!$B$4&amp;"]"&amp;Info!$B$5&amp;"'!$A$6:$Z$1000"),26,0))</f>
        <v/>
      </c>
      <c r="K128" s="35" t="str">
        <f ca="1">IF(D128="","", VLOOKUP(A128,INDIRECT("'[" &amp;Info!$B$4&amp;"]"&amp;Info!$B$5&amp;"'!$A$6:$AA$1000"),27,0))</f>
        <v/>
      </c>
      <c r="L128" s="35" t="str">
        <f ca="1">IF(D128="","", VLOOKUP(A128,INDIRECT("'[" &amp;Info!$B$4&amp;"]"&amp;Info!$B$5&amp;"'!$A$6:$H$1000"),8,0))</f>
        <v/>
      </c>
      <c r="M128" s="35" t="str">
        <f ca="1">IF(D128="","", VLOOKUP(A128,INDIRECT("'[" &amp;Info!$B$4&amp;"]"&amp;Info!$B$5&amp;"'!$A$6:$F$1000"),6,0))</f>
        <v/>
      </c>
      <c r="N128" s="33" t="str">
        <f ca="1">IF(C128="","", VLOOKUP(A128,INDIRECT("'[" &amp;Info!$B$4&amp;"]"&amp;Info!$B$5&amp;"'!$A$6:$Au$1000"),47,0))</f>
        <v/>
      </c>
      <c r="O128" s="28" t="str">
        <f ca="1">IF(N128="","",IF(N128=0,0,VLOOKUP(A128,INDIRECT("'[" &amp;Info!$B$4&amp;"]"&amp;Info!$B$5&amp;"'!$A$6:$AH$1000"),34,0)))</f>
        <v/>
      </c>
      <c r="P128" s="9" t="str">
        <f ca="1">IF(N128="","",IF(N128=0,0,VLOOKUP(A128,INDIRECT("'[" &amp;Info!$B$4&amp;"]"&amp;Info!$B$5&amp;"'!$A$6:$AW$1000"),49,0)))</f>
        <v/>
      </c>
      <c r="Q128" s="9" t="str">
        <f ca="1">IF(N128="","",IF(N128=0,0, VLOOKUP(A128,INDIRECT("'[" &amp;Info!$B$4&amp;"]"&amp;Info!$B$5&amp;"'!$A$6:$AX$1000"),50,0)))</f>
        <v/>
      </c>
      <c r="R128" s="29" t="str">
        <f ca="1">IF(N128="","",IF(N128=0,0, VLOOKUP(A128,INDIRECT("'[" &amp;Info!$B$4&amp;"]"&amp;Info!$B$5&amp;"'!$A$6:$AY$1000"),51,0)))</f>
        <v/>
      </c>
      <c r="S128" s="15" t="str">
        <f ca="1">IF(N128="","",IF(N128=0,0,VLOOKUP(A128,INDIRECT("'[" &amp;Info!$B$4&amp;"]"&amp;Info!$B$5&amp;"'!$A$6:$Ai$1000"),35,0)))</f>
        <v/>
      </c>
      <c r="T128" s="7" t="str">
        <f ca="1">IF(N128="","",IF(N128=0,0, VLOOKUP(A128,INDIRECT("'[" &amp;Info!$B$4&amp;"]"&amp;Info!$B$5&amp;"'!$A$6:$Az$1000"),52,0)))</f>
        <v/>
      </c>
      <c r="U128" s="7" t="str">
        <f ca="1">IF(N128="","",IF(N128=0,0, VLOOKUP(A128,INDIRECT("'[" &amp;Info!$B$4&amp;"]"&amp;Info!$B$5&amp;"'!$A$6:$BA$1000"),53,0)))</f>
        <v/>
      </c>
      <c r="V128" s="16" t="str">
        <f ca="1">IF(N128="","",IF(N128=0,0, VLOOKUP(A128,INDIRECT("'[" &amp;Info!$B$4&amp;"]"&amp;Info!$B$5&amp;"'!$A$6:$BB$1000"),54,0)))</f>
        <v/>
      </c>
      <c r="W128" s="17" t="str">
        <f t="shared" ca="1" si="5"/>
        <v/>
      </c>
      <c r="X128" s="18" t="str">
        <f t="shared" ca="1" si="6"/>
        <v/>
      </c>
      <c r="Y128" s="19" t="str">
        <f t="shared" ca="1" si="7"/>
        <v/>
      </c>
      <c r="Z128" s="18" t="str">
        <f t="shared" ca="1" si="8"/>
        <v/>
      </c>
    </row>
    <row r="129" spans="1:26" x14ac:dyDescent="0.25">
      <c r="A129" s="8" t="str">
        <f ca="1">IFERROR( VLOOKUP(A128+1,INDIRECT("'[" &amp;Info!$B$4&amp;"]"&amp;Info!$B$5&amp;"'!$A$6:$A$1000"),1,0),"")</f>
        <v/>
      </c>
      <c r="B129" s="5" t="str">
        <f ca="1">IFERROR( IF(A129="","", VLOOKUP(A129,INDIRECT("'[" &amp;Info!$B$4&amp;"]"&amp;Info!$B$5&amp;"'!$A$6:$B$1000"),2,0)),"")</f>
        <v/>
      </c>
      <c r="C129" s="14" t="str">
        <f ca="1">IFERROR( IF(A129="","", VLOOKUP(A129,INDIRECT("'[" &amp;Info!$B$4&amp;"]"&amp;Info!$B$5&amp;"'!$A$6:$D$1000"),3,0)),"")</f>
        <v/>
      </c>
      <c r="D129" s="31" t="str">
        <f ca="1">IF(C129="","", VLOOKUP(A129,INDIRECT("'[" &amp;Info!$B$4&amp;"]"&amp;Info!$B$5&amp;"'!$A$6:$T$1000"),20,0))</f>
        <v/>
      </c>
      <c r="E129" s="6" t="str">
        <f ca="1">IF(D129="","", VLOOKUP(A129,INDIRECT("'[" &amp;Info!$B$4&amp;"]"&amp;Info!$B$5&amp;"'!$A$6:$U$1000"),21,0))</f>
        <v/>
      </c>
      <c r="F129" s="6" t="str">
        <f ca="1">IF(D129="","", VLOOKUP(A129,INDIRECT("'[" &amp;Info!$B$4&amp;"]"&amp;Info!$B$5&amp;"'!$A$6:$U$1000"),21,0))</f>
        <v/>
      </c>
      <c r="G129" s="6" t="str">
        <f ca="1">IF(D129="","", VLOOKUP(A129,INDIRECT("'[" &amp;Info!$B$4&amp;"]"&amp;Info!$B$5&amp;"'!$A$6:$V$1000"),22,0))</f>
        <v/>
      </c>
      <c r="H129" s="6" t="str">
        <f ca="1">IF(D129="","", VLOOKUP(A129,INDIRECT("'[" &amp;Info!$B$4&amp;"]"&amp;Info!$B$5&amp;"'!$A$6:$W$1000"),23,0))</f>
        <v/>
      </c>
      <c r="I129" s="6" t="str">
        <f ca="1">LOWER( IF(D129="","", VLOOKUP(A129,INDIRECT("'[" &amp;Info!$B$4&amp;"]"&amp;Info!$B$5&amp;"'!$A$6:$y$1000"),25,0)))</f>
        <v/>
      </c>
      <c r="J129" s="6" t="str">
        <f ca="1">IF(D129="","", VLOOKUP(A129,INDIRECT("'[" &amp;Info!$B$4&amp;"]"&amp;Info!$B$5&amp;"'!$A$6:$Z$1000"),26,0))</f>
        <v/>
      </c>
      <c r="K129" s="35" t="str">
        <f ca="1">IF(D129="","", VLOOKUP(A129,INDIRECT("'[" &amp;Info!$B$4&amp;"]"&amp;Info!$B$5&amp;"'!$A$6:$AA$1000"),27,0))</f>
        <v/>
      </c>
      <c r="L129" s="35" t="str">
        <f ca="1">IF(D129="","", VLOOKUP(A129,INDIRECT("'[" &amp;Info!$B$4&amp;"]"&amp;Info!$B$5&amp;"'!$A$6:$H$1000"),8,0))</f>
        <v/>
      </c>
      <c r="M129" s="35" t="str">
        <f ca="1">IF(D129="","", VLOOKUP(A129,INDIRECT("'[" &amp;Info!$B$4&amp;"]"&amp;Info!$B$5&amp;"'!$A$6:$F$1000"),6,0))</f>
        <v/>
      </c>
      <c r="N129" s="33" t="str">
        <f ca="1">IF(C129="","", VLOOKUP(A129,INDIRECT("'[" &amp;Info!$B$4&amp;"]"&amp;Info!$B$5&amp;"'!$A$6:$Au$1000"),47,0))</f>
        <v/>
      </c>
      <c r="O129" s="28" t="str">
        <f ca="1">IF(N129="","",IF(N129=0,0,VLOOKUP(A129,INDIRECT("'[" &amp;Info!$B$4&amp;"]"&amp;Info!$B$5&amp;"'!$A$6:$AH$1000"),34,0)))</f>
        <v/>
      </c>
      <c r="P129" s="9" t="str">
        <f ca="1">IF(N129="","",IF(N129=0,0,VLOOKUP(A129,INDIRECT("'[" &amp;Info!$B$4&amp;"]"&amp;Info!$B$5&amp;"'!$A$6:$AW$1000"),49,0)))</f>
        <v/>
      </c>
      <c r="Q129" s="9" t="str">
        <f ca="1">IF(N129="","",IF(N129=0,0, VLOOKUP(A129,INDIRECT("'[" &amp;Info!$B$4&amp;"]"&amp;Info!$B$5&amp;"'!$A$6:$AX$1000"),50,0)))</f>
        <v/>
      </c>
      <c r="R129" s="29" t="str">
        <f ca="1">IF(N129="","",IF(N129=0,0, VLOOKUP(A129,INDIRECT("'[" &amp;Info!$B$4&amp;"]"&amp;Info!$B$5&amp;"'!$A$6:$AY$1000"),51,0)))</f>
        <v/>
      </c>
      <c r="S129" s="15" t="str">
        <f ca="1">IF(N129="","",IF(N129=0,0,VLOOKUP(A129,INDIRECT("'[" &amp;Info!$B$4&amp;"]"&amp;Info!$B$5&amp;"'!$A$6:$Ai$1000"),35,0)))</f>
        <v/>
      </c>
      <c r="T129" s="7" t="str">
        <f ca="1">IF(N129="","",IF(N129=0,0, VLOOKUP(A129,INDIRECT("'[" &amp;Info!$B$4&amp;"]"&amp;Info!$B$5&amp;"'!$A$6:$Az$1000"),52,0)))</f>
        <v/>
      </c>
      <c r="U129" s="7" t="str">
        <f ca="1">IF(N129="","",IF(N129=0,0, VLOOKUP(A129,INDIRECT("'[" &amp;Info!$B$4&amp;"]"&amp;Info!$B$5&amp;"'!$A$6:$BA$1000"),53,0)))</f>
        <v/>
      </c>
      <c r="V129" s="16" t="str">
        <f ca="1">IF(N129="","",IF(N129=0,0, VLOOKUP(A129,INDIRECT("'[" &amp;Info!$B$4&amp;"]"&amp;Info!$B$5&amp;"'!$A$6:$BB$1000"),54,0)))</f>
        <v/>
      </c>
      <c r="W129" s="17" t="str">
        <f t="shared" ca="1" si="5"/>
        <v/>
      </c>
      <c r="X129" s="18" t="str">
        <f t="shared" ca="1" si="6"/>
        <v/>
      </c>
      <c r="Y129" s="19" t="str">
        <f t="shared" ca="1" si="7"/>
        <v/>
      </c>
      <c r="Z129" s="18" t="str">
        <f t="shared" ca="1" si="8"/>
        <v/>
      </c>
    </row>
    <row r="130" spans="1:26" x14ac:dyDescent="0.25">
      <c r="A130" s="8" t="str">
        <f ca="1">IFERROR( VLOOKUP(A129+1,INDIRECT("'[" &amp;Info!$B$4&amp;"]"&amp;Info!$B$5&amp;"'!$A$6:$A$1000"),1,0),"")</f>
        <v/>
      </c>
      <c r="B130" s="5" t="str">
        <f ca="1">IFERROR( IF(A130="","", VLOOKUP(A130,INDIRECT("'[" &amp;Info!$B$4&amp;"]"&amp;Info!$B$5&amp;"'!$A$6:$B$1000"),2,0)),"")</f>
        <v/>
      </c>
      <c r="C130" s="14" t="str">
        <f ca="1">IFERROR( IF(A130="","", VLOOKUP(A130,INDIRECT("'[" &amp;Info!$B$4&amp;"]"&amp;Info!$B$5&amp;"'!$A$6:$D$1000"),3,0)),"")</f>
        <v/>
      </c>
      <c r="D130" s="31" t="str">
        <f ca="1">IF(C130="","", VLOOKUP(A130,INDIRECT("'[" &amp;Info!$B$4&amp;"]"&amp;Info!$B$5&amp;"'!$A$6:$T$1000"),20,0))</f>
        <v/>
      </c>
      <c r="E130" s="6" t="str">
        <f ca="1">IF(D130="","", VLOOKUP(A130,INDIRECT("'[" &amp;Info!$B$4&amp;"]"&amp;Info!$B$5&amp;"'!$A$6:$U$1000"),21,0))</f>
        <v/>
      </c>
      <c r="F130" s="6" t="str">
        <f ca="1">IF(D130="","", VLOOKUP(A130,INDIRECT("'[" &amp;Info!$B$4&amp;"]"&amp;Info!$B$5&amp;"'!$A$6:$U$1000"),21,0))</f>
        <v/>
      </c>
      <c r="G130" s="6" t="str">
        <f ca="1">IF(D130="","", VLOOKUP(A130,INDIRECT("'[" &amp;Info!$B$4&amp;"]"&amp;Info!$B$5&amp;"'!$A$6:$V$1000"),22,0))</f>
        <v/>
      </c>
      <c r="H130" s="6" t="str">
        <f ca="1">IF(D130="","", VLOOKUP(A130,INDIRECT("'[" &amp;Info!$B$4&amp;"]"&amp;Info!$B$5&amp;"'!$A$6:$W$1000"),23,0))</f>
        <v/>
      </c>
      <c r="I130" s="6" t="str">
        <f ca="1">LOWER( IF(D130="","", VLOOKUP(A130,INDIRECT("'[" &amp;Info!$B$4&amp;"]"&amp;Info!$B$5&amp;"'!$A$6:$y$1000"),25,0)))</f>
        <v/>
      </c>
      <c r="J130" s="6" t="str">
        <f ca="1">IF(D130="","", VLOOKUP(A130,INDIRECT("'[" &amp;Info!$B$4&amp;"]"&amp;Info!$B$5&amp;"'!$A$6:$Z$1000"),26,0))</f>
        <v/>
      </c>
      <c r="K130" s="35" t="str">
        <f ca="1">IF(D130="","", VLOOKUP(A130,INDIRECT("'[" &amp;Info!$B$4&amp;"]"&amp;Info!$B$5&amp;"'!$A$6:$AA$1000"),27,0))</f>
        <v/>
      </c>
      <c r="L130" s="35" t="str">
        <f ca="1">IF(D130="","", VLOOKUP(A130,INDIRECT("'[" &amp;Info!$B$4&amp;"]"&amp;Info!$B$5&amp;"'!$A$6:$H$1000"),8,0))</f>
        <v/>
      </c>
      <c r="M130" s="35" t="str">
        <f ca="1">IF(D130="","", VLOOKUP(A130,INDIRECT("'[" &amp;Info!$B$4&amp;"]"&amp;Info!$B$5&amp;"'!$A$6:$F$1000"),6,0))</f>
        <v/>
      </c>
      <c r="N130" s="33" t="str">
        <f ca="1">IF(C130="","", VLOOKUP(A130,INDIRECT("'[" &amp;Info!$B$4&amp;"]"&amp;Info!$B$5&amp;"'!$A$6:$Au$1000"),47,0))</f>
        <v/>
      </c>
      <c r="O130" s="28" t="str">
        <f ca="1">IF(N130="","",IF(N130=0,0,VLOOKUP(A130,INDIRECT("'[" &amp;Info!$B$4&amp;"]"&amp;Info!$B$5&amp;"'!$A$6:$AH$1000"),34,0)))</f>
        <v/>
      </c>
      <c r="P130" s="9" t="str">
        <f ca="1">IF(N130="","",IF(N130=0,0,VLOOKUP(A130,INDIRECT("'[" &amp;Info!$B$4&amp;"]"&amp;Info!$B$5&amp;"'!$A$6:$AW$1000"),49,0)))</f>
        <v/>
      </c>
      <c r="Q130" s="9" t="str">
        <f ca="1">IF(N130="","",IF(N130=0,0, VLOOKUP(A130,INDIRECT("'[" &amp;Info!$B$4&amp;"]"&amp;Info!$B$5&amp;"'!$A$6:$AX$1000"),50,0)))</f>
        <v/>
      </c>
      <c r="R130" s="29" t="str">
        <f ca="1">IF(N130="","",IF(N130=0,0, VLOOKUP(A130,INDIRECT("'[" &amp;Info!$B$4&amp;"]"&amp;Info!$B$5&amp;"'!$A$6:$AY$1000"),51,0)))</f>
        <v/>
      </c>
      <c r="S130" s="15" t="str">
        <f ca="1">IF(N130="","",IF(N130=0,0,VLOOKUP(A130,INDIRECT("'[" &amp;Info!$B$4&amp;"]"&amp;Info!$B$5&amp;"'!$A$6:$Ai$1000"),35,0)))</f>
        <v/>
      </c>
      <c r="T130" s="7" t="str">
        <f ca="1">IF(N130="","",IF(N130=0,0, VLOOKUP(A130,INDIRECT("'[" &amp;Info!$B$4&amp;"]"&amp;Info!$B$5&amp;"'!$A$6:$Az$1000"),52,0)))</f>
        <v/>
      </c>
      <c r="U130" s="7" t="str">
        <f ca="1">IF(N130="","",IF(N130=0,0, VLOOKUP(A130,INDIRECT("'[" &amp;Info!$B$4&amp;"]"&amp;Info!$B$5&amp;"'!$A$6:$BA$1000"),53,0)))</f>
        <v/>
      </c>
      <c r="V130" s="16" t="str">
        <f ca="1">IF(N130="","",IF(N130=0,0, VLOOKUP(A130,INDIRECT("'[" &amp;Info!$B$4&amp;"]"&amp;Info!$B$5&amp;"'!$A$6:$BB$1000"),54,0)))</f>
        <v/>
      </c>
      <c r="W130" s="17" t="str">
        <f t="shared" ca="1" si="5"/>
        <v/>
      </c>
      <c r="X130" s="18" t="str">
        <f t="shared" ca="1" si="6"/>
        <v/>
      </c>
      <c r="Y130" s="19" t="str">
        <f t="shared" ca="1" si="7"/>
        <v/>
      </c>
      <c r="Z130" s="18" t="str">
        <f t="shared" ca="1" si="8"/>
        <v/>
      </c>
    </row>
    <row r="131" spans="1:26" x14ac:dyDescent="0.25">
      <c r="A131" s="8" t="str">
        <f ca="1">IFERROR( VLOOKUP(A130+1,INDIRECT("'[" &amp;Info!$B$4&amp;"]"&amp;Info!$B$5&amp;"'!$A$6:$A$1000"),1,0),"")</f>
        <v/>
      </c>
      <c r="B131" s="5" t="str">
        <f ca="1">IFERROR( IF(A131="","", VLOOKUP(A131,INDIRECT("'[" &amp;Info!$B$4&amp;"]"&amp;Info!$B$5&amp;"'!$A$6:$B$1000"),2,0)),"")</f>
        <v/>
      </c>
      <c r="C131" s="14" t="str">
        <f ca="1">IFERROR( IF(A131="","", VLOOKUP(A131,INDIRECT("'[" &amp;Info!$B$4&amp;"]"&amp;Info!$B$5&amp;"'!$A$6:$D$1000"),3,0)),"")</f>
        <v/>
      </c>
      <c r="D131" s="31" t="str">
        <f ca="1">IF(C131="","", VLOOKUP(A131,INDIRECT("'[" &amp;Info!$B$4&amp;"]"&amp;Info!$B$5&amp;"'!$A$6:$T$1000"),20,0))</f>
        <v/>
      </c>
      <c r="E131" s="6" t="str">
        <f ca="1">IF(D131="","", VLOOKUP(A131,INDIRECT("'[" &amp;Info!$B$4&amp;"]"&amp;Info!$B$5&amp;"'!$A$6:$U$1000"),21,0))</f>
        <v/>
      </c>
      <c r="F131" s="6" t="str">
        <f ca="1">IF(D131="","", VLOOKUP(A131,INDIRECT("'[" &amp;Info!$B$4&amp;"]"&amp;Info!$B$5&amp;"'!$A$6:$U$1000"),21,0))</f>
        <v/>
      </c>
      <c r="G131" s="6" t="str">
        <f ca="1">IF(D131="","", VLOOKUP(A131,INDIRECT("'[" &amp;Info!$B$4&amp;"]"&amp;Info!$B$5&amp;"'!$A$6:$V$1000"),22,0))</f>
        <v/>
      </c>
      <c r="H131" s="6" t="str">
        <f ca="1">IF(D131="","", VLOOKUP(A131,INDIRECT("'[" &amp;Info!$B$4&amp;"]"&amp;Info!$B$5&amp;"'!$A$6:$W$1000"),23,0))</f>
        <v/>
      </c>
      <c r="I131" s="6" t="str">
        <f ca="1">LOWER( IF(D131="","", VLOOKUP(A131,INDIRECT("'[" &amp;Info!$B$4&amp;"]"&amp;Info!$B$5&amp;"'!$A$6:$y$1000"),25,0)))</f>
        <v/>
      </c>
      <c r="J131" s="6" t="str">
        <f ca="1">IF(D131="","", VLOOKUP(A131,INDIRECT("'[" &amp;Info!$B$4&amp;"]"&amp;Info!$B$5&amp;"'!$A$6:$Z$1000"),26,0))</f>
        <v/>
      </c>
      <c r="K131" s="35" t="str">
        <f ca="1">IF(D131="","", VLOOKUP(A131,INDIRECT("'[" &amp;Info!$B$4&amp;"]"&amp;Info!$B$5&amp;"'!$A$6:$AA$1000"),27,0))</f>
        <v/>
      </c>
      <c r="L131" s="35" t="str">
        <f ca="1">IF(D131="","", VLOOKUP(A131,INDIRECT("'[" &amp;Info!$B$4&amp;"]"&amp;Info!$B$5&amp;"'!$A$6:$H$1000"),8,0))</f>
        <v/>
      </c>
      <c r="M131" s="35" t="str">
        <f ca="1">IF(D131="","", VLOOKUP(A131,INDIRECT("'[" &amp;Info!$B$4&amp;"]"&amp;Info!$B$5&amp;"'!$A$6:$F$1000"),6,0))</f>
        <v/>
      </c>
      <c r="N131" s="33" t="str">
        <f ca="1">IF(C131="","", VLOOKUP(A131,INDIRECT("'[" &amp;Info!$B$4&amp;"]"&amp;Info!$B$5&amp;"'!$A$6:$Au$1000"),47,0))</f>
        <v/>
      </c>
      <c r="O131" s="28" t="str">
        <f ca="1">IF(N131="","",IF(N131=0,0,VLOOKUP(A131,INDIRECT("'[" &amp;Info!$B$4&amp;"]"&amp;Info!$B$5&amp;"'!$A$6:$AH$1000"),34,0)))</f>
        <v/>
      </c>
      <c r="P131" s="9" t="str">
        <f ca="1">IF(N131="","",IF(N131=0,0,VLOOKUP(A131,INDIRECT("'[" &amp;Info!$B$4&amp;"]"&amp;Info!$B$5&amp;"'!$A$6:$AW$1000"),49,0)))</f>
        <v/>
      </c>
      <c r="Q131" s="9" t="str">
        <f ca="1">IF(N131="","",IF(N131=0,0, VLOOKUP(A131,INDIRECT("'[" &amp;Info!$B$4&amp;"]"&amp;Info!$B$5&amp;"'!$A$6:$AX$1000"),50,0)))</f>
        <v/>
      </c>
      <c r="R131" s="29" t="str">
        <f ca="1">IF(N131="","",IF(N131=0,0, VLOOKUP(A131,INDIRECT("'[" &amp;Info!$B$4&amp;"]"&amp;Info!$B$5&amp;"'!$A$6:$AY$1000"),51,0)))</f>
        <v/>
      </c>
      <c r="S131" s="15" t="str">
        <f ca="1">IF(N131="","",IF(N131=0,0,VLOOKUP(A131,INDIRECT("'[" &amp;Info!$B$4&amp;"]"&amp;Info!$B$5&amp;"'!$A$6:$Ai$1000"),35,0)))</f>
        <v/>
      </c>
      <c r="T131" s="7" t="str">
        <f ca="1">IF(N131="","",IF(N131=0,0, VLOOKUP(A131,INDIRECT("'[" &amp;Info!$B$4&amp;"]"&amp;Info!$B$5&amp;"'!$A$6:$Az$1000"),52,0)))</f>
        <v/>
      </c>
      <c r="U131" s="7" t="str">
        <f ca="1">IF(N131="","",IF(N131=0,0, VLOOKUP(A131,INDIRECT("'[" &amp;Info!$B$4&amp;"]"&amp;Info!$B$5&amp;"'!$A$6:$BA$1000"),53,0)))</f>
        <v/>
      </c>
      <c r="V131" s="16" t="str">
        <f ca="1">IF(N131="","",IF(N131=0,0, VLOOKUP(A131,INDIRECT("'[" &amp;Info!$B$4&amp;"]"&amp;Info!$B$5&amp;"'!$A$6:$BB$1000"),54,0)))</f>
        <v/>
      </c>
      <c r="W131" s="17" t="str">
        <f t="shared" ca="1" si="5"/>
        <v/>
      </c>
      <c r="X131" s="18" t="str">
        <f t="shared" ca="1" si="6"/>
        <v/>
      </c>
      <c r="Y131" s="19" t="str">
        <f t="shared" ca="1" si="7"/>
        <v/>
      </c>
      <c r="Z131" s="18" t="str">
        <f t="shared" ca="1" si="8"/>
        <v/>
      </c>
    </row>
    <row r="132" spans="1:26" x14ac:dyDescent="0.25">
      <c r="A132" s="8" t="str">
        <f ca="1">IFERROR( VLOOKUP(A131+1,INDIRECT("'[" &amp;Info!$B$4&amp;"]"&amp;Info!$B$5&amp;"'!$A$6:$A$1000"),1,0),"")</f>
        <v/>
      </c>
      <c r="B132" s="5" t="str">
        <f ca="1">IFERROR( IF(A132="","", VLOOKUP(A132,INDIRECT("'[" &amp;Info!$B$4&amp;"]"&amp;Info!$B$5&amp;"'!$A$6:$B$1000"),2,0)),"")</f>
        <v/>
      </c>
      <c r="C132" s="14" t="str">
        <f ca="1">IFERROR( IF(A132="","", VLOOKUP(A132,INDIRECT("'[" &amp;Info!$B$4&amp;"]"&amp;Info!$B$5&amp;"'!$A$6:$D$1000"),3,0)),"")</f>
        <v/>
      </c>
      <c r="D132" s="31" t="str">
        <f ca="1">IF(C132="","", VLOOKUP(A132,INDIRECT("'[" &amp;Info!$B$4&amp;"]"&amp;Info!$B$5&amp;"'!$A$6:$T$1000"),20,0))</f>
        <v/>
      </c>
      <c r="E132" s="6" t="str">
        <f ca="1">IF(D132="","", VLOOKUP(A132,INDIRECT("'[" &amp;Info!$B$4&amp;"]"&amp;Info!$B$5&amp;"'!$A$6:$U$1000"),21,0))</f>
        <v/>
      </c>
      <c r="F132" s="6" t="str">
        <f ca="1">IF(D132="","", VLOOKUP(A132,INDIRECT("'[" &amp;Info!$B$4&amp;"]"&amp;Info!$B$5&amp;"'!$A$6:$U$1000"),21,0))</f>
        <v/>
      </c>
      <c r="G132" s="6" t="str">
        <f ca="1">IF(D132="","", VLOOKUP(A132,INDIRECT("'[" &amp;Info!$B$4&amp;"]"&amp;Info!$B$5&amp;"'!$A$6:$V$1000"),22,0))</f>
        <v/>
      </c>
      <c r="H132" s="6" t="str">
        <f ca="1">IF(D132="","", VLOOKUP(A132,INDIRECT("'[" &amp;Info!$B$4&amp;"]"&amp;Info!$B$5&amp;"'!$A$6:$W$1000"),23,0))</f>
        <v/>
      </c>
      <c r="I132" s="6" t="str">
        <f ca="1">LOWER( IF(D132="","", VLOOKUP(A132,INDIRECT("'[" &amp;Info!$B$4&amp;"]"&amp;Info!$B$5&amp;"'!$A$6:$y$1000"),25,0)))</f>
        <v/>
      </c>
      <c r="J132" s="6" t="str">
        <f ca="1">IF(D132="","", VLOOKUP(A132,INDIRECT("'[" &amp;Info!$B$4&amp;"]"&amp;Info!$B$5&amp;"'!$A$6:$Z$1000"),26,0))</f>
        <v/>
      </c>
      <c r="K132" s="35" t="str">
        <f ca="1">IF(D132="","", VLOOKUP(A132,INDIRECT("'[" &amp;Info!$B$4&amp;"]"&amp;Info!$B$5&amp;"'!$A$6:$AA$1000"),27,0))</f>
        <v/>
      </c>
      <c r="L132" s="35" t="str">
        <f ca="1">IF(D132="","", VLOOKUP(A132,INDIRECT("'[" &amp;Info!$B$4&amp;"]"&amp;Info!$B$5&amp;"'!$A$6:$H$1000"),8,0))</f>
        <v/>
      </c>
      <c r="M132" s="35" t="str">
        <f ca="1">IF(D132="","", VLOOKUP(A132,INDIRECT("'[" &amp;Info!$B$4&amp;"]"&amp;Info!$B$5&amp;"'!$A$6:$F$1000"),6,0))</f>
        <v/>
      </c>
      <c r="N132" s="33" t="str">
        <f ca="1">IF(C132="","", VLOOKUP(A132,INDIRECT("'[" &amp;Info!$B$4&amp;"]"&amp;Info!$B$5&amp;"'!$A$6:$Au$1000"),47,0))</f>
        <v/>
      </c>
      <c r="O132" s="28" t="str">
        <f ca="1">IF(N132="","",IF(N132=0,0,VLOOKUP(A132,INDIRECT("'[" &amp;Info!$B$4&amp;"]"&amp;Info!$B$5&amp;"'!$A$6:$AH$1000"),34,0)))</f>
        <v/>
      </c>
      <c r="P132" s="9" t="str">
        <f ca="1">IF(N132="","",IF(N132=0,0,VLOOKUP(A132,INDIRECT("'[" &amp;Info!$B$4&amp;"]"&amp;Info!$B$5&amp;"'!$A$6:$AW$1000"),49,0)))</f>
        <v/>
      </c>
      <c r="Q132" s="9" t="str">
        <f ca="1">IF(N132="","",IF(N132=0,0, VLOOKUP(A132,INDIRECT("'[" &amp;Info!$B$4&amp;"]"&amp;Info!$B$5&amp;"'!$A$6:$AX$1000"),50,0)))</f>
        <v/>
      </c>
      <c r="R132" s="29" t="str">
        <f ca="1">IF(N132="","",IF(N132=0,0, VLOOKUP(A132,INDIRECT("'[" &amp;Info!$B$4&amp;"]"&amp;Info!$B$5&amp;"'!$A$6:$AY$1000"),51,0)))</f>
        <v/>
      </c>
      <c r="S132" s="15" t="str">
        <f ca="1">IF(N132="","",IF(N132=0,0,VLOOKUP(A132,INDIRECT("'[" &amp;Info!$B$4&amp;"]"&amp;Info!$B$5&amp;"'!$A$6:$Ai$1000"),35,0)))</f>
        <v/>
      </c>
      <c r="T132" s="7" t="str">
        <f ca="1">IF(N132="","",IF(N132=0,0, VLOOKUP(A132,INDIRECT("'[" &amp;Info!$B$4&amp;"]"&amp;Info!$B$5&amp;"'!$A$6:$Az$1000"),52,0)))</f>
        <v/>
      </c>
      <c r="U132" s="7" t="str">
        <f ca="1">IF(N132="","",IF(N132=0,0, VLOOKUP(A132,INDIRECT("'[" &amp;Info!$B$4&amp;"]"&amp;Info!$B$5&amp;"'!$A$6:$BA$1000"),53,0)))</f>
        <v/>
      </c>
      <c r="V132" s="16" t="str">
        <f ca="1">IF(N132="","",IF(N132=0,0, VLOOKUP(A132,INDIRECT("'[" &amp;Info!$B$4&amp;"]"&amp;Info!$B$5&amp;"'!$A$6:$BB$1000"),54,0)))</f>
        <v/>
      </c>
      <c r="W132" s="17" t="str">
        <f t="shared" ca="1" si="5"/>
        <v/>
      </c>
      <c r="X132" s="18" t="str">
        <f t="shared" ca="1" si="6"/>
        <v/>
      </c>
      <c r="Y132" s="19" t="str">
        <f t="shared" ca="1" si="7"/>
        <v/>
      </c>
      <c r="Z132" s="18" t="str">
        <f t="shared" ca="1" si="8"/>
        <v/>
      </c>
    </row>
    <row r="133" spans="1:26" x14ac:dyDescent="0.25">
      <c r="A133" s="8" t="str">
        <f ca="1">IFERROR( VLOOKUP(A132+1,INDIRECT("'[" &amp;Info!$B$4&amp;"]"&amp;Info!$B$5&amp;"'!$A$6:$A$1000"),1,0),"")</f>
        <v/>
      </c>
      <c r="B133" s="5" t="str">
        <f ca="1">IFERROR( IF(A133="","", VLOOKUP(A133,INDIRECT("'[" &amp;Info!$B$4&amp;"]"&amp;Info!$B$5&amp;"'!$A$6:$B$1000"),2,0)),"")</f>
        <v/>
      </c>
      <c r="C133" s="14" t="str">
        <f ca="1">IFERROR( IF(A133="","", VLOOKUP(A133,INDIRECT("'[" &amp;Info!$B$4&amp;"]"&amp;Info!$B$5&amp;"'!$A$6:$D$1000"),3,0)),"")</f>
        <v/>
      </c>
      <c r="D133" s="31" t="str">
        <f ca="1">IF(C133="","", VLOOKUP(A133,INDIRECT("'[" &amp;Info!$B$4&amp;"]"&amp;Info!$B$5&amp;"'!$A$6:$T$1000"),20,0))</f>
        <v/>
      </c>
      <c r="E133" s="6" t="str">
        <f ca="1">IF(D133="","", VLOOKUP(A133,INDIRECT("'[" &amp;Info!$B$4&amp;"]"&amp;Info!$B$5&amp;"'!$A$6:$U$1000"),21,0))</f>
        <v/>
      </c>
      <c r="F133" s="6" t="str">
        <f ca="1">IF(D133="","", VLOOKUP(A133,INDIRECT("'[" &amp;Info!$B$4&amp;"]"&amp;Info!$B$5&amp;"'!$A$6:$U$1000"),21,0))</f>
        <v/>
      </c>
      <c r="G133" s="6" t="str">
        <f ca="1">IF(D133="","", VLOOKUP(A133,INDIRECT("'[" &amp;Info!$B$4&amp;"]"&amp;Info!$B$5&amp;"'!$A$6:$V$1000"),22,0))</f>
        <v/>
      </c>
      <c r="H133" s="6" t="str">
        <f ca="1">IF(D133="","", VLOOKUP(A133,INDIRECT("'[" &amp;Info!$B$4&amp;"]"&amp;Info!$B$5&amp;"'!$A$6:$W$1000"),23,0))</f>
        <v/>
      </c>
      <c r="I133" s="6" t="str">
        <f ca="1">LOWER( IF(D133="","", VLOOKUP(A133,INDIRECT("'[" &amp;Info!$B$4&amp;"]"&amp;Info!$B$5&amp;"'!$A$6:$y$1000"),25,0)))</f>
        <v/>
      </c>
      <c r="J133" s="6" t="str">
        <f ca="1">IF(D133="","", VLOOKUP(A133,INDIRECT("'[" &amp;Info!$B$4&amp;"]"&amp;Info!$B$5&amp;"'!$A$6:$Z$1000"),26,0))</f>
        <v/>
      </c>
      <c r="K133" s="35" t="str">
        <f ca="1">IF(D133="","", VLOOKUP(A133,INDIRECT("'[" &amp;Info!$B$4&amp;"]"&amp;Info!$B$5&amp;"'!$A$6:$AA$1000"),27,0))</f>
        <v/>
      </c>
      <c r="L133" s="35" t="str">
        <f ca="1">IF(D133="","", VLOOKUP(A133,INDIRECT("'[" &amp;Info!$B$4&amp;"]"&amp;Info!$B$5&amp;"'!$A$6:$H$1000"),8,0))</f>
        <v/>
      </c>
      <c r="M133" s="35" t="str">
        <f ca="1">IF(D133="","", VLOOKUP(A133,INDIRECT("'[" &amp;Info!$B$4&amp;"]"&amp;Info!$B$5&amp;"'!$A$6:$F$1000"),6,0))</f>
        <v/>
      </c>
      <c r="N133" s="33" t="str">
        <f ca="1">IF(C133="","", VLOOKUP(A133,INDIRECT("'[" &amp;Info!$B$4&amp;"]"&amp;Info!$B$5&amp;"'!$A$6:$Au$1000"),47,0))</f>
        <v/>
      </c>
      <c r="O133" s="28" t="str">
        <f ca="1">IF(N133="","",IF(N133=0,0,VLOOKUP(A133,INDIRECT("'[" &amp;Info!$B$4&amp;"]"&amp;Info!$B$5&amp;"'!$A$6:$AH$1000"),34,0)))</f>
        <v/>
      </c>
      <c r="P133" s="9" t="str">
        <f ca="1">IF(N133="","",IF(N133=0,0,VLOOKUP(A133,INDIRECT("'[" &amp;Info!$B$4&amp;"]"&amp;Info!$B$5&amp;"'!$A$6:$AW$1000"),49,0)))</f>
        <v/>
      </c>
      <c r="Q133" s="9" t="str">
        <f ca="1">IF(N133="","",IF(N133=0,0, VLOOKUP(A133,INDIRECT("'[" &amp;Info!$B$4&amp;"]"&amp;Info!$B$5&amp;"'!$A$6:$AX$1000"),50,0)))</f>
        <v/>
      </c>
      <c r="R133" s="29" t="str">
        <f ca="1">IF(N133="","",IF(N133=0,0, VLOOKUP(A133,INDIRECT("'[" &amp;Info!$B$4&amp;"]"&amp;Info!$B$5&amp;"'!$A$6:$AY$1000"),51,0)))</f>
        <v/>
      </c>
      <c r="S133" s="15" t="str">
        <f ca="1">IF(N133="","",IF(N133=0,0,VLOOKUP(A133,INDIRECT("'[" &amp;Info!$B$4&amp;"]"&amp;Info!$B$5&amp;"'!$A$6:$Ai$1000"),35,0)))</f>
        <v/>
      </c>
      <c r="T133" s="7" t="str">
        <f ca="1">IF(N133="","",IF(N133=0,0, VLOOKUP(A133,INDIRECT("'[" &amp;Info!$B$4&amp;"]"&amp;Info!$B$5&amp;"'!$A$6:$Az$1000"),52,0)))</f>
        <v/>
      </c>
      <c r="U133" s="7" t="str">
        <f ca="1">IF(N133="","",IF(N133=0,0, VLOOKUP(A133,INDIRECT("'[" &amp;Info!$B$4&amp;"]"&amp;Info!$B$5&amp;"'!$A$6:$BA$1000"),53,0)))</f>
        <v/>
      </c>
      <c r="V133" s="16" t="str">
        <f ca="1">IF(N133="","",IF(N133=0,0, VLOOKUP(A133,INDIRECT("'[" &amp;Info!$B$4&amp;"]"&amp;Info!$B$5&amp;"'!$A$6:$BB$1000"),54,0)))</f>
        <v/>
      </c>
      <c r="W133" s="17" t="str">
        <f t="shared" ca="1" si="5"/>
        <v/>
      </c>
      <c r="X133" s="18" t="str">
        <f t="shared" ca="1" si="6"/>
        <v/>
      </c>
      <c r="Y133" s="19" t="str">
        <f t="shared" ca="1" si="7"/>
        <v/>
      </c>
      <c r="Z133" s="18" t="str">
        <f t="shared" ca="1" si="8"/>
        <v/>
      </c>
    </row>
    <row r="134" spans="1:26" x14ac:dyDescent="0.25">
      <c r="A134" s="8" t="str">
        <f ca="1">IFERROR( VLOOKUP(A133+1,INDIRECT("'[" &amp;Info!$B$4&amp;"]"&amp;Info!$B$5&amp;"'!$A$6:$A$1000"),1,0),"")</f>
        <v/>
      </c>
      <c r="B134" s="5" t="str">
        <f ca="1">IFERROR( IF(A134="","", VLOOKUP(A134,INDIRECT("'[" &amp;Info!$B$4&amp;"]"&amp;Info!$B$5&amp;"'!$A$6:$B$1000"),2,0)),"")</f>
        <v/>
      </c>
      <c r="C134" s="14" t="str">
        <f ca="1">IFERROR( IF(A134="","", VLOOKUP(A134,INDIRECT("'[" &amp;Info!$B$4&amp;"]"&amp;Info!$B$5&amp;"'!$A$6:$D$1000"),3,0)),"")</f>
        <v/>
      </c>
      <c r="D134" s="31" t="str">
        <f ca="1">IF(C134="","", VLOOKUP(A134,INDIRECT("'[" &amp;Info!$B$4&amp;"]"&amp;Info!$B$5&amp;"'!$A$6:$T$1000"),20,0))</f>
        <v/>
      </c>
      <c r="E134" s="6" t="str">
        <f ca="1">IF(D134="","", VLOOKUP(A134,INDIRECT("'[" &amp;Info!$B$4&amp;"]"&amp;Info!$B$5&amp;"'!$A$6:$U$1000"),21,0))</f>
        <v/>
      </c>
      <c r="F134" s="6" t="str">
        <f ca="1">IF(D134="","", VLOOKUP(A134,INDIRECT("'[" &amp;Info!$B$4&amp;"]"&amp;Info!$B$5&amp;"'!$A$6:$U$1000"),21,0))</f>
        <v/>
      </c>
      <c r="G134" s="6" t="str">
        <f ca="1">IF(D134="","", VLOOKUP(A134,INDIRECT("'[" &amp;Info!$B$4&amp;"]"&amp;Info!$B$5&amp;"'!$A$6:$V$1000"),22,0))</f>
        <v/>
      </c>
      <c r="H134" s="6" t="str">
        <f ca="1">IF(D134="","", VLOOKUP(A134,INDIRECT("'[" &amp;Info!$B$4&amp;"]"&amp;Info!$B$5&amp;"'!$A$6:$W$1000"),23,0))</f>
        <v/>
      </c>
      <c r="I134" s="6" t="str">
        <f ca="1">LOWER( IF(D134="","", VLOOKUP(A134,INDIRECT("'[" &amp;Info!$B$4&amp;"]"&amp;Info!$B$5&amp;"'!$A$6:$y$1000"),25,0)))</f>
        <v/>
      </c>
      <c r="J134" s="6" t="str">
        <f ca="1">IF(D134="","", VLOOKUP(A134,INDIRECT("'[" &amp;Info!$B$4&amp;"]"&amp;Info!$B$5&amp;"'!$A$6:$Z$1000"),26,0))</f>
        <v/>
      </c>
      <c r="K134" s="35" t="str">
        <f ca="1">IF(D134="","", VLOOKUP(A134,INDIRECT("'[" &amp;Info!$B$4&amp;"]"&amp;Info!$B$5&amp;"'!$A$6:$AA$1000"),27,0))</f>
        <v/>
      </c>
      <c r="L134" s="35" t="str">
        <f ca="1">IF(D134="","", VLOOKUP(A134,INDIRECT("'[" &amp;Info!$B$4&amp;"]"&amp;Info!$B$5&amp;"'!$A$6:$H$1000"),8,0))</f>
        <v/>
      </c>
      <c r="M134" s="35" t="str">
        <f ca="1">IF(D134="","", VLOOKUP(A134,INDIRECT("'[" &amp;Info!$B$4&amp;"]"&amp;Info!$B$5&amp;"'!$A$6:$F$1000"),6,0))</f>
        <v/>
      </c>
      <c r="N134" s="33" t="str">
        <f ca="1">IF(C134="","", VLOOKUP(A134,INDIRECT("'[" &amp;Info!$B$4&amp;"]"&amp;Info!$B$5&amp;"'!$A$6:$Au$1000"),47,0))</f>
        <v/>
      </c>
      <c r="O134" s="28" t="str">
        <f ca="1">IF(N134="","",IF(N134=0,0,VLOOKUP(A134,INDIRECT("'[" &amp;Info!$B$4&amp;"]"&amp;Info!$B$5&amp;"'!$A$6:$AH$1000"),34,0)))</f>
        <v/>
      </c>
      <c r="P134" s="9" t="str">
        <f ca="1">IF(N134="","",IF(N134=0,0,VLOOKUP(A134,INDIRECT("'[" &amp;Info!$B$4&amp;"]"&amp;Info!$B$5&amp;"'!$A$6:$AW$1000"),49,0)))</f>
        <v/>
      </c>
      <c r="Q134" s="9" t="str">
        <f ca="1">IF(N134="","",IF(N134=0,0, VLOOKUP(A134,INDIRECT("'[" &amp;Info!$B$4&amp;"]"&amp;Info!$B$5&amp;"'!$A$6:$AX$1000"),50,0)))</f>
        <v/>
      </c>
      <c r="R134" s="29" t="str">
        <f ca="1">IF(N134="","",IF(N134=0,0, VLOOKUP(A134,INDIRECT("'[" &amp;Info!$B$4&amp;"]"&amp;Info!$B$5&amp;"'!$A$6:$AY$1000"),51,0)))</f>
        <v/>
      </c>
      <c r="S134" s="15" t="str">
        <f ca="1">IF(N134="","",IF(N134=0,0,VLOOKUP(A134,INDIRECT("'[" &amp;Info!$B$4&amp;"]"&amp;Info!$B$5&amp;"'!$A$6:$Ai$1000"),35,0)))</f>
        <v/>
      </c>
      <c r="T134" s="7" t="str">
        <f ca="1">IF(N134="","",IF(N134=0,0, VLOOKUP(A134,INDIRECT("'[" &amp;Info!$B$4&amp;"]"&amp;Info!$B$5&amp;"'!$A$6:$Az$1000"),52,0)))</f>
        <v/>
      </c>
      <c r="U134" s="7" t="str">
        <f ca="1">IF(N134="","",IF(N134=0,0, VLOOKUP(A134,INDIRECT("'[" &amp;Info!$B$4&amp;"]"&amp;Info!$B$5&amp;"'!$A$6:$BA$1000"),53,0)))</f>
        <v/>
      </c>
      <c r="V134" s="16" t="str">
        <f ca="1">IF(N134="","",IF(N134=0,0, VLOOKUP(A134,INDIRECT("'[" &amp;Info!$B$4&amp;"]"&amp;Info!$B$5&amp;"'!$A$6:$BB$1000"),54,0)))</f>
        <v/>
      </c>
      <c r="W134" s="17" t="str">
        <f t="shared" ref="W134:W186" ca="1" si="9">IF(N135="","",O134+S134)</f>
        <v/>
      </c>
      <c r="X134" s="18" t="str">
        <f t="shared" ref="X134:X186" ca="1" si="10">IF(N135="","",P134+T134)</f>
        <v/>
      </c>
      <c r="Y134" s="19" t="str">
        <f t="shared" ref="Y134:Y186" ca="1" si="11">IF(N135="","",Q134+U134)</f>
        <v/>
      </c>
      <c r="Z134" s="18" t="str">
        <f t="shared" ref="Z134:Z186" ca="1" si="12">IF(N135="","",R134+V134)</f>
        <v/>
      </c>
    </row>
    <row r="135" spans="1:26" x14ac:dyDescent="0.25">
      <c r="A135" s="8" t="str">
        <f ca="1">IFERROR( VLOOKUP(A134+1,INDIRECT("'[" &amp;Info!$B$4&amp;"]"&amp;Info!$B$5&amp;"'!$A$6:$A$1000"),1,0),"")</f>
        <v/>
      </c>
      <c r="B135" s="5" t="str">
        <f ca="1">IFERROR( IF(A135="","", VLOOKUP(A135,INDIRECT("'[" &amp;Info!$B$4&amp;"]"&amp;Info!$B$5&amp;"'!$A$6:$B$1000"),2,0)),"")</f>
        <v/>
      </c>
      <c r="C135" s="14" t="str">
        <f ca="1">IFERROR( IF(A135="","", VLOOKUP(A135,INDIRECT("'[" &amp;Info!$B$4&amp;"]"&amp;Info!$B$5&amp;"'!$A$6:$D$1000"),3,0)),"")</f>
        <v/>
      </c>
      <c r="D135" s="31" t="str">
        <f ca="1">IF(C135="","", VLOOKUP(A135,INDIRECT("'[" &amp;Info!$B$4&amp;"]"&amp;Info!$B$5&amp;"'!$A$6:$T$1000"),20,0))</f>
        <v/>
      </c>
      <c r="E135" s="6" t="str">
        <f ca="1">IF(D135="","", VLOOKUP(A135,INDIRECT("'[" &amp;Info!$B$4&amp;"]"&amp;Info!$B$5&amp;"'!$A$6:$U$1000"),21,0))</f>
        <v/>
      </c>
      <c r="F135" s="6" t="str">
        <f ca="1">IF(D135="","", VLOOKUP(A135,INDIRECT("'[" &amp;Info!$B$4&amp;"]"&amp;Info!$B$5&amp;"'!$A$6:$U$1000"),21,0))</f>
        <v/>
      </c>
      <c r="G135" s="6" t="str">
        <f ca="1">IF(D135="","", VLOOKUP(A135,INDIRECT("'[" &amp;Info!$B$4&amp;"]"&amp;Info!$B$5&amp;"'!$A$6:$V$1000"),22,0))</f>
        <v/>
      </c>
      <c r="H135" s="6" t="str">
        <f ca="1">IF(D135="","", VLOOKUP(A135,INDIRECT("'[" &amp;Info!$B$4&amp;"]"&amp;Info!$B$5&amp;"'!$A$6:$W$1000"),23,0))</f>
        <v/>
      </c>
      <c r="I135" s="6" t="str">
        <f ca="1">LOWER( IF(D135="","", VLOOKUP(A135,INDIRECT("'[" &amp;Info!$B$4&amp;"]"&amp;Info!$B$5&amp;"'!$A$6:$y$1000"),25,0)))</f>
        <v/>
      </c>
      <c r="J135" s="6" t="str">
        <f ca="1">IF(D135="","", VLOOKUP(A135,INDIRECT("'[" &amp;Info!$B$4&amp;"]"&amp;Info!$B$5&amp;"'!$A$6:$Z$1000"),26,0))</f>
        <v/>
      </c>
      <c r="K135" s="35" t="str">
        <f ca="1">IF(D135="","", VLOOKUP(A135,INDIRECT("'[" &amp;Info!$B$4&amp;"]"&amp;Info!$B$5&amp;"'!$A$6:$AA$1000"),27,0))</f>
        <v/>
      </c>
      <c r="L135" s="35" t="str">
        <f ca="1">IF(D135="","", VLOOKUP(A135,INDIRECT("'[" &amp;Info!$B$4&amp;"]"&amp;Info!$B$5&amp;"'!$A$6:$H$1000"),8,0))</f>
        <v/>
      </c>
      <c r="M135" s="35" t="str">
        <f ca="1">IF(D135="","", VLOOKUP(A135,INDIRECT("'[" &amp;Info!$B$4&amp;"]"&amp;Info!$B$5&amp;"'!$A$6:$F$1000"),6,0))</f>
        <v/>
      </c>
      <c r="N135" s="33" t="str">
        <f ca="1">IF(C135="","", VLOOKUP(A135,INDIRECT("'[" &amp;Info!$B$4&amp;"]"&amp;Info!$B$5&amp;"'!$A$6:$Au$1000"),47,0))</f>
        <v/>
      </c>
      <c r="O135" s="28" t="str">
        <f ca="1">IF(N135="","",IF(N135=0,0,VLOOKUP(A135,INDIRECT("'[" &amp;Info!$B$4&amp;"]"&amp;Info!$B$5&amp;"'!$A$6:$AH$1000"),34,0)))</f>
        <v/>
      </c>
      <c r="P135" s="9" t="str">
        <f ca="1">IF(N135="","",IF(N135=0,0,VLOOKUP(A135,INDIRECT("'[" &amp;Info!$B$4&amp;"]"&amp;Info!$B$5&amp;"'!$A$6:$AW$1000"),49,0)))</f>
        <v/>
      </c>
      <c r="Q135" s="9" t="str">
        <f ca="1">IF(N135="","",IF(N135=0,0, VLOOKUP(A135,INDIRECT("'[" &amp;Info!$B$4&amp;"]"&amp;Info!$B$5&amp;"'!$A$6:$AX$1000"),50,0)))</f>
        <v/>
      </c>
      <c r="R135" s="29" t="str">
        <f ca="1">IF(N135="","",IF(N135=0,0, VLOOKUP(A135,INDIRECT("'[" &amp;Info!$B$4&amp;"]"&amp;Info!$B$5&amp;"'!$A$6:$AY$1000"),51,0)))</f>
        <v/>
      </c>
      <c r="S135" s="15" t="str">
        <f ca="1">IF(N135="","",IF(N135=0,0,VLOOKUP(A135,INDIRECT("'[" &amp;Info!$B$4&amp;"]"&amp;Info!$B$5&amp;"'!$A$6:$Ai$1000"),35,0)))</f>
        <v/>
      </c>
      <c r="T135" s="7" t="str">
        <f ca="1">IF(N135="","",IF(N135=0,0, VLOOKUP(A135,INDIRECT("'[" &amp;Info!$B$4&amp;"]"&amp;Info!$B$5&amp;"'!$A$6:$Az$1000"),52,0)))</f>
        <v/>
      </c>
      <c r="U135" s="7" t="str">
        <f ca="1">IF(N135="","",IF(N135=0,0, VLOOKUP(A135,INDIRECT("'[" &amp;Info!$B$4&amp;"]"&amp;Info!$B$5&amp;"'!$A$6:$BA$1000"),53,0)))</f>
        <v/>
      </c>
      <c r="V135" s="16" t="str">
        <f ca="1">IF(N135="","",IF(N135=0,0, VLOOKUP(A135,INDIRECT("'[" &amp;Info!$B$4&amp;"]"&amp;Info!$B$5&amp;"'!$A$6:$BB$1000"),54,0)))</f>
        <v/>
      </c>
      <c r="W135" s="17" t="str">
        <f t="shared" ca="1" si="9"/>
        <v/>
      </c>
      <c r="X135" s="18" t="str">
        <f t="shared" ca="1" si="10"/>
        <v/>
      </c>
      <c r="Y135" s="19" t="str">
        <f t="shared" ca="1" si="11"/>
        <v/>
      </c>
      <c r="Z135" s="18" t="str">
        <f t="shared" ca="1" si="12"/>
        <v/>
      </c>
    </row>
    <row r="136" spans="1:26" x14ac:dyDescent="0.25">
      <c r="A136" s="8" t="str">
        <f ca="1">IFERROR( VLOOKUP(A135+1,INDIRECT("'[" &amp;Info!$B$4&amp;"]"&amp;Info!$B$5&amp;"'!$A$6:$A$1000"),1,0),"")</f>
        <v/>
      </c>
      <c r="B136" s="5" t="str">
        <f ca="1">IFERROR( IF(A136="","", VLOOKUP(A136,INDIRECT("'[" &amp;Info!$B$4&amp;"]"&amp;Info!$B$5&amp;"'!$A$6:$B$1000"),2,0)),"")</f>
        <v/>
      </c>
      <c r="C136" s="14" t="str">
        <f ca="1">IFERROR( IF(A136="","", VLOOKUP(A136,INDIRECT("'[" &amp;Info!$B$4&amp;"]"&amp;Info!$B$5&amp;"'!$A$6:$D$1000"),3,0)),"")</f>
        <v/>
      </c>
      <c r="D136" s="31" t="str">
        <f ca="1">IF(C136="","", VLOOKUP(A136,INDIRECT("'[" &amp;Info!$B$4&amp;"]"&amp;Info!$B$5&amp;"'!$A$6:$T$1000"),20,0))</f>
        <v/>
      </c>
      <c r="E136" s="6" t="str">
        <f ca="1">IF(D136="","", VLOOKUP(A136,INDIRECT("'[" &amp;Info!$B$4&amp;"]"&amp;Info!$B$5&amp;"'!$A$6:$U$1000"),21,0))</f>
        <v/>
      </c>
      <c r="F136" s="6" t="str">
        <f ca="1">IF(D136="","", VLOOKUP(A136,INDIRECT("'[" &amp;Info!$B$4&amp;"]"&amp;Info!$B$5&amp;"'!$A$6:$U$1000"),21,0))</f>
        <v/>
      </c>
      <c r="G136" s="6" t="str">
        <f ca="1">IF(D136="","", VLOOKUP(A136,INDIRECT("'[" &amp;Info!$B$4&amp;"]"&amp;Info!$B$5&amp;"'!$A$6:$V$1000"),22,0))</f>
        <v/>
      </c>
      <c r="H136" s="6" t="str">
        <f ca="1">IF(D136="","", VLOOKUP(A136,INDIRECT("'[" &amp;Info!$B$4&amp;"]"&amp;Info!$B$5&amp;"'!$A$6:$W$1000"),23,0))</f>
        <v/>
      </c>
      <c r="I136" s="6" t="str">
        <f ca="1">LOWER( IF(D136="","", VLOOKUP(A136,INDIRECT("'[" &amp;Info!$B$4&amp;"]"&amp;Info!$B$5&amp;"'!$A$6:$y$1000"),25,0)))</f>
        <v/>
      </c>
      <c r="J136" s="6" t="str">
        <f ca="1">IF(D136="","", VLOOKUP(A136,INDIRECT("'[" &amp;Info!$B$4&amp;"]"&amp;Info!$B$5&amp;"'!$A$6:$Z$1000"),26,0))</f>
        <v/>
      </c>
      <c r="K136" s="35" t="str">
        <f ca="1">IF(D136="","", VLOOKUP(A136,INDIRECT("'[" &amp;Info!$B$4&amp;"]"&amp;Info!$B$5&amp;"'!$A$6:$AA$1000"),27,0))</f>
        <v/>
      </c>
      <c r="L136" s="35" t="str">
        <f ca="1">IF(D136="","", VLOOKUP(A136,INDIRECT("'[" &amp;Info!$B$4&amp;"]"&amp;Info!$B$5&amp;"'!$A$6:$H$1000"),8,0))</f>
        <v/>
      </c>
      <c r="M136" s="35" t="str">
        <f ca="1">IF(D136="","", VLOOKUP(A136,INDIRECT("'[" &amp;Info!$B$4&amp;"]"&amp;Info!$B$5&amp;"'!$A$6:$F$1000"),6,0))</f>
        <v/>
      </c>
      <c r="N136" s="33" t="str">
        <f ca="1">IF(C136="","", VLOOKUP(A136,INDIRECT("'[" &amp;Info!$B$4&amp;"]"&amp;Info!$B$5&amp;"'!$A$6:$Au$1000"),47,0))</f>
        <v/>
      </c>
      <c r="O136" s="28" t="str">
        <f ca="1">IF(N136="","",IF(N136=0,0,VLOOKUP(A136,INDIRECT("'[" &amp;Info!$B$4&amp;"]"&amp;Info!$B$5&amp;"'!$A$6:$AH$1000"),34,0)))</f>
        <v/>
      </c>
      <c r="P136" s="9" t="str">
        <f ca="1">IF(N136="","",IF(N136=0,0,VLOOKUP(A136,INDIRECT("'[" &amp;Info!$B$4&amp;"]"&amp;Info!$B$5&amp;"'!$A$6:$AW$1000"),49,0)))</f>
        <v/>
      </c>
      <c r="Q136" s="9" t="str">
        <f ca="1">IF(N136="","",IF(N136=0,0, VLOOKUP(A136,INDIRECT("'[" &amp;Info!$B$4&amp;"]"&amp;Info!$B$5&amp;"'!$A$6:$AX$1000"),50,0)))</f>
        <v/>
      </c>
      <c r="R136" s="29" t="str">
        <f ca="1">IF(N136="","",IF(N136=0,0, VLOOKUP(A136,INDIRECT("'[" &amp;Info!$B$4&amp;"]"&amp;Info!$B$5&amp;"'!$A$6:$AY$1000"),51,0)))</f>
        <v/>
      </c>
      <c r="S136" s="15" t="str">
        <f ca="1">IF(N136="","",IF(N136=0,0,VLOOKUP(A136,INDIRECT("'[" &amp;Info!$B$4&amp;"]"&amp;Info!$B$5&amp;"'!$A$6:$Ai$1000"),35,0)))</f>
        <v/>
      </c>
      <c r="T136" s="7" t="str">
        <f ca="1">IF(N136="","",IF(N136=0,0, VLOOKUP(A136,INDIRECT("'[" &amp;Info!$B$4&amp;"]"&amp;Info!$B$5&amp;"'!$A$6:$Az$1000"),52,0)))</f>
        <v/>
      </c>
      <c r="U136" s="7" t="str">
        <f ca="1">IF(N136="","",IF(N136=0,0, VLOOKUP(A136,INDIRECT("'[" &amp;Info!$B$4&amp;"]"&amp;Info!$B$5&amp;"'!$A$6:$BA$1000"),53,0)))</f>
        <v/>
      </c>
      <c r="V136" s="16" t="str">
        <f ca="1">IF(N136="","",IF(N136=0,0, VLOOKUP(A136,INDIRECT("'[" &amp;Info!$B$4&amp;"]"&amp;Info!$B$5&amp;"'!$A$6:$BB$1000"),54,0)))</f>
        <v/>
      </c>
      <c r="W136" s="17" t="str">
        <f t="shared" ca="1" si="9"/>
        <v/>
      </c>
      <c r="X136" s="18" t="str">
        <f t="shared" ca="1" si="10"/>
        <v/>
      </c>
      <c r="Y136" s="19" t="str">
        <f t="shared" ca="1" si="11"/>
        <v/>
      </c>
      <c r="Z136" s="18" t="str">
        <f t="shared" ca="1" si="12"/>
        <v/>
      </c>
    </row>
    <row r="137" spans="1:26" x14ac:dyDescent="0.25">
      <c r="A137" s="8" t="str">
        <f ca="1">IFERROR( VLOOKUP(A136+1,INDIRECT("'[" &amp;Info!$B$4&amp;"]"&amp;Info!$B$5&amp;"'!$A$6:$A$1000"),1,0),"")</f>
        <v/>
      </c>
      <c r="B137" s="5" t="str">
        <f ca="1">IFERROR( IF(A137="","", VLOOKUP(A137,INDIRECT("'[" &amp;Info!$B$4&amp;"]"&amp;Info!$B$5&amp;"'!$A$6:$B$1000"),2,0)),"")</f>
        <v/>
      </c>
      <c r="C137" s="14" t="str">
        <f ca="1">IFERROR( IF(A137="","", VLOOKUP(A137,INDIRECT("'[" &amp;Info!$B$4&amp;"]"&amp;Info!$B$5&amp;"'!$A$6:$D$1000"),3,0)),"")</f>
        <v/>
      </c>
      <c r="D137" s="31" t="str">
        <f ca="1">IF(C137="","", VLOOKUP(A137,INDIRECT("'[" &amp;Info!$B$4&amp;"]"&amp;Info!$B$5&amp;"'!$A$6:$T$1000"),20,0))</f>
        <v/>
      </c>
      <c r="E137" s="6" t="str">
        <f ca="1">IF(D137="","", VLOOKUP(A137,INDIRECT("'[" &amp;Info!$B$4&amp;"]"&amp;Info!$B$5&amp;"'!$A$6:$U$1000"),21,0))</f>
        <v/>
      </c>
      <c r="F137" s="6" t="str">
        <f ca="1">IF(D137="","", VLOOKUP(A137,INDIRECT("'[" &amp;Info!$B$4&amp;"]"&amp;Info!$B$5&amp;"'!$A$6:$U$1000"),21,0))</f>
        <v/>
      </c>
      <c r="G137" s="6" t="str">
        <f ca="1">IF(D137="","", VLOOKUP(A137,INDIRECT("'[" &amp;Info!$B$4&amp;"]"&amp;Info!$B$5&amp;"'!$A$6:$V$1000"),22,0))</f>
        <v/>
      </c>
      <c r="H137" s="6" t="str">
        <f ca="1">IF(D137="","", VLOOKUP(A137,INDIRECT("'[" &amp;Info!$B$4&amp;"]"&amp;Info!$B$5&amp;"'!$A$6:$W$1000"),23,0))</f>
        <v/>
      </c>
      <c r="I137" s="6" t="str">
        <f ca="1">LOWER( IF(D137="","", VLOOKUP(A137,INDIRECT("'[" &amp;Info!$B$4&amp;"]"&amp;Info!$B$5&amp;"'!$A$6:$y$1000"),25,0)))</f>
        <v/>
      </c>
      <c r="J137" s="6" t="str">
        <f ca="1">IF(D137="","", VLOOKUP(A137,INDIRECT("'[" &amp;Info!$B$4&amp;"]"&amp;Info!$B$5&amp;"'!$A$6:$Z$1000"),26,0))</f>
        <v/>
      </c>
      <c r="K137" s="35" t="str">
        <f ca="1">IF(D137="","", VLOOKUP(A137,INDIRECT("'[" &amp;Info!$B$4&amp;"]"&amp;Info!$B$5&amp;"'!$A$6:$AA$1000"),27,0))</f>
        <v/>
      </c>
      <c r="L137" s="35" t="str">
        <f ca="1">IF(D137="","", VLOOKUP(A137,INDIRECT("'[" &amp;Info!$B$4&amp;"]"&amp;Info!$B$5&amp;"'!$A$6:$H$1000"),8,0))</f>
        <v/>
      </c>
      <c r="M137" s="35" t="str">
        <f ca="1">IF(D137="","", VLOOKUP(A137,INDIRECT("'[" &amp;Info!$B$4&amp;"]"&amp;Info!$B$5&amp;"'!$A$6:$F$1000"),6,0))</f>
        <v/>
      </c>
      <c r="N137" s="33" t="str">
        <f ca="1">IF(C137="","", VLOOKUP(A137,INDIRECT("'[" &amp;Info!$B$4&amp;"]"&amp;Info!$B$5&amp;"'!$A$6:$Au$1000"),47,0))</f>
        <v/>
      </c>
      <c r="O137" s="28" t="str">
        <f ca="1">IF(N137="","",IF(N137=0,0,VLOOKUP(A137,INDIRECT("'[" &amp;Info!$B$4&amp;"]"&amp;Info!$B$5&amp;"'!$A$6:$AH$1000"),34,0)))</f>
        <v/>
      </c>
      <c r="P137" s="9" t="str">
        <f ca="1">IF(N137="","",IF(N137=0,0,VLOOKUP(A137,INDIRECT("'[" &amp;Info!$B$4&amp;"]"&amp;Info!$B$5&amp;"'!$A$6:$AW$1000"),49,0)))</f>
        <v/>
      </c>
      <c r="Q137" s="9" t="str">
        <f ca="1">IF(N137="","",IF(N137=0,0, VLOOKUP(A137,INDIRECT("'[" &amp;Info!$B$4&amp;"]"&amp;Info!$B$5&amp;"'!$A$6:$AX$1000"),50,0)))</f>
        <v/>
      </c>
      <c r="R137" s="29" t="str">
        <f ca="1">IF(N137="","",IF(N137=0,0, VLOOKUP(A137,INDIRECT("'[" &amp;Info!$B$4&amp;"]"&amp;Info!$B$5&amp;"'!$A$6:$AY$1000"),51,0)))</f>
        <v/>
      </c>
      <c r="S137" s="15" t="str">
        <f ca="1">IF(N137="","",IF(N137=0,0,VLOOKUP(A137,INDIRECT("'[" &amp;Info!$B$4&amp;"]"&amp;Info!$B$5&amp;"'!$A$6:$Ai$1000"),35,0)))</f>
        <v/>
      </c>
      <c r="T137" s="7" t="str">
        <f ca="1">IF(N137="","",IF(N137=0,0, VLOOKUP(A137,INDIRECT("'[" &amp;Info!$B$4&amp;"]"&amp;Info!$B$5&amp;"'!$A$6:$Az$1000"),52,0)))</f>
        <v/>
      </c>
      <c r="U137" s="7" t="str">
        <f ca="1">IF(N137="","",IF(N137=0,0, VLOOKUP(A137,INDIRECT("'[" &amp;Info!$B$4&amp;"]"&amp;Info!$B$5&amp;"'!$A$6:$BA$1000"),53,0)))</f>
        <v/>
      </c>
      <c r="V137" s="16" t="str">
        <f ca="1">IF(N137="","",IF(N137=0,0, VLOOKUP(A137,INDIRECT("'[" &amp;Info!$B$4&amp;"]"&amp;Info!$B$5&amp;"'!$A$6:$BB$1000"),54,0)))</f>
        <v/>
      </c>
      <c r="W137" s="17" t="str">
        <f t="shared" ca="1" si="9"/>
        <v/>
      </c>
      <c r="X137" s="18" t="str">
        <f t="shared" ca="1" si="10"/>
        <v/>
      </c>
      <c r="Y137" s="19" t="str">
        <f t="shared" ca="1" si="11"/>
        <v/>
      </c>
      <c r="Z137" s="18" t="str">
        <f t="shared" ca="1" si="12"/>
        <v/>
      </c>
    </row>
    <row r="138" spans="1:26" x14ac:dyDescent="0.25">
      <c r="A138" s="8" t="str">
        <f ca="1">IFERROR( VLOOKUP(A137+1,INDIRECT("'[" &amp;Info!$B$4&amp;"]"&amp;Info!$B$5&amp;"'!$A$6:$A$1000"),1,0),"")</f>
        <v/>
      </c>
      <c r="B138" s="5" t="str">
        <f ca="1">IFERROR( IF(A138="","", VLOOKUP(A138,INDIRECT("'[" &amp;Info!$B$4&amp;"]"&amp;Info!$B$5&amp;"'!$A$6:$B$1000"),2,0)),"")</f>
        <v/>
      </c>
      <c r="C138" s="14" t="str">
        <f ca="1">IFERROR( IF(A138="","", VLOOKUP(A138,INDIRECT("'[" &amp;Info!$B$4&amp;"]"&amp;Info!$B$5&amp;"'!$A$6:$D$1000"),3,0)),"")</f>
        <v/>
      </c>
      <c r="D138" s="31" t="str">
        <f ca="1">IF(C138="","", VLOOKUP(A138,INDIRECT("'[" &amp;Info!$B$4&amp;"]"&amp;Info!$B$5&amp;"'!$A$6:$T$1000"),20,0))</f>
        <v/>
      </c>
      <c r="E138" s="6" t="str">
        <f ca="1">IF(D138="","", VLOOKUP(A138,INDIRECT("'[" &amp;Info!$B$4&amp;"]"&amp;Info!$B$5&amp;"'!$A$6:$U$1000"),21,0))</f>
        <v/>
      </c>
      <c r="F138" s="6" t="str">
        <f ca="1">IF(D138="","", VLOOKUP(A138,INDIRECT("'[" &amp;Info!$B$4&amp;"]"&amp;Info!$B$5&amp;"'!$A$6:$U$1000"),21,0))</f>
        <v/>
      </c>
      <c r="G138" s="6" t="str">
        <f ca="1">IF(D138="","", VLOOKUP(A138,INDIRECT("'[" &amp;Info!$B$4&amp;"]"&amp;Info!$B$5&amp;"'!$A$6:$V$1000"),22,0))</f>
        <v/>
      </c>
      <c r="H138" s="6" t="str">
        <f ca="1">IF(D138="","", VLOOKUP(A138,INDIRECT("'[" &amp;Info!$B$4&amp;"]"&amp;Info!$B$5&amp;"'!$A$6:$W$1000"),23,0))</f>
        <v/>
      </c>
      <c r="I138" s="6" t="str">
        <f ca="1">LOWER( IF(D138="","", VLOOKUP(A138,INDIRECT("'[" &amp;Info!$B$4&amp;"]"&amp;Info!$B$5&amp;"'!$A$6:$y$1000"),25,0)))</f>
        <v/>
      </c>
      <c r="J138" s="6" t="str">
        <f ca="1">IF(D138="","", VLOOKUP(A138,INDIRECT("'[" &amp;Info!$B$4&amp;"]"&amp;Info!$B$5&amp;"'!$A$6:$Z$1000"),26,0))</f>
        <v/>
      </c>
      <c r="K138" s="35" t="str">
        <f ca="1">IF(D138="","", VLOOKUP(A138,INDIRECT("'[" &amp;Info!$B$4&amp;"]"&amp;Info!$B$5&amp;"'!$A$6:$AA$1000"),27,0))</f>
        <v/>
      </c>
      <c r="L138" s="35" t="str">
        <f ca="1">IF(D138="","", VLOOKUP(A138,INDIRECT("'[" &amp;Info!$B$4&amp;"]"&amp;Info!$B$5&amp;"'!$A$6:$H$1000"),8,0))</f>
        <v/>
      </c>
      <c r="M138" s="35" t="str">
        <f ca="1">IF(D138="","", VLOOKUP(A138,INDIRECT("'[" &amp;Info!$B$4&amp;"]"&amp;Info!$B$5&amp;"'!$A$6:$F$1000"),6,0))</f>
        <v/>
      </c>
      <c r="N138" s="33" t="str">
        <f ca="1">IF(C138="","", VLOOKUP(A138,INDIRECT("'[" &amp;Info!$B$4&amp;"]"&amp;Info!$B$5&amp;"'!$A$6:$Au$1000"),47,0))</f>
        <v/>
      </c>
      <c r="O138" s="28" t="str">
        <f ca="1">IF(N138="","",IF(N138=0,0,VLOOKUP(A138,INDIRECT("'[" &amp;Info!$B$4&amp;"]"&amp;Info!$B$5&amp;"'!$A$6:$AH$1000"),34,0)))</f>
        <v/>
      </c>
      <c r="P138" s="9" t="str">
        <f ca="1">IF(N138="","",IF(N138=0,0,VLOOKUP(A138,INDIRECT("'[" &amp;Info!$B$4&amp;"]"&amp;Info!$B$5&amp;"'!$A$6:$AW$1000"),49,0)))</f>
        <v/>
      </c>
      <c r="Q138" s="9" t="str">
        <f ca="1">IF(N138="","",IF(N138=0,0, VLOOKUP(A138,INDIRECT("'[" &amp;Info!$B$4&amp;"]"&amp;Info!$B$5&amp;"'!$A$6:$AX$1000"),50,0)))</f>
        <v/>
      </c>
      <c r="R138" s="29" t="str">
        <f ca="1">IF(N138="","",IF(N138=0,0, VLOOKUP(A138,INDIRECT("'[" &amp;Info!$B$4&amp;"]"&amp;Info!$B$5&amp;"'!$A$6:$AY$1000"),51,0)))</f>
        <v/>
      </c>
      <c r="S138" s="15" t="str">
        <f ca="1">IF(N138="","",IF(N138=0,0,VLOOKUP(A138,INDIRECT("'[" &amp;Info!$B$4&amp;"]"&amp;Info!$B$5&amp;"'!$A$6:$Ai$1000"),35,0)))</f>
        <v/>
      </c>
      <c r="T138" s="7" t="str">
        <f ca="1">IF(N138="","",IF(N138=0,0, VLOOKUP(A138,INDIRECT("'[" &amp;Info!$B$4&amp;"]"&amp;Info!$B$5&amp;"'!$A$6:$Az$1000"),52,0)))</f>
        <v/>
      </c>
      <c r="U138" s="7" t="str">
        <f ca="1">IF(N138="","",IF(N138=0,0, VLOOKUP(A138,INDIRECT("'[" &amp;Info!$B$4&amp;"]"&amp;Info!$B$5&amp;"'!$A$6:$BA$1000"),53,0)))</f>
        <v/>
      </c>
      <c r="V138" s="16" t="str">
        <f ca="1">IF(N138="","",IF(N138=0,0, VLOOKUP(A138,INDIRECT("'[" &amp;Info!$B$4&amp;"]"&amp;Info!$B$5&amp;"'!$A$6:$BB$1000"),54,0)))</f>
        <v/>
      </c>
      <c r="W138" s="17" t="str">
        <f t="shared" ca="1" si="9"/>
        <v/>
      </c>
      <c r="X138" s="18" t="str">
        <f t="shared" ca="1" si="10"/>
        <v/>
      </c>
      <c r="Y138" s="19" t="str">
        <f t="shared" ca="1" si="11"/>
        <v/>
      </c>
      <c r="Z138" s="18" t="str">
        <f t="shared" ca="1" si="12"/>
        <v/>
      </c>
    </row>
    <row r="139" spans="1:26" x14ac:dyDescent="0.25">
      <c r="A139" s="8" t="str">
        <f ca="1">IFERROR( VLOOKUP(A138+1,INDIRECT("'[" &amp;Info!$B$4&amp;"]"&amp;Info!$B$5&amp;"'!$A$6:$A$1000"),1,0),"")</f>
        <v/>
      </c>
      <c r="B139" s="5" t="str">
        <f ca="1">IFERROR( IF(A139="","", VLOOKUP(A139,INDIRECT("'[" &amp;Info!$B$4&amp;"]"&amp;Info!$B$5&amp;"'!$A$6:$B$1000"),2,0)),"")</f>
        <v/>
      </c>
      <c r="C139" s="14" t="str">
        <f ca="1">IFERROR( IF(A139="","", VLOOKUP(A139,INDIRECT("'[" &amp;Info!$B$4&amp;"]"&amp;Info!$B$5&amp;"'!$A$6:$D$1000"),3,0)),"")</f>
        <v/>
      </c>
      <c r="D139" s="31" t="str">
        <f ca="1">IF(C139="","", VLOOKUP(A139,INDIRECT("'[" &amp;Info!$B$4&amp;"]"&amp;Info!$B$5&amp;"'!$A$6:$T$1000"),20,0))</f>
        <v/>
      </c>
      <c r="E139" s="6" t="str">
        <f ca="1">IF(D139="","", VLOOKUP(A139,INDIRECT("'[" &amp;Info!$B$4&amp;"]"&amp;Info!$B$5&amp;"'!$A$6:$U$1000"),21,0))</f>
        <v/>
      </c>
      <c r="F139" s="6" t="str">
        <f ca="1">IF(D139="","", VLOOKUP(A139,INDIRECT("'[" &amp;Info!$B$4&amp;"]"&amp;Info!$B$5&amp;"'!$A$6:$U$1000"),21,0))</f>
        <v/>
      </c>
      <c r="G139" s="6" t="str">
        <f ca="1">IF(D139="","", VLOOKUP(A139,INDIRECT("'[" &amp;Info!$B$4&amp;"]"&amp;Info!$B$5&amp;"'!$A$6:$V$1000"),22,0))</f>
        <v/>
      </c>
      <c r="H139" s="6" t="str">
        <f ca="1">IF(D139="","", VLOOKUP(A139,INDIRECT("'[" &amp;Info!$B$4&amp;"]"&amp;Info!$B$5&amp;"'!$A$6:$W$1000"),23,0))</f>
        <v/>
      </c>
      <c r="I139" s="6" t="str">
        <f ca="1">LOWER( IF(D139="","", VLOOKUP(A139,INDIRECT("'[" &amp;Info!$B$4&amp;"]"&amp;Info!$B$5&amp;"'!$A$6:$y$1000"),25,0)))</f>
        <v/>
      </c>
      <c r="J139" s="6" t="str">
        <f ca="1">IF(D139="","", VLOOKUP(A139,INDIRECT("'[" &amp;Info!$B$4&amp;"]"&amp;Info!$B$5&amp;"'!$A$6:$Z$1000"),26,0))</f>
        <v/>
      </c>
      <c r="K139" s="35" t="str">
        <f ca="1">IF(D139="","", VLOOKUP(A139,INDIRECT("'[" &amp;Info!$B$4&amp;"]"&amp;Info!$B$5&amp;"'!$A$6:$AA$1000"),27,0))</f>
        <v/>
      </c>
      <c r="L139" s="35" t="str">
        <f ca="1">IF(D139="","", VLOOKUP(A139,INDIRECT("'[" &amp;Info!$B$4&amp;"]"&amp;Info!$B$5&amp;"'!$A$6:$H$1000"),8,0))</f>
        <v/>
      </c>
      <c r="M139" s="35" t="str">
        <f ca="1">IF(D139="","", VLOOKUP(A139,INDIRECT("'[" &amp;Info!$B$4&amp;"]"&amp;Info!$B$5&amp;"'!$A$6:$F$1000"),6,0))</f>
        <v/>
      </c>
      <c r="N139" s="33" t="str">
        <f ca="1">IF(C139="","", VLOOKUP(A139,INDIRECT("'[" &amp;Info!$B$4&amp;"]"&amp;Info!$B$5&amp;"'!$A$6:$Au$1000"),47,0))</f>
        <v/>
      </c>
      <c r="O139" s="28" t="str">
        <f ca="1">IF(N139="","",IF(N139=0,0,VLOOKUP(A139,INDIRECT("'[" &amp;Info!$B$4&amp;"]"&amp;Info!$B$5&amp;"'!$A$6:$AH$1000"),34,0)))</f>
        <v/>
      </c>
      <c r="P139" s="9" t="str">
        <f ca="1">IF(N139="","",IF(N139=0,0,VLOOKUP(A139,INDIRECT("'[" &amp;Info!$B$4&amp;"]"&amp;Info!$B$5&amp;"'!$A$6:$AW$1000"),49,0)))</f>
        <v/>
      </c>
      <c r="Q139" s="9" t="str">
        <f ca="1">IF(N139="","",IF(N139=0,0, VLOOKUP(A139,INDIRECT("'[" &amp;Info!$B$4&amp;"]"&amp;Info!$B$5&amp;"'!$A$6:$AX$1000"),50,0)))</f>
        <v/>
      </c>
      <c r="R139" s="29" t="str">
        <f ca="1">IF(N139="","",IF(N139=0,0, VLOOKUP(A139,INDIRECT("'[" &amp;Info!$B$4&amp;"]"&amp;Info!$B$5&amp;"'!$A$6:$AY$1000"),51,0)))</f>
        <v/>
      </c>
      <c r="S139" s="15" t="str">
        <f ca="1">IF(N139="","",IF(N139=0,0,VLOOKUP(A139,INDIRECT("'[" &amp;Info!$B$4&amp;"]"&amp;Info!$B$5&amp;"'!$A$6:$Ai$1000"),35,0)))</f>
        <v/>
      </c>
      <c r="T139" s="7" t="str">
        <f ca="1">IF(N139="","",IF(N139=0,0, VLOOKUP(A139,INDIRECT("'[" &amp;Info!$B$4&amp;"]"&amp;Info!$B$5&amp;"'!$A$6:$Az$1000"),52,0)))</f>
        <v/>
      </c>
      <c r="U139" s="7" t="str">
        <f ca="1">IF(N139="","",IF(N139=0,0, VLOOKUP(A139,INDIRECT("'[" &amp;Info!$B$4&amp;"]"&amp;Info!$B$5&amp;"'!$A$6:$BA$1000"),53,0)))</f>
        <v/>
      </c>
      <c r="V139" s="16" t="str">
        <f ca="1">IF(N139="","",IF(N139=0,0, VLOOKUP(A139,INDIRECT("'[" &amp;Info!$B$4&amp;"]"&amp;Info!$B$5&amp;"'!$A$6:$BB$1000"),54,0)))</f>
        <v/>
      </c>
      <c r="W139" s="17" t="str">
        <f t="shared" ca="1" si="9"/>
        <v/>
      </c>
      <c r="X139" s="18" t="str">
        <f t="shared" ca="1" si="10"/>
        <v/>
      </c>
      <c r="Y139" s="19" t="str">
        <f t="shared" ca="1" si="11"/>
        <v/>
      </c>
      <c r="Z139" s="18" t="str">
        <f t="shared" ca="1" si="12"/>
        <v/>
      </c>
    </row>
    <row r="140" spans="1:26" x14ac:dyDescent="0.25">
      <c r="A140" s="8" t="str">
        <f ca="1">IFERROR( VLOOKUP(A139+1,INDIRECT("'[" &amp;Info!$B$4&amp;"]"&amp;Info!$B$5&amp;"'!$A$6:$A$1000"),1,0),"")</f>
        <v/>
      </c>
      <c r="B140" s="5" t="str">
        <f ca="1">IFERROR( IF(A140="","", VLOOKUP(A140,INDIRECT("'[" &amp;Info!$B$4&amp;"]"&amp;Info!$B$5&amp;"'!$A$6:$B$1000"),2,0)),"")</f>
        <v/>
      </c>
      <c r="C140" s="14" t="str">
        <f ca="1">IFERROR( IF(A140="","", VLOOKUP(A140,INDIRECT("'[" &amp;Info!$B$4&amp;"]"&amp;Info!$B$5&amp;"'!$A$6:$D$1000"),3,0)),"")</f>
        <v/>
      </c>
      <c r="D140" s="31" t="str">
        <f ca="1">IF(C140="","", VLOOKUP(A140,INDIRECT("'[" &amp;Info!$B$4&amp;"]"&amp;Info!$B$5&amp;"'!$A$6:$T$1000"),20,0))</f>
        <v/>
      </c>
      <c r="E140" s="6" t="str">
        <f ca="1">IF(D140="","", VLOOKUP(A140,INDIRECT("'[" &amp;Info!$B$4&amp;"]"&amp;Info!$B$5&amp;"'!$A$6:$U$1000"),21,0))</f>
        <v/>
      </c>
      <c r="F140" s="6" t="str">
        <f ca="1">IF(D140="","", VLOOKUP(A140,INDIRECT("'[" &amp;Info!$B$4&amp;"]"&amp;Info!$B$5&amp;"'!$A$6:$U$1000"),21,0))</f>
        <v/>
      </c>
      <c r="G140" s="6" t="str">
        <f ca="1">IF(D140="","", VLOOKUP(A140,INDIRECT("'[" &amp;Info!$B$4&amp;"]"&amp;Info!$B$5&amp;"'!$A$6:$V$1000"),22,0))</f>
        <v/>
      </c>
      <c r="H140" s="6" t="str">
        <f ca="1">IF(D140="","", VLOOKUP(A140,INDIRECT("'[" &amp;Info!$B$4&amp;"]"&amp;Info!$B$5&amp;"'!$A$6:$W$1000"),23,0))</f>
        <v/>
      </c>
      <c r="I140" s="6" t="str">
        <f ca="1">LOWER( IF(D140="","", VLOOKUP(A140,INDIRECT("'[" &amp;Info!$B$4&amp;"]"&amp;Info!$B$5&amp;"'!$A$6:$y$1000"),25,0)))</f>
        <v/>
      </c>
      <c r="J140" s="6" t="str">
        <f ca="1">IF(D140="","", VLOOKUP(A140,INDIRECT("'[" &amp;Info!$B$4&amp;"]"&amp;Info!$B$5&amp;"'!$A$6:$Z$1000"),26,0))</f>
        <v/>
      </c>
      <c r="K140" s="35" t="str">
        <f ca="1">IF(D140="","", VLOOKUP(A140,INDIRECT("'[" &amp;Info!$B$4&amp;"]"&amp;Info!$B$5&amp;"'!$A$6:$AA$1000"),27,0))</f>
        <v/>
      </c>
      <c r="L140" s="35" t="str">
        <f ca="1">IF(D140="","", VLOOKUP(A140,INDIRECT("'[" &amp;Info!$B$4&amp;"]"&amp;Info!$B$5&amp;"'!$A$6:$H$1000"),8,0))</f>
        <v/>
      </c>
      <c r="M140" s="35" t="str">
        <f ca="1">IF(D140="","", VLOOKUP(A140,INDIRECT("'[" &amp;Info!$B$4&amp;"]"&amp;Info!$B$5&amp;"'!$A$6:$F$1000"),6,0))</f>
        <v/>
      </c>
      <c r="N140" s="33" t="str">
        <f ca="1">IF(C140="","", VLOOKUP(A140,INDIRECT("'[" &amp;Info!$B$4&amp;"]"&amp;Info!$B$5&amp;"'!$A$6:$Au$1000"),47,0))</f>
        <v/>
      </c>
      <c r="O140" s="28" t="str">
        <f ca="1">IF(N140="","",IF(N140=0,0,VLOOKUP(A140,INDIRECT("'[" &amp;Info!$B$4&amp;"]"&amp;Info!$B$5&amp;"'!$A$6:$AH$1000"),34,0)))</f>
        <v/>
      </c>
      <c r="P140" s="9" t="str">
        <f ca="1">IF(N140="","",IF(N140=0,0,VLOOKUP(A140,INDIRECT("'[" &amp;Info!$B$4&amp;"]"&amp;Info!$B$5&amp;"'!$A$6:$AW$1000"),49,0)))</f>
        <v/>
      </c>
      <c r="Q140" s="9" t="str">
        <f ca="1">IF(N140="","",IF(N140=0,0, VLOOKUP(A140,INDIRECT("'[" &amp;Info!$B$4&amp;"]"&amp;Info!$B$5&amp;"'!$A$6:$AX$1000"),50,0)))</f>
        <v/>
      </c>
      <c r="R140" s="29" t="str">
        <f ca="1">IF(N140="","",IF(N140=0,0, VLOOKUP(A140,INDIRECT("'[" &amp;Info!$B$4&amp;"]"&amp;Info!$B$5&amp;"'!$A$6:$AY$1000"),51,0)))</f>
        <v/>
      </c>
      <c r="S140" s="15" t="str">
        <f ca="1">IF(N140="","",IF(N140=0,0,VLOOKUP(A140,INDIRECT("'[" &amp;Info!$B$4&amp;"]"&amp;Info!$B$5&amp;"'!$A$6:$Ai$1000"),35,0)))</f>
        <v/>
      </c>
      <c r="T140" s="7" t="str">
        <f ca="1">IF(N140="","",IF(N140=0,0, VLOOKUP(A140,INDIRECT("'[" &amp;Info!$B$4&amp;"]"&amp;Info!$B$5&amp;"'!$A$6:$Az$1000"),52,0)))</f>
        <v/>
      </c>
      <c r="U140" s="7" t="str">
        <f ca="1">IF(N140="","",IF(N140=0,0, VLOOKUP(A140,INDIRECT("'[" &amp;Info!$B$4&amp;"]"&amp;Info!$B$5&amp;"'!$A$6:$BA$1000"),53,0)))</f>
        <v/>
      </c>
      <c r="V140" s="16" t="str">
        <f ca="1">IF(N140="","",IF(N140=0,0, VLOOKUP(A140,INDIRECT("'[" &amp;Info!$B$4&amp;"]"&amp;Info!$B$5&amp;"'!$A$6:$BB$1000"),54,0)))</f>
        <v/>
      </c>
      <c r="W140" s="17" t="str">
        <f t="shared" ca="1" si="9"/>
        <v/>
      </c>
      <c r="X140" s="18" t="str">
        <f t="shared" ca="1" si="10"/>
        <v/>
      </c>
      <c r="Y140" s="19" t="str">
        <f t="shared" ca="1" si="11"/>
        <v/>
      </c>
      <c r="Z140" s="18" t="str">
        <f t="shared" ca="1" si="12"/>
        <v/>
      </c>
    </row>
    <row r="141" spans="1:26" x14ac:dyDescent="0.25">
      <c r="A141" s="8" t="str">
        <f ca="1">IFERROR( VLOOKUP(A140+1,INDIRECT("'[" &amp;Info!$B$4&amp;"]"&amp;Info!$B$5&amp;"'!$A$6:$A$1000"),1,0),"")</f>
        <v/>
      </c>
      <c r="B141" s="5" t="str">
        <f ca="1">IFERROR( IF(A141="","", VLOOKUP(A141,INDIRECT("'[" &amp;Info!$B$4&amp;"]"&amp;Info!$B$5&amp;"'!$A$6:$B$1000"),2,0)),"")</f>
        <v/>
      </c>
      <c r="C141" s="14" t="str">
        <f ca="1">IFERROR( IF(A141="","", VLOOKUP(A141,INDIRECT("'[" &amp;Info!$B$4&amp;"]"&amp;Info!$B$5&amp;"'!$A$6:$D$1000"),3,0)),"")</f>
        <v/>
      </c>
      <c r="D141" s="31" t="str">
        <f ca="1">IF(C141="","", VLOOKUP(A141,INDIRECT("'[" &amp;Info!$B$4&amp;"]"&amp;Info!$B$5&amp;"'!$A$6:$T$1000"),20,0))</f>
        <v/>
      </c>
      <c r="E141" s="6" t="str">
        <f ca="1">IF(D141="","", VLOOKUP(A141,INDIRECT("'[" &amp;Info!$B$4&amp;"]"&amp;Info!$B$5&amp;"'!$A$6:$U$1000"),21,0))</f>
        <v/>
      </c>
      <c r="F141" s="6" t="str">
        <f ca="1">IF(D141="","", VLOOKUP(A141,INDIRECT("'[" &amp;Info!$B$4&amp;"]"&amp;Info!$B$5&amp;"'!$A$6:$U$1000"),21,0))</f>
        <v/>
      </c>
      <c r="G141" s="6" t="str">
        <f ca="1">IF(D141="","", VLOOKUP(A141,INDIRECT("'[" &amp;Info!$B$4&amp;"]"&amp;Info!$B$5&amp;"'!$A$6:$V$1000"),22,0))</f>
        <v/>
      </c>
      <c r="H141" s="6" t="str">
        <f ca="1">IF(D141="","", VLOOKUP(A141,INDIRECT("'[" &amp;Info!$B$4&amp;"]"&amp;Info!$B$5&amp;"'!$A$6:$W$1000"),23,0))</f>
        <v/>
      </c>
      <c r="I141" s="6" t="str">
        <f ca="1">LOWER( IF(D141="","", VLOOKUP(A141,INDIRECT("'[" &amp;Info!$B$4&amp;"]"&amp;Info!$B$5&amp;"'!$A$6:$y$1000"),25,0)))</f>
        <v/>
      </c>
      <c r="J141" s="6" t="str">
        <f ca="1">IF(D141="","", VLOOKUP(A141,INDIRECT("'[" &amp;Info!$B$4&amp;"]"&amp;Info!$B$5&amp;"'!$A$6:$Z$1000"),26,0))</f>
        <v/>
      </c>
      <c r="K141" s="35" t="str">
        <f ca="1">IF(D141="","", VLOOKUP(A141,INDIRECT("'[" &amp;Info!$B$4&amp;"]"&amp;Info!$B$5&amp;"'!$A$6:$AA$1000"),27,0))</f>
        <v/>
      </c>
      <c r="L141" s="35" t="str">
        <f ca="1">IF(D141="","", VLOOKUP(A141,INDIRECT("'[" &amp;Info!$B$4&amp;"]"&amp;Info!$B$5&amp;"'!$A$6:$H$1000"),8,0))</f>
        <v/>
      </c>
      <c r="M141" s="35" t="str">
        <f ca="1">IF(D141="","", VLOOKUP(A141,INDIRECT("'[" &amp;Info!$B$4&amp;"]"&amp;Info!$B$5&amp;"'!$A$6:$F$1000"),6,0))</f>
        <v/>
      </c>
      <c r="N141" s="33" t="str">
        <f ca="1">IF(C141="","", VLOOKUP(A141,INDIRECT("'[" &amp;Info!$B$4&amp;"]"&amp;Info!$B$5&amp;"'!$A$6:$Au$1000"),47,0))</f>
        <v/>
      </c>
      <c r="O141" s="28" t="str">
        <f ca="1">IF(N141="","",IF(N141=0,0,VLOOKUP(A141,INDIRECT("'[" &amp;Info!$B$4&amp;"]"&amp;Info!$B$5&amp;"'!$A$6:$AH$1000"),34,0)))</f>
        <v/>
      </c>
      <c r="P141" s="9" t="str">
        <f ca="1">IF(N141="","",IF(N141=0,0,VLOOKUP(A141,INDIRECT("'[" &amp;Info!$B$4&amp;"]"&amp;Info!$B$5&amp;"'!$A$6:$AW$1000"),49,0)))</f>
        <v/>
      </c>
      <c r="Q141" s="9" t="str">
        <f ca="1">IF(N141="","",IF(N141=0,0, VLOOKUP(A141,INDIRECT("'[" &amp;Info!$B$4&amp;"]"&amp;Info!$B$5&amp;"'!$A$6:$AX$1000"),50,0)))</f>
        <v/>
      </c>
      <c r="R141" s="29" t="str">
        <f ca="1">IF(N141="","",IF(N141=0,0, VLOOKUP(A141,INDIRECT("'[" &amp;Info!$B$4&amp;"]"&amp;Info!$B$5&amp;"'!$A$6:$AY$1000"),51,0)))</f>
        <v/>
      </c>
      <c r="S141" s="15" t="str">
        <f ca="1">IF(N141="","",IF(N141=0,0,VLOOKUP(A141,INDIRECT("'[" &amp;Info!$B$4&amp;"]"&amp;Info!$B$5&amp;"'!$A$6:$Ai$1000"),35,0)))</f>
        <v/>
      </c>
      <c r="T141" s="7" t="str">
        <f ca="1">IF(N141="","",IF(N141=0,0, VLOOKUP(A141,INDIRECT("'[" &amp;Info!$B$4&amp;"]"&amp;Info!$B$5&amp;"'!$A$6:$Az$1000"),52,0)))</f>
        <v/>
      </c>
      <c r="U141" s="7" t="str">
        <f ca="1">IF(N141="","",IF(N141=0,0, VLOOKUP(A141,INDIRECT("'[" &amp;Info!$B$4&amp;"]"&amp;Info!$B$5&amp;"'!$A$6:$BA$1000"),53,0)))</f>
        <v/>
      </c>
      <c r="V141" s="16" t="str">
        <f ca="1">IF(N141="","",IF(N141=0,0, VLOOKUP(A141,INDIRECT("'[" &amp;Info!$B$4&amp;"]"&amp;Info!$B$5&amp;"'!$A$6:$BB$1000"),54,0)))</f>
        <v/>
      </c>
      <c r="W141" s="17" t="str">
        <f t="shared" ca="1" si="9"/>
        <v/>
      </c>
      <c r="X141" s="18" t="str">
        <f t="shared" ca="1" si="10"/>
        <v/>
      </c>
      <c r="Y141" s="19" t="str">
        <f t="shared" ca="1" si="11"/>
        <v/>
      </c>
      <c r="Z141" s="18" t="str">
        <f t="shared" ca="1" si="12"/>
        <v/>
      </c>
    </row>
    <row r="142" spans="1:26" x14ac:dyDescent="0.25">
      <c r="A142" s="8" t="str">
        <f ca="1">IFERROR( VLOOKUP(A141+1,INDIRECT("'[" &amp;Info!$B$4&amp;"]"&amp;Info!$B$5&amp;"'!$A$6:$A$1000"),1,0),"")</f>
        <v/>
      </c>
      <c r="B142" s="5" t="str">
        <f ca="1">IFERROR( IF(A142="","", VLOOKUP(A142,INDIRECT("'[" &amp;Info!$B$4&amp;"]"&amp;Info!$B$5&amp;"'!$A$6:$B$1000"),2,0)),"")</f>
        <v/>
      </c>
      <c r="C142" s="14" t="str">
        <f ca="1">IFERROR( IF(A142="","", VLOOKUP(A142,INDIRECT("'[" &amp;Info!$B$4&amp;"]"&amp;Info!$B$5&amp;"'!$A$6:$D$1000"),3,0)),"")</f>
        <v/>
      </c>
      <c r="D142" s="31" t="str">
        <f ca="1">IF(C142="","", VLOOKUP(A142,INDIRECT("'[" &amp;Info!$B$4&amp;"]"&amp;Info!$B$5&amp;"'!$A$6:$T$1000"),20,0))</f>
        <v/>
      </c>
      <c r="E142" s="6" t="str">
        <f ca="1">IF(D142="","", VLOOKUP(A142,INDIRECT("'[" &amp;Info!$B$4&amp;"]"&amp;Info!$B$5&amp;"'!$A$6:$U$1000"),21,0))</f>
        <v/>
      </c>
      <c r="F142" s="6" t="str">
        <f ca="1">IF(D142="","", VLOOKUP(A142,INDIRECT("'[" &amp;Info!$B$4&amp;"]"&amp;Info!$B$5&amp;"'!$A$6:$U$1000"),21,0))</f>
        <v/>
      </c>
      <c r="G142" s="6" t="str">
        <f ca="1">IF(D142="","", VLOOKUP(A142,INDIRECT("'[" &amp;Info!$B$4&amp;"]"&amp;Info!$B$5&amp;"'!$A$6:$V$1000"),22,0))</f>
        <v/>
      </c>
      <c r="H142" s="6" t="str">
        <f ca="1">IF(D142="","", VLOOKUP(A142,INDIRECT("'[" &amp;Info!$B$4&amp;"]"&amp;Info!$B$5&amp;"'!$A$6:$W$1000"),23,0))</f>
        <v/>
      </c>
      <c r="I142" s="6" t="str">
        <f ca="1">LOWER( IF(D142="","", VLOOKUP(A142,INDIRECT("'[" &amp;Info!$B$4&amp;"]"&amp;Info!$B$5&amp;"'!$A$6:$y$1000"),25,0)))</f>
        <v/>
      </c>
      <c r="J142" s="6" t="str">
        <f ca="1">IF(D142="","", VLOOKUP(A142,INDIRECT("'[" &amp;Info!$B$4&amp;"]"&amp;Info!$B$5&amp;"'!$A$6:$Z$1000"),26,0))</f>
        <v/>
      </c>
      <c r="K142" s="35" t="str">
        <f ca="1">IF(D142="","", VLOOKUP(A142,INDIRECT("'[" &amp;Info!$B$4&amp;"]"&amp;Info!$B$5&amp;"'!$A$6:$AA$1000"),27,0))</f>
        <v/>
      </c>
      <c r="L142" s="35" t="str">
        <f ca="1">IF(D142="","", VLOOKUP(A142,INDIRECT("'[" &amp;Info!$B$4&amp;"]"&amp;Info!$B$5&amp;"'!$A$6:$H$1000"),8,0))</f>
        <v/>
      </c>
      <c r="M142" s="35" t="str">
        <f ca="1">IF(D142="","", VLOOKUP(A142,INDIRECT("'[" &amp;Info!$B$4&amp;"]"&amp;Info!$B$5&amp;"'!$A$6:$F$1000"),6,0))</f>
        <v/>
      </c>
      <c r="N142" s="33" t="str">
        <f ca="1">IF(C142="","", VLOOKUP(A142,INDIRECT("'[" &amp;Info!$B$4&amp;"]"&amp;Info!$B$5&amp;"'!$A$6:$Au$1000"),47,0))</f>
        <v/>
      </c>
      <c r="O142" s="28" t="str">
        <f ca="1">IF(N142="","",IF(N142=0,0,VLOOKUP(A142,INDIRECT("'[" &amp;Info!$B$4&amp;"]"&amp;Info!$B$5&amp;"'!$A$6:$AH$1000"),34,0)))</f>
        <v/>
      </c>
      <c r="P142" s="9" t="str">
        <f ca="1">IF(N142="","",IF(N142=0,0,VLOOKUP(A142,INDIRECT("'[" &amp;Info!$B$4&amp;"]"&amp;Info!$B$5&amp;"'!$A$6:$AW$1000"),49,0)))</f>
        <v/>
      </c>
      <c r="Q142" s="9" t="str">
        <f ca="1">IF(N142="","",IF(N142=0,0, VLOOKUP(A142,INDIRECT("'[" &amp;Info!$B$4&amp;"]"&amp;Info!$B$5&amp;"'!$A$6:$AX$1000"),50,0)))</f>
        <v/>
      </c>
      <c r="R142" s="29" t="str">
        <f ca="1">IF(N142="","",IF(N142=0,0, VLOOKUP(A142,INDIRECT("'[" &amp;Info!$B$4&amp;"]"&amp;Info!$B$5&amp;"'!$A$6:$AY$1000"),51,0)))</f>
        <v/>
      </c>
      <c r="S142" s="15" t="str">
        <f ca="1">IF(N142="","",IF(N142=0,0,VLOOKUP(A142,INDIRECT("'[" &amp;Info!$B$4&amp;"]"&amp;Info!$B$5&amp;"'!$A$6:$Ai$1000"),35,0)))</f>
        <v/>
      </c>
      <c r="T142" s="7" t="str">
        <f ca="1">IF(N142="","",IF(N142=0,0, VLOOKUP(A142,INDIRECT("'[" &amp;Info!$B$4&amp;"]"&amp;Info!$B$5&amp;"'!$A$6:$Az$1000"),52,0)))</f>
        <v/>
      </c>
      <c r="U142" s="7" t="str">
        <f ca="1">IF(N142="","",IF(N142=0,0, VLOOKUP(A142,INDIRECT("'[" &amp;Info!$B$4&amp;"]"&amp;Info!$B$5&amp;"'!$A$6:$BA$1000"),53,0)))</f>
        <v/>
      </c>
      <c r="V142" s="16" t="str">
        <f ca="1">IF(N142="","",IF(N142=0,0, VLOOKUP(A142,INDIRECT("'[" &amp;Info!$B$4&amp;"]"&amp;Info!$B$5&amp;"'!$A$6:$BB$1000"),54,0)))</f>
        <v/>
      </c>
      <c r="W142" s="17" t="str">
        <f t="shared" ca="1" si="9"/>
        <v/>
      </c>
      <c r="X142" s="18" t="str">
        <f t="shared" ca="1" si="10"/>
        <v/>
      </c>
      <c r="Y142" s="19" t="str">
        <f t="shared" ca="1" si="11"/>
        <v/>
      </c>
      <c r="Z142" s="18" t="str">
        <f t="shared" ca="1" si="12"/>
        <v/>
      </c>
    </row>
    <row r="143" spans="1:26" x14ac:dyDescent="0.25">
      <c r="A143" s="8" t="str">
        <f ca="1">IFERROR( VLOOKUP(A142+1,INDIRECT("'[" &amp;Info!$B$4&amp;"]"&amp;Info!$B$5&amp;"'!$A$6:$A$1000"),1,0),"")</f>
        <v/>
      </c>
      <c r="B143" s="5" t="str">
        <f ca="1">IFERROR( IF(A143="","", VLOOKUP(A143,INDIRECT("'[" &amp;Info!$B$4&amp;"]"&amp;Info!$B$5&amp;"'!$A$6:$B$1000"),2,0)),"")</f>
        <v/>
      </c>
      <c r="C143" s="14" t="str">
        <f ca="1">IFERROR( IF(A143="","", VLOOKUP(A143,INDIRECT("'[" &amp;Info!$B$4&amp;"]"&amp;Info!$B$5&amp;"'!$A$6:$D$1000"),3,0)),"")</f>
        <v/>
      </c>
      <c r="D143" s="31" t="str">
        <f ca="1">IF(C143="","", VLOOKUP(A143,INDIRECT("'[" &amp;Info!$B$4&amp;"]"&amp;Info!$B$5&amp;"'!$A$6:$T$1000"),20,0))</f>
        <v/>
      </c>
      <c r="E143" s="6" t="str">
        <f ca="1">IF(D143="","", VLOOKUP(A143,INDIRECT("'[" &amp;Info!$B$4&amp;"]"&amp;Info!$B$5&amp;"'!$A$6:$U$1000"),21,0))</f>
        <v/>
      </c>
      <c r="F143" s="6" t="str">
        <f ca="1">IF(D143="","", VLOOKUP(A143,INDIRECT("'[" &amp;Info!$B$4&amp;"]"&amp;Info!$B$5&amp;"'!$A$6:$U$1000"),21,0))</f>
        <v/>
      </c>
      <c r="G143" s="6" t="str">
        <f ca="1">IF(D143="","", VLOOKUP(A143,INDIRECT("'[" &amp;Info!$B$4&amp;"]"&amp;Info!$B$5&amp;"'!$A$6:$V$1000"),22,0))</f>
        <v/>
      </c>
      <c r="H143" s="6" t="str">
        <f ca="1">IF(D143="","", VLOOKUP(A143,INDIRECT("'[" &amp;Info!$B$4&amp;"]"&amp;Info!$B$5&amp;"'!$A$6:$W$1000"),23,0))</f>
        <v/>
      </c>
      <c r="I143" s="6" t="str">
        <f ca="1">LOWER( IF(D143="","", VLOOKUP(A143,INDIRECT("'[" &amp;Info!$B$4&amp;"]"&amp;Info!$B$5&amp;"'!$A$6:$y$1000"),25,0)))</f>
        <v/>
      </c>
      <c r="J143" s="6" t="str">
        <f ca="1">IF(D143="","", VLOOKUP(A143,INDIRECT("'[" &amp;Info!$B$4&amp;"]"&amp;Info!$B$5&amp;"'!$A$6:$Z$1000"),26,0))</f>
        <v/>
      </c>
      <c r="K143" s="35" t="str">
        <f ca="1">IF(D143="","", VLOOKUP(A143,INDIRECT("'[" &amp;Info!$B$4&amp;"]"&amp;Info!$B$5&amp;"'!$A$6:$AA$1000"),27,0))</f>
        <v/>
      </c>
      <c r="L143" s="35" t="str">
        <f ca="1">IF(D143="","", VLOOKUP(A143,INDIRECT("'[" &amp;Info!$B$4&amp;"]"&amp;Info!$B$5&amp;"'!$A$6:$H$1000"),8,0))</f>
        <v/>
      </c>
      <c r="M143" s="35" t="str">
        <f ca="1">IF(D143="","", VLOOKUP(A143,INDIRECT("'[" &amp;Info!$B$4&amp;"]"&amp;Info!$B$5&amp;"'!$A$6:$F$1000"),6,0))</f>
        <v/>
      </c>
      <c r="N143" s="33" t="str">
        <f ca="1">IF(C143="","", VLOOKUP(A143,INDIRECT("'[" &amp;Info!$B$4&amp;"]"&amp;Info!$B$5&amp;"'!$A$6:$Au$1000"),47,0))</f>
        <v/>
      </c>
      <c r="O143" s="28" t="str">
        <f ca="1">IF(N143="","",IF(N143=0,0,VLOOKUP(A143,INDIRECT("'[" &amp;Info!$B$4&amp;"]"&amp;Info!$B$5&amp;"'!$A$6:$AH$1000"),34,0)))</f>
        <v/>
      </c>
      <c r="P143" s="9" t="str">
        <f ca="1">IF(N143="","",IF(N143=0,0,VLOOKUP(A143,INDIRECT("'[" &amp;Info!$B$4&amp;"]"&amp;Info!$B$5&amp;"'!$A$6:$AW$1000"),49,0)))</f>
        <v/>
      </c>
      <c r="Q143" s="9" t="str">
        <f ca="1">IF(N143="","",IF(N143=0,0, VLOOKUP(A143,INDIRECT("'[" &amp;Info!$B$4&amp;"]"&amp;Info!$B$5&amp;"'!$A$6:$AX$1000"),50,0)))</f>
        <v/>
      </c>
      <c r="R143" s="29" t="str">
        <f ca="1">IF(N143="","",IF(N143=0,0, VLOOKUP(A143,INDIRECT("'[" &amp;Info!$B$4&amp;"]"&amp;Info!$B$5&amp;"'!$A$6:$AY$1000"),51,0)))</f>
        <v/>
      </c>
      <c r="S143" s="15" t="str">
        <f ca="1">IF(N143="","",IF(N143=0,0,VLOOKUP(A143,INDIRECT("'[" &amp;Info!$B$4&amp;"]"&amp;Info!$B$5&amp;"'!$A$6:$Ai$1000"),35,0)))</f>
        <v/>
      </c>
      <c r="T143" s="7" t="str">
        <f ca="1">IF(N143="","",IF(N143=0,0, VLOOKUP(A143,INDIRECT("'[" &amp;Info!$B$4&amp;"]"&amp;Info!$B$5&amp;"'!$A$6:$Az$1000"),52,0)))</f>
        <v/>
      </c>
      <c r="U143" s="7" t="str">
        <f ca="1">IF(N143="","",IF(N143=0,0, VLOOKUP(A143,INDIRECT("'[" &amp;Info!$B$4&amp;"]"&amp;Info!$B$5&amp;"'!$A$6:$BA$1000"),53,0)))</f>
        <v/>
      </c>
      <c r="V143" s="16" t="str">
        <f ca="1">IF(N143="","",IF(N143=0,0, VLOOKUP(A143,INDIRECT("'[" &amp;Info!$B$4&amp;"]"&amp;Info!$B$5&amp;"'!$A$6:$BB$1000"),54,0)))</f>
        <v/>
      </c>
      <c r="W143" s="17" t="str">
        <f t="shared" ca="1" si="9"/>
        <v/>
      </c>
      <c r="X143" s="18" t="str">
        <f t="shared" ca="1" si="10"/>
        <v/>
      </c>
      <c r="Y143" s="19" t="str">
        <f t="shared" ca="1" si="11"/>
        <v/>
      </c>
      <c r="Z143" s="18" t="str">
        <f t="shared" ca="1" si="12"/>
        <v/>
      </c>
    </row>
    <row r="144" spans="1:26" x14ac:dyDescent="0.25">
      <c r="A144" s="8" t="str">
        <f ca="1">IFERROR( VLOOKUP(A143+1,INDIRECT("'[" &amp;Info!$B$4&amp;"]"&amp;Info!$B$5&amp;"'!$A$6:$A$1000"),1,0),"")</f>
        <v/>
      </c>
      <c r="B144" s="5" t="str">
        <f ca="1">IFERROR( IF(A144="","", VLOOKUP(A144,INDIRECT("'[" &amp;Info!$B$4&amp;"]"&amp;Info!$B$5&amp;"'!$A$6:$B$1000"),2,0)),"")</f>
        <v/>
      </c>
      <c r="C144" s="14" t="str">
        <f ca="1">IFERROR( IF(A144="","", VLOOKUP(A144,INDIRECT("'[" &amp;Info!$B$4&amp;"]"&amp;Info!$B$5&amp;"'!$A$6:$D$1000"),3,0)),"")</f>
        <v/>
      </c>
      <c r="D144" s="31" t="str">
        <f ca="1">IF(C144="","", VLOOKUP(A144,INDIRECT("'[" &amp;Info!$B$4&amp;"]"&amp;Info!$B$5&amp;"'!$A$6:$T$1000"),20,0))</f>
        <v/>
      </c>
      <c r="E144" s="6" t="str">
        <f ca="1">IF(D144="","", VLOOKUP(A144,INDIRECT("'[" &amp;Info!$B$4&amp;"]"&amp;Info!$B$5&amp;"'!$A$6:$U$1000"),21,0))</f>
        <v/>
      </c>
      <c r="F144" s="6" t="str">
        <f ca="1">IF(D144="","", VLOOKUP(A144,INDIRECT("'[" &amp;Info!$B$4&amp;"]"&amp;Info!$B$5&amp;"'!$A$6:$U$1000"),21,0))</f>
        <v/>
      </c>
      <c r="G144" s="6" t="str">
        <f ca="1">IF(D144="","", VLOOKUP(A144,INDIRECT("'[" &amp;Info!$B$4&amp;"]"&amp;Info!$B$5&amp;"'!$A$6:$V$1000"),22,0))</f>
        <v/>
      </c>
      <c r="H144" s="6" t="str">
        <f ca="1">IF(D144="","", VLOOKUP(A144,INDIRECT("'[" &amp;Info!$B$4&amp;"]"&amp;Info!$B$5&amp;"'!$A$6:$W$1000"),23,0))</f>
        <v/>
      </c>
      <c r="I144" s="6" t="str">
        <f ca="1">LOWER( IF(D144="","", VLOOKUP(A144,INDIRECT("'[" &amp;Info!$B$4&amp;"]"&amp;Info!$B$5&amp;"'!$A$6:$y$1000"),25,0)))</f>
        <v/>
      </c>
      <c r="J144" s="6" t="str">
        <f ca="1">IF(D144="","", VLOOKUP(A144,INDIRECT("'[" &amp;Info!$B$4&amp;"]"&amp;Info!$B$5&amp;"'!$A$6:$Z$1000"),26,0))</f>
        <v/>
      </c>
      <c r="K144" s="35" t="str">
        <f ca="1">IF(D144="","", VLOOKUP(A144,INDIRECT("'[" &amp;Info!$B$4&amp;"]"&amp;Info!$B$5&amp;"'!$A$6:$AA$1000"),27,0))</f>
        <v/>
      </c>
      <c r="L144" s="35" t="str">
        <f ca="1">IF(D144="","", VLOOKUP(A144,INDIRECT("'[" &amp;Info!$B$4&amp;"]"&amp;Info!$B$5&amp;"'!$A$6:$H$1000"),8,0))</f>
        <v/>
      </c>
      <c r="M144" s="35" t="str">
        <f ca="1">IF(D144="","", VLOOKUP(A144,INDIRECT("'[" &amp;Info!$B$4&amp;"]"&amp;Info!$B$5&amp;"'!$A$6:$F$1000"),6,0))</f>
        <v/>
      </c>
      <c r="N144" s="33" t="str">
        <f ca="1">IF(C144="","", VLOOKUP(A144,INDIRECT("'[" &amp;Info!$B$4&amp;"]"&amp;Info!$B$5&amp;"'!$A$6:$Au$1000"),47,0))</f>
        <v/>
      </c>
      <c r="O144" s="28" t="str">
        <f ca="1">IF(N144="","",IF(N144=0,0,VLOOKUP(A144,INDIRECT("'[" &amp;Info!$B$4&amp;"]"&amp;Info!$B$5&amp;"'!$A$6:$AH$1000"),34,0)))</f>
        <v/>
      </c>
      <c r="P144" s="9" t="str">
        <f ca="1">IF(N144="","",IF(N144=0,0,VLOOKUP(A144,INDIRECT("'[" &amp;Info!$B$4&amp;"]"&amp;Info!$B$5&amp;"'!$A$6:$AW$1000"),49,0)))</f>
        <v/>
      </c>
      <c r="Q144" s="9" t="str">
        <f ca="1">IF(N144="","",IF(N144=0,0, VLOOKUP(A144,INDIRECT("'[" &amp;Info!$B$4&amp;"]"&amp;Info!$B$5&amp;"'!$A$6:$AX$1000"),50,0)))</f>
        <v/>
      </c>
      <c r="R144" s="29" t="str">
        <f ca="1">IF(N144="","",IF(N144=0,0, VLOOKUP(A144,INDIRECT("'[" &amp;Info!$B$4&amp;"]"&amp;Info!$B$5&amp;"'!$A$6:$AY$1000"),51,0)))</f>
        <v/>
      </c>
      <c r="S144" s="15" t="str">
        <f ca="1">IF(N144="","",IF(N144=0,0,VLOOKUP(A144,INDIRECT("'[" &amp;Info!$B$4&amp;"]"&amp;Info!$B$5&amp;"'!$A$6:$Ai$1000"),35,0)))</f>
        <v/>
      </c>
      <c r="T144" s="7" t="str">
        <f ca="1">IF(N144="","",IF(N144=0,0, VLOOKUP(A144,INDIRECT("'[" &amp;Info!$B$4&amp;"]"&amp;Info!$B$5&amp;"'!$A$6:$Az$1000"),52,0)))</f>
        <v/>
      </c>
      <c r="U144" s="7" t="str">
        <f ca="1">IF(N144="","",IF(N144=0,0, VLOOKUP(A144,INDIRECT("'[" &amp;Info!$B$4&amp;"]"&amp;Info!$B$5&amp;"'!$A$6:$BA$1000"),53,0)))</f>
        <v/>
      </c>
      <c r="V144" s="16" t="str">
        <f ca="1">IF(N144="","",IF(N144=0,0, VLOOKUP(A144,INDIRECT("'[" &amp;Info!$B$4&amp;"]"&amp;Info!$B$5&amp;"'!$A$6:$BB$1000"),54,0)))</f>
        <v/>
      </c>
      <c r="W144" s="17" t="str">
        <f t="shared" ca="1" si="9"/>
        <v/>
      </c>
      <c r="X144" s="18" t="str">
        <f t="shared" ca="1" si="10"/>
        <v/>
      </c>
      <c r="Y144" s="19" t="str">
        <f t="shared" ca="1" si="11"/>
        <v/>
      </c>
      <c r="Z144" s="18" t="str">
        <f t="shared" ca="1" si="12"/>
        <v/>
      </c>
    </row>
    <row r="145" spans="1:26" x14ac:dyDescent="0.25">
      <c r="A145" s="8" t="str">
        <f ca="1">IFERROR( VLOOKUP(A144+1,INDIRECT("'[" &amp;Info!$B$4&amp;"]"&amp;Info!$B$5&amp;"'!$A$6:$A$1000"),1,0),"")</f>
        <v/>
      </c>
      <c r="B145" s="5" t="str">
        <f ca="1">IFERROR( IF(A145="","", VLOOKUP(A145,INDIRECT("'[" &amp;Info!$B$4&amp;"]"&amp;Info!$B$5&amp;"'!$A$6:$B$1000"),2,0)),"")</f>
        <v/>
      </c>
      <c r="C145" s="14" t="str">
        <f ca="1">IFERROR( IF(A145="","", VLOOKUP(A145,INDIRECT("'[" &amp;Info!$B$4&amp;"]"&amp;Info!$B$5&amp;"'!$A$6:$D$1000"),3,0)),"")</f>
        <v/>
      </c>
      <c r="D145" s="31" t="str">
        <f ca="1">IF(C145="","", VLOOKUP(A145,INDIRECT("'[" &amp;Info!$B$4&amp;"]"&amp;Info!$B$5&amp;"'!$A$6:$T$1000"),20,0))</f>
        <v/>
      </c>
      <c r="E145" s="6" t="str">
        <f ca="1">IF(D145="","", VLOOKUP(A145,INDIRECT("'[" &amp;Info!$B$4&amp;"]"&amp;Info!$B$5&amp;"'!$A$6:$U$1000"),21,0))</f>
        <v/>
      </c>
      <c r="F145" s="6" t="str">
        <f ca="1">IF(D145="","", VLOOKUP(A145,INDIRECT("'[" &amp;Info!$B$4&amp;"]"&amp;Info!$B$5&amp;"'!$A$6:$U$1000"),21,0))</f>
        <v/>
      </c>
      <c r="G145" s="6" t="str">
        <f ca="1">IF(D145="","", VLOOKUP(A145,INDIRECT("'[" &amp;Info!$B$4&amp;"]"&amp;Info!$B$5&amp;"'!$A$6:$V$1000"),22,0))</f>
        <v/>
      </c>
      <c r="H145" s="6" t="str">
        <f ca="1">IF(D145="","", VLOOKUP(A145,INDIRECT("'[" &amp;Info!$B$4&amp;"]"&amp;Info!$B$5&amp;"'!$A$6:$W$1000"),23,0))</f>
        <v/>
      </c>
      <c r="I145" s="6" t="str">
        <f ca="1">LOWER( IF(D145="","", VLOOKUP(A145,INDIRECT("'[" &amp;Info!$B$4&amp;"]"&amp;Info!$B$5&amp;"'!$A$6:$y$1000"),25,0)))</f>
        <v/>
      </c>
      <c r="J145" s="6" t="str">
        <f ca="1">IF(D145="","", VLOOKUP(A145,INDIRECT("'[" &amp;Info!$B$4&amp;"]"&amp;Info!$B$5&amp;"'!$A$6:$Z$1000"),26,0))</f>
        <v/>
      </c>
      <c r="K145" s="35" t="str">
        <f ca="1">IF(D145="","", VLOOKUP(A145,INDIRECT("'[" &amp;Info!$B$4&amp;"]"&amp;Info!$B$5&amp;"'!$A$6:$AA$1000"),27,0))</f>
        <v/>
      </c>
      <c r="L145" s="35" t="str">
        <f ca="1">IF(D145="","", VLOOKUP(A145,INDIRECT("'[" &amp;Info!$B$4&amp;"]"&amp;Info!$B$5&amp;"'!$A$6:$H$1000"),8,0))</f>
        <v/>
      </c>
      <c r="M145" s="35" t="str">
        <f ca="1">IF(D145="","", VLOOKUP(A145,INDIRECT("'[" &amp;Info!$B$4&amp;"]"&amp;Info!$B$5&amp;"'!$A$6:$F$1000"),6,0))</f>
        <v/>
      </c>
      <c r="N145" s="33" t="str">
        <f ca="1">IF(C145="","", VLOOKUP(A145,INDIRECT("'[" &amp;Info!$B$4&amp;"]"&amp;Info!$B$5&amp;"'!$A$6:$Au$1000"),47,0))</f>
        <v/>
      </c>
      <c r="O145" s="28" t="str">
        <f ca="1">IF(N145="","",IF(N145=0,0,VLOOKUP(A145,INDIRECT("'[" &amp;Info!$B$4&amp;"]"&amp;Info!$B$5&amp;"'!$A$6:$AH$1000"),34,0)))</f>
        <v/>
      </c>
      <c r="P145" s="9" t="str">
        <f ca="1">IF(N145="","",IF(N145=0,0,VLOOKUP(A145,INDIRECT("'[" &amp;Info!$B$4&amp;"]"&amp;Info!$B$5&amp;"'!$A$6:$AW$1000"),49,0)))</f>
        <v/>
      </c>
      <c r="Q145" s="9" t="str">
        <f ca="1">IF(N145="","",IF(N145=0,0, VLOOKUP(A145,INDIRECT("'[" &amp;Info!$B$4&amp;"]"&amp;Info!$B$5&amp;"'!$A$6:$AX$1000"),50,0)))</f>
        <v/>
      </c>
      <c r="R145" s="29" t="str">
        <f ca="1">IF(N145="","",IF(N145=0,0, VLOOKUP(A145,INDIRECT("'[" &amp;Info!$B$4&amp;"]"&amp;Info!$B$5&amp;"'!$A$6:$AY$1000"),51,0)))</f>
        <v/>
      </c>
      <c r="S145" s="15" t="str">
        <f ca="1">IF(N145="","",IF(N145=0,0,VLOOKUP(A145,INDIRECT("'[" &amp;Info!$B$4&amp;"]"&amp;Info!$B$5&amp;"'!$A$6:$Ai$1000"),35,0)))</f>
        <v/>
      </c>
      <c r="T145" s="7" t="str">
        <f ca="1">IF(N145="","",IF(N145=0,0, VLOOKUP(A145,INDIRECT("'[" &amp;Info!$B$4&amp;"]"&amp;Info!$B$5&amp;"'!$A$6:$Az$1000"),52,0)))</f>
        <v/>
      </c>
      <c r="U145" s="7" t="str">
        <f ca="1">IF(N145="","",IF(N145=0,0, VLOOKUP(A145,INDIRECT("'[" &amp;Info!$B$4&amp;"]"&amp;Info!$B$5&amp;"'!$A$6:$BA$1000"),53,0)))</f>
        <v/>
      </c>
      <c r="V145" s="16" t="str">
        <f ca="1">IF(N145="","",IF(N145=0,0, VLOOKUP(A145,INDIRECT("'[" &amp;Info!$B$4&amp;"]"&amp;Info!$B$5&amp;"'!$A$6:$BB$1000"),54,0)))</f>
        <v/>
      </c>
      <c r="W145" s="17" t="str">
        <f t="shared" ca="1" si="9"/>
        <v/>
      </c>
      <c r="X145" s="18" t="str">
        <f t="shared" ca="1" si="10"/>
        <v/>
      </c>
      <c r="Y145" s="19" t="str">
        <f t="shared" ca="1" si="11"/>
        <v/>
      </c>
      <c r="Z145" s="18" t="str">
        <f t="shared" ca="1" si="12"/>
        <v/>
      </c>
    </row>
    <row r="146" spans="1:26" x14ac:dyDescent="0.25">
      <c r="A146" s="8" t="str">
        <f ca="1">IFERROR( VLOOKUP(A145+1,INDIRECT("'[" &amp;Info!$B$4&amp;"]"&amp;Info!$B$5&amp;"'!$A$6:$A$1000"),1,0),"")</f>
        <v/>
      </c>
      <c r="B146" s="5" t="str">
        <f ca="1">IFERROR( IF(A146="","", VLOOKUP(A146,INDIRECT("'[" &amp;Info!$B$4&amp;"]"&amp;Info!$B$5&amp;"'!$A$6:$B$1000"),2,0)),"")</f>
        <v/>
      </c>
      <c r="C146" s="14" t="str">
        <f ca="1">IFERROR( IF(A146="","", VLOOKUP(A146,INDIRECT("'[" &amp;Info!$B$4&amp;"]"&amp;Info!$B$5&amp;"'!$A$6:$D$1000"),3,0)),"")</f>
        <v/>
      </c>
      <c r="D146" s="31" t="str">
        <f ca="1">IF(C146="","", VLOOKUP(A146,INDIRECT("'[" &amp;Info!$B$4&amp;"]"&amp;Info!$B$5&amp;"'!$A$6:$T$1000"),20,0))</f>
        <v/>
      </c>
      <c r="E146" s="6" t="str">
        <f ca="1">IF(D146="","", VLOOKUP(A146,INDIRECT("'[" &amp;Info!$B$4&amp;"]"&amp;Info!$B$5&amp;"'!$A$6:$U$1000"),21,0))</f>
        <v/>
      </c>
      <c r="F146" s="6" t="str">
        <f ca="1">IF(D146="","", VLOOKUP(A146,INDIRECT("'[" &amp;Info!$B$4&amp;"]"&amp;Info!$B$5&amp;"'!$A$6:$U$1000"),21,0))</f>
        <v/>
      </c>
      <c r="G146" s="6" t="str">
        <f ca="1">IF(D146="","", VLOOKUP(A146,INDIRECT("'[" &amp;Info!$B$4&amp;"]"&amp;Info!$B$5&amp;"'!$A$6:$V$1000"),22,0))</f>
        <v/>
      </c>
      <c r="H146" s="6" t="str">
        <f ca="1">IF(D146="","", VLOOKUP(A146,INDIRECT("'[" &amp;Info!$B$4&amp;"]"&amp;Info!$B$5&amp;"'!$A$6:$W$1000"),23,0))</f>
        <v/>
      </c>
      <c r="I146" s="6" t="str">
        <f ca="1">LOWER( IF(D146="","", VLOOKUP(A146,INDIRECT("'[" &amp;Info!$B$4&amp;"]"&amp;Info!$B$5&amp;"'!$A$6:$y$1000"),25,0)))</f>
        <v/>
      </c>
      <c r="J146" s="6" t="str">
        <f ca="1">IF(D146="","", VLOOKUP(A146,INDIRECT("'[" &amp;Info!$B$4&amp;"]"&amp;Info!$B$5&amp;"'!$A$6:$Z$1000"),26,0))</f>
        <v/>
      </c>
      <c r="K146" s="35" t="str">
        <f ca="1">IF(D146="","", VLOOKUP(A146,INDIRECT("'[" &amp;Info!$B$4&amp;"]"&amp;Info!$B$5&amp;"'!$A$6:$AA$1000"),27,0))</f>
        <v/>
      </c>
      <c r="L146" s="35" t="str">
        <f ca="1">IF(D146="","", VLOOKUP(A146,INDIRECT("'[" &amp;Info!$B$4&amp;"]"&amp;Info!$B$5&amp;"'!$A$6:$H$1000"),8,0))</f>
        <v/>
      </c>
      <c r="M146" s="35" t="str">
        <f ca="1">IF(D146="","", VLOOKUP(A146,INDIRECT("'[" &amp;Info!$B$4&amp;"]"&amp;Info!$B$5&amp;"'!$A$6:$F$1000"),6,0))</f>
        <v/>
      </c>
      <c r="N146" s="33" t="str">
        <f ca="1">IF(C146="","", VLOOKUP(A146,INDIRECT("'[" &amp;Info!$B$4&amp;"]"&amp;Info!$B$5&amp;"'!$A$6:$Au$1000"),47,0))</f>
        <v/>
      </c>
      <c r="O146" s="28" t="str">
        <f ca="1">IF(N146="","",IF(N146=0,0,VLOOKUP(A146,INDIRECT("'[" &amp;Info!$B$4&amp;"]"&amp;Info!$B$5&amp;"'!$A$6:$AH$1000"),34,0)))</f>
        <v/>
      </c>
      <c r="P146" s="9" t="str">
        <f ca="1">IF(N146="","",IF(N146=0,0,VLOOKUP(A146,INDIRECT("'[" &amp;Info!$B$4&amp;"]"&amp;Info!$B$5&amp;"'!$A$6:$AW$1000"),49,0)))</f>
        <v/>
      </c>
      <c r="Q146" s="9" t="str">
        <f ca="1">IF(N146="","",IF(N146=0,0, VLOOKUP(A146,INDIRECT("'[" &amp;Info!$B$4&amp;"]"&amp;Info!$B$5&amp;"'!$A$6:$AX$1000"),50,0)))</f>
        <v/>
      </c>
      <c r="R146" s="29" t="str">
        <f ca="1">IF(N146="","",IF(N146=0,0, VLOOKUP(A146,INDIRECT("'[" &amp;Info!$B$4&amp;"]"&amp;Info!$B$5&amp;"'!$A$6:$AY$1000"),51,0)))</f>
        <v/>
      </c>
      <c r="S146" s="15" t="str">
        <f ca="1">IF(N146="","",IF(N146=0,0,VLOOKUP(A146,INDIRECT("'[" &amp;Info!$B$4&amp;"]"&amp;Info!$B$5&amp;"'!$A$6:$Ai$1000"),35,0)))</f>
        <v/>
      </c>
      <c r="T146" s="7" t="str">
        <f ca="1">IF(N146="","",IF(N146=0,0, VLOOKUP(A146,INDIRECT("'[" &amp;Info!$B$4&amp;"]"&amp;Info!$B$5&amp;"'!$A$6:$Az$1000"),52,0)))</f>
        <v/>
      </c>
      <c r="U146" s="7" t="str">
        <f ca="1">IF(N146="","",IF(N146=0,0, VLOOKUP(A146,INDIRECT("'[" &amp;Info!$B$4&amp;"]"&amp;Info!$B$5&amp;"'!$A$6:$BA$1000"),53,0)))</f>
        <v/>
      </c>
      <c r="V146" s="16" t="str">
        <f ca="1">IF(N146="","",IF(N146=0,0, VLOOKUP(A146,INDIRECT("'[" &amp;Info!$B$4&amp;"]"&amp;Info!$B$5&amp;"'!$A$6:$BB$1000"),54,0)))</f>
        <v/>
      </c>
      <c r="W146" s="17" t="str">
        <f t="shared" ca="1" si="9"/>
        <v/>
      </c>
      <c r="X146" s="18" t="str">
        <f t="shared" ca="1" si="10"/>
        <v/>
      </c>
      <c r="Y146" s="19" t="str">
        <f t="shared" ca="1" si="11"/>
        <v/>
      </c>
      <c r="Z146" s="18" t="str">
        <f t="shared" ca="1" si="12"/>
        <v/>
      </c>
    </row>
    <row r="147" spans="1:26" x14ac:dyDescent="0.25">
      <c r="A147" s="8" t="str">
        <f ca="1">IFERROR( VLOOKUP(A146+1,INDIRECT("'[" &amp;Info!$B$4&amp;"]"&amp;Info!$B$5&amp;"'!$A$6:$A$1000"),1,0),"")</f>
        <v/>
      </c>
      <c r="B147" s="5" t="str">
        <f ca="1">IFERROR( IF(A147="","", VLOOKUP(A147,INDIRECT("'[" &amp;Info!$B$4&amp;"]"&amp;Info!$B$5&amp;"'!$A$6:$B$1000"),2,0)),"")</f>
        <v/>
      </c>
      <c r="C147" s="14" t="str">
        <f ca="1">IFERROR( IF(A147="","", VLOOKUP(A147,INDIRECT("'[" &amp;Info!$B$4&amp;"]"&amp;Info!$B$5&amp;"'!$A$6:$D$1000"),3,0)),"")</f>
        <v/>
      </c>
      <c r="D147" s="31" t="str">
        <f ca="1">IF(C147="","", VLOOKUP(A147,INDIRECT("'[" &amp;Info!$B$4&amp;"]"&amp;Info!$B$5&amp;"'!$A$6:$T$1000"),20,0))</f>
        <v/>
      </c>
      <c r="E147" s="6" t="str">
        <f ca="1">IF(D147="","", VLOOKUP(A147,INDIRECT("'[" &amp;Info!$B$4&amp;"]"&amp;Info!$B$5&amp;"'!$A$6:$U$1000"),21,0))</f>
        <v/>
      </c>
      <c r="F147" s="6" t="str">
        <f ca="1">IF(D147="","", VLOOKUP(A147,INDIRECT("'[" &amp;Info!$B$4&amp;"]"&amp;Info!$B$5&amp;"'!$A$6:$U$1000"),21,0))</f>
        <v/>
      </c>
      <c r="G147" s="6" t="str">
        <f ca="1">IF(D147="","", VLOOKUP(A147,INDIRECT("'[" &amp;Info!$B$4&amp;"]"&amp;Info!$B$5&amp;"'!$A$6:$V$1000"),22,0))</f>
        <v/>
      </c>
      <c r="H147" s="6" t="str">
        <f ca="1">IF(D147="","", VLOOKUP(A147,INDIRECT("'[" &amp;Info!$B$4&amp;"]"&amp;Info!$B$5&amp;"'!$A$6:$W$1000"),23,0))</f>
        <v/>
      </c>
      <c r="I147" s="6" t="str">
        <f ca="1">LOWER( IF(D147="","", VLOOKUP(A147,INDIRECT("'[" &amp;Info!$B$4&amp;"]"&amp;Info!$B$5&amp;"'!$A$6:$y$1000"),25,0)))</f>
        <v/>
      </c>
      <c r="J147" s="6" t="str">
        <f ca="1">IF(D147="","", VLOOKUP(A147,INDIRECT("'[" &amp;Info!$B$4&amp;"]"&amp;Info!$B$5&amp;"'!$A$6:$Z$1000"),26,0))</f>
        <v/>
      </c>
      <c r="K147" s="35" t="str">
        <f ca="1">IF(D147="","", VLOOKUP(A147,INDIRECT("'[" &amp;Info!$B$4&amp;"]"&amp;Info!$B$5&amp;"'!$A$6:$AA$1000"),27,0))</f>
        <v/>
      </c>
      <c r="L147" s="35" t="str">
        <f ca="1">IF(D147="","", VLOOKUP(A147,INDIRECT("'[" &amp;Info!$B$4&amp;"]"&amp;Info!$B$5&amp;"'!$A$6:$H$1000"),8,0))</f>
        <v/>
      </c>
      <c r="M147" s="35" t="str">
        <f ca="1">IF(D147="","", VLOOKUP(A147,INDIRECT("'[" &amp;Info!$B$4&amp;"]"&amp;Info!$B$5&amp;"'!$A$6:$F$1000"),6,0))</f>
        <v/>
      </c>
      <c r="N147" s="33" t="str">
        <f ca="1">IF(C147="","", VLOOKUP(A147,INDIRECT("'[" &amp;Info!$B$4&amp;"]"&amp;Info!$B$5&amp;"'!$A$6:$Au$1000"),47,0))</f>
        <v/>
      </c>
      <c r="O147" s="28" t="str">
        <f ca="1">IF(N147="","",IF(N147=0,0,VLOOKUP(A147,INDIRECT("'[" &amp;Info!$B$4&amp;"]"&amp;Info!$B$5&amp;"'!$A$6:$AH$1000"),34,0)))</f>
        <v/>
      </c>
      <c r="P147" s="9" t="str">
        <f ca="1">IF(N147="","",IF(N147=0,0,VLOOKUP(A147,INDIRECT("'[" &amp;Info!$B$4&amp;"]"&amp;Info!$B$5&amp;"'!$A$6:$AW$1000"),49,0)))</f>
        <v/>
      </c>
      <c r="Q147" s="9" t="str">
        <f ca="1">IF(N147="","",IF(N147=0,0, VLOOKUP(A147,INDIRECT("'[" &amp;Info!$B$4&amp;"]"&amp;Info!$B$5&amp;"'!$A$6:$AX$1000"),50,0)))</f>
        <v/>
      </c>
      <c r="R147" s="29" t="str">
        <f ca="1">IF(N147="","",IF(N147=0,0, VLOOKUP(A147,INDIRECT("'[" &amp;Info!$B$4&amp;"]"&amp;Info!$B$5&amp;"'!$A$6:$AY$1000"),51,0)))</f>
        <v/>
      </c>
      <c r="S147" s="15" t="str">
        <f ca="1">IF(N147="","",IF(N147=0,0,VLOOKUP(A147,INDIRECT("'[" &amp;Info!$B$4&amp;"]"&amp;Info!$B$5&amp;"'!$A$6:$Ai$1000"),35,0)))</f>
        <v/>
      </c>
      <c r="T147" s="7" t="str">
        <f ca="1">IF(N147="","",IF(N147=0,0, VLOOKUP(A147,INDIRECT("'[" &amp;Info!$B$4&amp;"]"&amp;Info!$B$5&amp;"'!$A$6:$Az$1000"),52,0)))</f>
        <v/>
      </c>
      <c r="U147" s="7" t="str">
        <f ca="1">IF(N147="","",IF(N147=0,0, VLOOKUP(A147,INDIRECT("'[" &amp;Info!$B$4&amp;"]"&amp;Info!$B$5&amp;"'!$A$6:$BA$1000"),53,0)))</f>
        <v/>
      </c>
      <c r="V147" s="16" t="str">
        <f ca="1">IF(N147="","",IF(N147=0,0, VLOOKUP(A147,INDIRECT("'[" &amp;Info!$B$4&amp;"]"&amp;Info!$B$5&amp;"'!$A$6:$BB$1000"),54,0)))</f>
        <v/>
      </c>
      <c r="W147" s="17" t="str">
        <f t="shared" ca="1" si="9"/>
        <v/>
      </c>
      <c r="X147" s="18" t="str">
        <f t="shared" ca="1" si="10"/>
        <v/>
      </c>
      <c r="Y147" s="19" t="str">
        <f t="shared" ca="1" si="11"/>
        <v/>
      </c>
      <c r="Z147" s="18" t="str">
        <f t="shared" ca="1" si="12"/>
        <v/>
      </c>
    </row>
    <row r="148" spans="1:26" x14ac:dyDescent="0.25">
      <c r="A148" s="8" t="str">
        <f ca="1">IFERROR( VLOOKUP(A147+1,INDIRECT("'[" &amp;Info!$B$4&amp;"]"&amp;Info!$B$5&amp;"'!$A$6:$A$1000"),1,0),"")</f>
        <v/>
      </c>
      <c r="B148" s="5" t="str">
        <f ca="1">IFERROR( IF(A148="","", VLOOKUP(A148,INDIRECT("'[" &amp;Info!$B$4&amp;"]"&amp;Info!$B$5&amp;"'!$A$6:$B$1000"),2,0)),"")</f>
        <v/>
      </c>
      <c r="C148" s="14" t="str">
        <f ca="1">IFERROR( IF(A148="","", VLOOKUP(A148,INDIRECT("'[" &amp;Info!$B$4&amp;"]"&amp;Info!$B$5&amp;"'!$A$6:$D$1000"),3,0)),"")</f>
        <v/>
      </c>
      <c r="D148" s="31" t="str">
        <f ca="1">IF(C148="","", VLOOKUP(A148,INDIRECT("'[" &amp;Info!$B$4&amp;"]"&amp;Info!$B$5&amp;"'!$A$6:$T$1000"),20,0))</f>
        <v/>
      </c>
      <c r="E148" s="6" t="str">
        <f ca="1">IF(D148="","", VLOOKUP(A148,INDIRECT("'[" &amp;Info!$B$4&amp;"]"&amp;Info!$B$5&amp;"'!$A$6:$U$1000"),21,0))</f>
        <v/>
      </c>
      <c r="F148" s="6" t="str">
        <f ca="1">IF(D148="","", VLOOKUP(A148,INDIRECT("'[" &amp;Info!$B$4&amp;"]"&amp;Info!$B$5&amp;"'!$A$6:$U$1000"),21,0))</f>
        <v/>
      </c>
      <c r="G148" s="6" t="str">
        <f ca="1">IF(D148="","", VLOOKUP(A148,INDIRECT("'[" &amp;Info!$B$4&amp;"]"&amp;Info!$B$5&amp;"'!$A$6:$V$1000"),22,0))</f>
        <v/>
      </c>
      <c r="H148" s="6" t="str">
        <f ca="1">IF(D148="","", VLOOKUP(A148,INDIRECT("'[" &amp;Info!$B$4&amp;"]"&amp;Info!$B$5&amp;"'!$A$6:$W$1000"),23,0))</f>
        <v/>
      </c>
      <c r="I148" s="6" t="str">
        <f ca="1">LOWER( IF(D148="","", VLOOKUP(A148,INDIRECT("'[" &amp;Info!$B$4&amp;"]"&amp;Info!$B$5&amp;"'!$A$6:$y$1000"),25,0)))</f>
        <v/>
      </c>
      <c r="J148" s="6" t="str">
        <f ca="1">IF(D148="","", VLOOKUP(A148,INDIRECT("'[" &amp;Info!$B$4&amp;"]"&amp;Info!$B$5&amp;"'!$A$6:$Z$1000"),26,0))</f>
        <v/>
      </c>
      <c r="K148" s="35" t="str">
        <f ca="1">IF(D148="","", VLOOKUP(A148,INDIRECT("'[" &amp;Info!$B$4&amp;"]"&amp;Info!$B$5&amp;"'!$A$6:$AA$1000"),27,0))</f>
        <v/>
      </c>
      <c r="L148" s="35" t="str">
        <f ca="1">IF(D148="","", VLOOKUP(A148,INDIRECT("'[" &amp;Info!$B$4&amp;"]"&amp;Info!$B$5&amp;"'!$A$6:$H$1000"),8,0))</f>
        <v/>
      </c>
      <c r="M148" s="35" t="str">
        <f ca="1">IF(D148="","", VLOOKUP(A148,INDIRECT("'[" &amp;Info!$B$4&amp;"]"&amp;Info!$B$5&amp;"'!$A$6:$F$1000"),6,0))</f>
        <v/>
      </c>
      <c r="N148" s="33" t="str">
        <f ca="1">IF(C148="","", VLOOKUP(A148,INDIRECT("'[" &amp;Info!$B$4&amp;"]"&amp;Info!$B$5&amp;"'!$A$6:$Au$1000"),47,0))</f>
        <v/>
      </c>
      <c r="O148" s="28" t="str">
        <f ca="1">IF(N148="","",IF(N148=0,0,VLOOKUP(A148,INDIRECT("'[" &amp;Info!$B$4&amp;"]"&amp;Info!$B$5&amp;"'!$A$6:$AH$1000"),34,0)))</f>
        <v/>
      </c>
      <c r="P148" s="9" t="str">
        <f ca="1">IF(N148="","",IF(N148=0,0,VLOOKUP(A148,INDIRECT("'[" &amp;Info!$B$4&amp;"]"&amp;Info!$B$5&amp;"'!$A$6:$AW$1000"),49,0)))</f>
        <v/>
      </c>
      <c r="Q148" s="9" t="str">
        <f ca="1">IF(N148="","",IF(N148=0,0, VLOOKUP(A148,INDIRECT("'[" &amp;Info!$B$4&amp;"]"&amp;Info!$B$5&amp;"'!$A$6:$AX$1000"),50,0)))</f>
        <v/>
      </c>
      <c r="R148" s="29" t="str">
        <f ca="1">IF(N148="","",IF(N148=0,0, VLOOKUP(A148,INDIRECT("'[" &amp;Info!$B$4&amp;"]"&amp;Info!$B$5&amp;"'!$A$6:$AY$1000"),51,0)))</f>
        <v/>
      </c>
      <c r="S148" s="15" t="str">
        <f ca="1">IF(N148="","",IF(N148=0,0,VLOOKUP(A148,INDIRECT("'[" &amp;Info!$B$4&amp;"]"&amp;Info!$B$5&amp;"'!$A$6:$Ai$1000"),35,0)))</f>
        <v/>
      </c>
      <c r="T148" s="7" t="str">
        <f ca="1">IF(N148="","",IF(N148=0,0, VLOOKUP(A148,INDIRECT("'[" &amp;Info!$B$4&amp;"]"&amp;Info!$B$5&amp;"'!$A$6:$Az$1000"),52,0)))</f>
        <v/>
      </c>
      <c r="U148" s="7" t="str">
        <f ca="1">IF(N148="","",IF(N148=0,0, VLOOKUP(A148,INDIRECT("'[" &amp;Info!$B$4&amp;"]"&amp;Info!$B$5&amp;"'!$A$6:$BA$1000"),53,0)))</f>
        <v/>
      </c>
      <c r="V148" s="16" t="str">
        <f ca="1">IF(N148="","",IF(N148=0,0, VLOOKUP(A148,INDIRECT("'[" &amp;Info!$B$4&amp;"]"&amp;Info!$B$5&amp;"'!$A$6:$BB$1000"),54,0)))</f>
        <v/>
      </c>
      <c r="W148" s="17" t="str">
        <f t="shared" ca="1" si="9"/>
        <v/>
      </c>
      <c r="X148" s="18" t="str">
        <f t="shared" ca="1" si="10"/>
        <v/>
      </c>
      <c r="Y148" s="19" t="str">
        <f t="shared" ca="1" si="11"/>
        <v/>
      </c>
      <c r="Z148" s="18" t="str">
        <f t="shared" ca="1" si="12"/>
        <v/>
      </c>
    </row>
    <row r="149" spans="1:26" x14ac:dyDescent="0.25">
      <c r="A149" s="8" t="str">
        <f ca="1">IFERROR( VLOOKUP(A148+1,INDIRECT("'[" &amp;Info!$B$4&amp;"]"&amp;Info!$B$5&amp;"'!$A$6:$A$1000"),1,0),"")</f>
        <v/>
      </c>
      <c r="B149" s="5" t="str">
        <f ca="1">IFERROR( IF(A149="","", VLOOKUP(A149,INDIRECT("'[" &amp;Info!$B$4&amp;"]"&amp;Info!$B$5&amp;"'!$A$6:$B$1000"),2,0)),"")</f>
        <v/>
      </c>
      <c r="C149" s="14" t="str">
        <f ca="1">IFERROR( IF(A149="","", VLOOKUP(A149,INDIRECT("'[" &amp;Info!$B$4&amp;"]"&amp;Info!$B$5&amp;"'!$A$6:$D$1000"),3,0)),"")</f>
        <v/>
      </c>
      <c r="D149" s="31" t="str">
        <f ca="1">IF(C149="","", VLOOKUP(A149,INDIRECT("'[" &amp;Info!$B$4&amp;"]"&amp;Info!$B$5&amp;"'!$A$6:$T$1000"),20,0))</f>
        <v/>
      </c>
      <c r="E149" s="6" t="str">
        <f ca="1">IF(D149="","", VLOOKUP(A149,INDIRECT("'[" &amp;Info!$B$4&amp;"]"&amp;Info!$B$5&amp;"'!$A$6:$U$1000"),21,0))</f>
        <v/>
      </c>
      <c r="F149" s="6" t="str">
        <f ca="1">IF(D149="","", VLOOKUP(A149,INDIRECT("'[" &amp;Info!$B$4&amp;"]"&amp;Info!$B$5&amp;"'!$A$6:$U$1000"),21,0))</f>
        <v/>
      </c>
      <c r="G149" s="6" t="str">
        <f ca="1">IF(D149="","", VLOOKUP(A149,INDIRECT("'[" &amp;Info!$B$4&amp;"]"&amp;Info!$B$5&amp;"'!$A$6:$V$1000"),22,0))</f>
        <v/>
      </c>
      <c r="H149" s="6" t="str">
        <f ca="1">IF(D149="","", VLOOKUP(A149,INDIRECT("'[" &amp;Info!$B$4&amp;"]"&amp;Info!$B$5&amp;"'!$A$6:$W$1000"),23,0))</f>
        <v/>
      </c>
      <c r="I149" s="6" t="str">
        <f ca="1">LOWER( IF(D149="","", VLOOKUP(A149,INDIRECT("'[" &amp;Info!$B$4&amp;"]"&amp;Info!$B$5&amp;"'!$A$6:$y$1000"),25,0)))</f>
        <v/>
      </c>
      <c r="J149" s="6" t="str">
        <f ca="1">IF(D149="","", VLOOKUP(A149,INDIRECT("'[" &amp;Info!$B$4&amp;"]"&amp;Info!$B$5&amp;"'!$A$6:$Z$1000"),26,0))</f>
        <v/>
      </c>
      <c r="K149" s="35" t="str">
        <f ca="1">IF(D149="","", VLOOKUP(A149,INDIRECT("'[" &amp;Info!$B$4&amp;"]"&amp;Info!$B$5&amp;"'!$A$6:$AA$1000"),27,0))</f>
        <v/>
      </c>
      <c r="L149" s="35" t="str">
        <f ca="1">IF(D149="","", VLOOKUP(A149,INDIRECT("'[" &amp;Info!$B$4&amp;"]"&amp;Info!$B$5&amp;"'!$A$6:$H$1000"),8,0))</f>
        <v/>
      </c>
      <c r="M149" s="35" t="str">
        <f ca="1">IF(D149="","", VLOOKUP(A149,INDIRECT("'[" &amp;Info!$B$4&amp;"]"&amp;Info!$B$5&amp;"'!$A$6:$F$1000"),6,0))</f>
        <v/>
      </c>
      <c r="N149" s="33" t="str">
        <f ca="1">IF(C149="","", VLOOKUP(A149,INDIRECT("'[" &amp;Info!$B$4&amp;"]"&amp;Info!$B$5&amp;"'!$A$6:$Au$1000"),47,0))</f>
        <v/>
      </c>
      <c r="O149" s="28" t="str">
        <f ca="1">IF(N149="","",IF(N149=0,0,VLOOKUP(A149,INDIRECT("'[" &amp;Info!$B$4&amp;"]"&amp;Info!$B$5&amp;"'!$A$6:$AH$1000"),34,0)))</f>
        <v/>
      </c>
      <c r="P149" s="9" t="str">
        <f ca="1">IF(N149="","",IF(N149=0,0,VLOOKUP(A149,INDIRECT("'[" &amp;Info!$B$4&amp;"]"&amp;Info!$B$5&amp;"'!$A$6:$AW$1000"),49,0)))</f>
        <v/>
      </c>
      <c r="Q149" s="9" t="str">
        <f ca="1">IF(N149="","",IF(N149=0,0, VLOOKUP(A149,INDIRECT("'[" &amp;Info!$B$4&amp;"]"&amp;Info!$B$5&amp;"'!$A$6:$AX$1000"),50,0)))</f>
        <v/>
      </c>
      <c r="R149" s="29" t="str">
        <f ca="1">IF(N149="","",IF(N149=0,0, VLOOKUP(A149,INDIRECT("'[" &amp;Info!$B$4&amp;"]"&amp;Info!$B$5&amp;"'!$A$6:$AY$1000"),51,0)))</f>
        <v/>
      </c>
      <c r="S149" s="15" t="str">
        <f ca="1">IF(N149="","",IF(N149=0,0,VLOOKUP(A149,INDIRECT("'[" &amp;Info!$B$4&amp;"]"&amp;Info!$B$5&amp;"'!$A$6:$Ai$1000"),35,0)))</f>
        <v/>
      </c>
      <c r="T149" s="7" t="str">
        <f ca="1">IF(N149="","",IF(N149=0,0, VLOOKUP(A149,INDIRECT("'[" &amp;Info!$B$4&amp;"]"&amp;Info!$B$5&amp;"'!$A$6:$Az$1000"),52,0)))</f>
        <v/>
      </c>
      <c r="U149" s="7" t="str">
        <f ca="1">IF(N149="","",IF(N149=0,0, VLOOKUP(A149,INDIRECT("'[" &amp;Info!$B$4&amp;"]"&amp;Info!$B$5&amp;"'!$A$6:$BA$1000"),53,0)))</f>
        <v/>
      </c>
      <c r="V149" s="16" t="str">
        <f ca="1">IF(N149="","",IF(N149=0,0, VLOOKUP(A149,INDIRECT("'[" &amp;Info!$B$4&amp;"]"&amp;Info!$B$5&amp;"'!$A$6:$BB$1000"),54,0)))</f>
        <v/>
      </c>
      <c r="W149" s="17" t="str">
        <f t="shared" ca="1" si="9"/>
        <v/>
      </c>
      <c r="X149" s="18" t="str">
        <f t="shared" ca="1" si="10"/>
        <v/>
      </c>
      <c r="Y149" s="19" t="str">
        <f t="shared" ca="1" si="11"/>
        <v/>
      </c>
      <c r="Z149" s="18" t="str">
        <f t="shared" ca="1" si="12"/>
        <v/>
      </c>
    </row>
    <row r="150" spans="1:26" x14ac:dyDescent="0.25">
      <c r="A150" s="8" t="str">
        <f ca="1">IFERROR( VLOOKUP(A149+1,INDIRECT("'[" &amp;Info!$B$4&amp;"]"&amp;Info!$B$5&amp;"'!$A$6:$A$1000"),1,0),"")</f>
        <v/>
      </c>
      <c r="B150" s="5" t="str">
        <f ca="1">IFERROR( IF(A150="","", VLOOKUP(A150,INDIRECT("'[" &amp;Info!$B$4&amp;"]"&amp;Info!$B$5&amp;"'!$A$6:$B$1000"),2,0)),"")</f>
        <v/>
      </c>
      <c r="C150" s="14" t="str">
        <f ca="1">IFERROR( IF(A150="","", VLOOKUP(A150,INDIRECT("'[" &amp;Info!$B$4&amp;"]"&amp;Info!$B$5&amp;"'!$A$6:$D$1000"),3,0)),"")</f>
        <v/>
      </c>
      <c r="D150" s="31" t="str">
        <f ca="1">IF(C150="","", VLOOKUP(A150,INDIRECT("'[" &amp;Info!$B$4&amp;"]"&amp;Info!$B$5&amp;"'!$A$6:$T$1000"),20,0))</f>
        <v/>
      </c>
      <c r="E150" s="6" t="str">
        <f ca="1">IF(D150="","", VLOOKUP(A150,INDIRECT("'[" &amp;Info!$B$4&amp;"]"&amp;Info!$B$5&amp;"'!$A$6:$U$1000"),21,0))</f>
        <v/>
      </c>
      <c r="F150" s="6" t="str">
        <f ca="1">IF(D150="","", VLOOKUP(A150,INDIRECT("'[" &amp;Info!$B$4&amp;"]"&amp;Info!$B$5&amp;"'!$A$6:$U$1000"),21,0))</f>
        <v/>
      </c>
      <c r="G150" s="6" t="str">
        <f ca="1">IF(D150="","", VLOOKUP(A150,INDIRECT("'[" &amp;Info!$B$4&amp;"]"&amp;Info!$B$5&amp;"'!$A$6:$V$1000"),22,0))</f>
        <v/>
      </c>
      <c r="H150" s="6" t="str">
        <f ca="1">IF(D150="","", VLOOKUP(A150,INDIRECT("'[" &amp;Info!$B$4&amp;"]"&amp;Info!$B$5&amp;"'!$A$6:$W$1000"),23,0))</f>
        <v/>
      </c>
      <c r="I150" s="6" t="str">
        <f ca="1">LOWER( IF(D150="","", VLOOKUP(A150,INDIRECT("'[" &amp;Info!$B$4&amp;"]"&amp;Info!$B$5&amp;"'!$A$6:$y$1000"),25,0)))</f>
        <v/>
      </c>
      <c r="J150" s="6" t="str">
        <f ca="1">IF(D150="","", VLOOKUP(A150,INDIRECT("'[" &amp;Info!$B$4&amp;"]"&amp;Info!$B$5&amp;"'!$A$6:$Z$1000"),26,0))</f>
        <v/>
      </c>
      <c r="K150" s="35" t="str">
        <f ca="1">IF(D150="","", VLOOKUP(A150,INDIRECT("'[" &amp;Info!$B$4&amp;"]"&amp;Info!$B$5&amp;"'!$A$6:$AA$1000"),27,0))</f>
        <v/>
      </c>
      <c r="L150" s="35" t="str">
        <f ca="1">IF(D150="","", VLOOKUP(A150,INDIRECT("'[" &amp;Info!$B$4&amp;"]"&amp;Info!$B$5&amp;"'!$A$6:$H$1000"),8,0))</f>
        <v/>
      </c>
      <c r="M150" s="35" t="str">
        <f ca="1">IF(D150="","", VLOOKUP(A150,INDIRECT("'[" &amp;Info!$B$4&amp;"]"&amp;Info!$B$5&amp;"'!$A$6:$F$1000"),6,0))</f>
        <v/>
      </c>
      <c r="N150" s="33" t="str">
        <f ca="1">IF(C150="","", VLOOKUP(A150,INDIRECT("'[" &amp;Info!$B$4&amp;"]"&amp;Info!$B$5&amp;"'!$A$6:$Au$1000"),47,0))</f>
        <v/>
      </c>
      <c r="O150" s="28" t="str">
        <f ca="1">IF(N150="","",IF(N150=0,0,VLOOKUP(A150,INDIRECT("'[" &amp;Info!$B$4&amp;"]"&amp;Info!$B$5&amp;"'!$A$6:$AH$1000"),34,0)))</f>
        <v/>
      </c>
      <c r="P150" s="9" t="str">
        <f ca="1">IF(N150="","",IF(N150=0,0,VLOOKUP(A150,INDIRECT("'[" &amp;Info!$B$4&amp;"]"&amp;Info!$B$5&amp;"'!$A$6:$AW$1000"),49,0)))</f>
        <v/>
      </c>
      <c r="Q150" s="9" t="str">
        <f ca="1">IF(N150="","",IF(N150=0,0, VLOOKUP(A150,INDIRECT("'[" &amp;Info!$B$4&amp;"]"&amp;Info!$B$5&amp;"'!$A$6:$AX$1000"),50,0)))</f>
        <v/>
      </c>
      <c r="R150" s="29" t="str">
        <f ca="1">IF(N150="","",IF(N150=0,0, VLOOKUP(A150,INDIRECT("'[" &amp;Info!$B$4&amp;"]"&amp;Info!$B$5&amp;"'!$A$6:$AY$1000"),51,0)))</f>
        <v/>
      </c>
      <c r="S150" s="15" t="str">
        <f ca="1">IF(N150="","",IF(N150=0,0,VLOOKUP(A150,INDIRECT("'[" &amp;Info!$B$4&amp;"]"&amp;Info!$B$5&amp;"'!$A$6:$Ai$1000"),35,0)))</f>
        <v/>
      </c>
      <c r="T150" s="7" t="str">
        <f ca="1">IF(N150="","",IF(N150=0,0, VLOOKUP(A150,INDIRECT("'[" &amp;Info!$B$4&amp;"]"&amp;Info!$B$5&amp;"'!$A$6:$Az$1000"),52,0)))</f>
        <v/>
      </c>
      <c r="U150" s="7" t="str">
        <f ca="1">IF(N150="","",IF(N150=0,0, VLOOKUP(A150,INDIRECT("'[" &amp;Info!$B$4&amp;"]"&amp;Info!$B$5&amp;"'!$A$6:$BA$1000"),53,0)))</f>
        <v/>
      </c>
      <c r="V150" s="16" t="str">
        <f ca="1">IF(N150="","",IF(N150=0,0, VLOOKUP(A150,INDIRECT("'[" &amp;Info!$B$4&amp;"]"&amp;Info!$B$5&amp;"'!$A$6:$BB$1000"),54,0)))</f>
        <v/>
      </c>
      <c r="W150" s="17" t="str">
        <f t="shared" ca="1" si="9"/>
        <v/>
      </c>
      <c r="X150" s="18" t="str">
        <f t="shared" ca="1" si="10"/>
        <v/>
      </c>
      <c r="Y150" s="19" t="str">
        <f t="shared" ca="1" si="11"/>
        <v/>
      </c>
      <c r="Z150" s="18" t="str">
        <f t="shared" ca="1" si="12"/>
        <v/>
      </c>
    </row>
    <row r="151" spans="1:26" x14ac:dyDescent="0.25">
      <c r="A151" s="8" t="str">
        <f ca="1">IFERROR( VLOOKUP(A150+1,INDIRECT("'[" &amp;Info!$B$4&amp;"]"&amp;Info!$B$5&amp;"'!$A$6:$A$1000"),1,0),"")</f>
        <v/>
      </c>
      <c r="B151" s="5" t="str">
        <f ca="1">IFERROR( IF(A151="","", VLOOKUP(A151,INDIRECT("'[" &amp;Info!$B$4&amp;"]"&amp;Info!$B$5&amp;"'!$A$6:$B$1000"),2,0)),"")</f>
        <v/>
      </c>
      <c r="C151" s="14" t="str">
        <f ca="1">IFERROR( IF(A151="","", VLOOKUP(A151,INDIRECT("'[" &amp;Info!$B$4&amp;"]"&amp;Info!$B$5&amp;"'!$A$6:$D$1000"),3,0)),"")</f>
        <v/>
      </c>
      <c r="D151" s="31" t="str">
        <f ca="1">IF(C151="","", VLOOKUP(A151,INDIRECT("'[" &amp;Info!$B$4&amp;"]"&amp;Info!$B$5&amp;"'!$A$6:$T$1000"),20,0))</f>
        <v/>
      </c>
      <c r="E151" s="6" t="str">
        <f ca="1">IF(D151="","", VLOOKUP(A151,INDIRECT("'[" &amp;Info!$B$4&amp;"]"&amp;Info!$B$5&amp;"'!$A$6:$U$1000"),21,0))</f>
        <v/>
      </c>
      <c r="F151" s="6" t="str">
        <f ca="1">IF(D151="","", VLOOKUP(A151,INDIRECT("'[" &amp;Info!$B$4&amp;"]"&amp;Info!$B$5&amp;"'!$A$6:$U$1000"),21,0))</f>
        <v/>
      </c>
      <c r="G151" s="6" t="str">
        <f ca="1">IF(D151="","", VLOOKUP(A151,INDIRECT("'[" &amp;Info!$B$4&amp;"]"&amp;Info!$B$5&amp;"'!$A$6:$V$1000"),22,0))</f>
        <v/>
      </c>
      <c r="H151" s="6" t="str">
        <f ca="1">IF(D151="","", VLOOKUP(A151,INDIRECT("'[" &amp;Info!$B$4&amp;"]"&amp;Info!$B$5&amp;"'!$A$6:$W$1000"),23,0))</f>
        <v/>
      </c>
      <c r="I151" s="6" t="str">
        <f ca="1">LOWER( IF(D151="","", VLOOKUP(A151,INDIRECT("'[" &amp;Info!$B$4&amp;"]"&amp;Info!$B$5&amp;"'!$A$6:$y$1000"),25,0)))</f>
        <v/>
      </c>
      <c r="J151" s="6" t="str">
        <f ca="1">IF(D151="","", VLOOKUP(A151,INDIRECT("'[" &amp;Info!$B$4&amp;"]"&amp;Info!$B$5&amp;"'!$A$6:$Z$1000"),26,0))</f>
        <v/>
      </c>
      <c r="K151" s="35" t="str">
        <f ca="1">IF(D151="","", VLOOKUP(A151,INDIRECT("'[" &amp;Info!$B$4&amp;"]"&amp;Info!$B$5&amp;"'!$A$6:$AA$1000"),27,0))</f>
        <v/>
      </c>
      <c r="L151" s="35" t="str">
        <f ca="1">IF(D151="","", VLOOKUP(A151,INDIRECT("'[" &amp;Info!$B$4&amp;"]"&amp;Info!$B$5&amp;"'!$A$6:$H$1000"),8,0))</f>
        <v/>
      </c>
      <c r="M151" s="35" t="str">
        <f ca="1">IF(D151="","", VLOOKUP(A151,INDIRECT("'[" &amp;Info!$B$4&amp;"]"&amp;Info!$B$5&amp;"'!$A$6:$F$1000"),6,0))</f>
        <v/>
      </c>
      <c r="N151" s="33" t="str">
        <f ca="1">IF(C151="","", VLOOKUP(A151,INDIRECT("'[" &amp;Info!$B$4&amp;"]"&amp;Info!$B$5&amp;"'!$A$6:$Au$1000"),47,0))</f>
        <v/>
      </c>
      <c r="O151" s="28" t="str">
        <f ca="1">IF(N151="","",IF(N151=0,0,VLOOKUP(A151,INDIRECT("'[" &amp;Info!$B$4&amp;"]"&amp;Info!$B$5&amp;"'!$A$6:$AH$1000"),34,0)))</f>
        <v/>
      </c>
      <c r="P151" s="9" t="str">
        <f ca="1">IF(N151="","",IF(N151=0,0,VLOOKUP(A151,INDIRECT("'[" &amp;Info!$B$4&amp;"]"&amp;Info!$B$5&amp;"'!$A$6:$AW$1000"),49,0)))</f>
        <v/>
      </c>
      <c r="Q151" s="9" t="str">
        <f ca="1">IF(N151="","",IF(N151=0,0, VLOOKUP(A151,INDIRECT("'[" &amp;Info!$B$4&amp;"]"&amp;Info!$B$5&amp;"'!$A$6:$AX$1000"),50,0)))</f>
        <v/>
      </c>
      <c r="R151" s="29" t="str">
        <f ca="1">IF(N151="","",IF(N151=0,0, VLOOKUP(A151,INDIRECT("'[" &amp;Info!$B$4&amp;"]"&amp;Info!$B$5&amp;"'!$A$6:$AY$1000"),51,0)))</f>
        <v/>
      </c>
      <c r="S151" s="15" t="str">
        <f ca="1">IF(N151="","",IF(N151=0,0,VLOOKUP(A151,INDIRECT("'[" &amp;Info!$B$4&amp;"]"&amp;Info!$B$5&amp;"'!$A$6:$Ai$1000"),35,0)))</f>
        <v/>
      </c>
      <c r="T151" s="7" t="str">
        <f ca="1">IF(N151="","",IF(N151=0,0, VLOOKUP(A151,INDIRECT("'[" &amp;Info!$B$4&amp;"]"&amp;Info!$B$5&amp;"'!$A$6:$Az$1000"),52,0)))</f>
        <v/>
      </c>
      <c r="U151" s="7" t="str">
        <f ca="1">IF(N151="","",IF(N151=0,0, VLOOKUP(A151,INDIRECT("'[" &amp;Info!$B$4&amp;"]"&amp;Info!$B$5&amp;"'!$A$6:$BA$1000"),53,0)))</f>
        <v/>
      </c>
      <c r="V151" s="16" t="str">
        <f ca="1">IF(N151="","",IF(N151=0,0, VLOOKUP(A151,INDIRECT("'[" &amp;Info!$B$4&amp;"]"&amp;Info!$B$5&amp;"'!$A$6:$BB$1000"),54,0)))</f>
        <v/>
      </c>
      <c r="W151" s="17" t="str">
        <f t="shared" ca="1" si="9"/>
        <v/>
      </c>
      <c r="X151" s="18" t="str">
        <f t="shared" ca="1" si="10"/>
        <v/>
      </c>
      <c r="Y151" s="19" t="str">
        <f t="shared" ca="1" si="11"/>
        <v/>
      </c>
      <c r="Z151" s="18" t="str">
        <f t="shared" ca="1" si="12"/>
        <v/>
      </c>
    </row>
    <row r="152" spans="1:26" x14ac:dyDescent="0.25">
      <c r="A152" s="8" t="str">
        <f ca="1">IFERROR( VLOOKUP(A151+1,INDIRECT("'[" &amp;Info!$B$4&amp;"]"&amp;Info!$B$5&amp;"'!$A$6:$A$1000"),1,0),"")</f>
        <v/>
      </c>
      <c r="B152" s="5" t="str">
        <f ca="1">IFERROR( IF(A152="","", VLOOKUP(A152,INDIRECT("'[" &amp;Info!$B$4&amp;"]"&amp;Info!$B$5&amp;"'!$A$6:$B$1000"),2,0)),"")</f>
        <v/>
      </c>
      <c r="C152" s="14" t="str">
        <f ca="1">IFERROR( IF(A152="","", VLOOKUP(A152,INDIRECT("'[" &amp;Info!$B$4&amp;"]"&amp;Info!$B$5&amp;"'!$A$6:$D$1000"),3,0)),"")</f>
        <v/>
      </c>
      <c r="D152" s="31" t="str">
        <f ca="1">IF(C152="","", VLOOKUP(A152,INDIRECT("'[" &amp;Info!$B$4&amp;"]"&amp;Info!$B$5&amp;"'!$A$6:$T$1000"),20,0))</f>
        <v/>
      </c>
      <c r="E152" s="6" t="str">
        <f ca="1">IF(D152="","", VLOOKUP(A152,INDIRECT("'[" &amp;Info!$B$4&amp;"]"&amp;Info!$B$5&amp;"'!$A$6:$U$1000"),21,0))</f>
        <v/>
      </c>
      <c r="F152" s="6" t="str">
        <f ca="1">IF(D152="","", VLOOKUP(A152,INDIRECT("'[" &amp;Info!$B$4&amp;"]"&amp;Info!$B$5&amp;"'!$A$6:$U$1000"),21,0))</f>
        <v/>
      </c>
      <c r="G152" s="6" t="str">
        <f ca="1">IF(D152="","", VLOOKUP(A152,INDIRECT("'[" &amp;Info!$B$4&amp;"]"&amp;Info!$B$5&amp;"'!$A$6:$V$1000"),22,0))</f>
        <v/>
      </c>
      <c r="H152" s="6" t="str">
        <f ca="1">IF(D152="","", VLOOKUP(A152,INDIRECT("'[" &amp;Info!$B$4&amp;"]"&amp;Info!$B$5&amp;"'!$A$6:$W$1000"),23,0))</f>
        <v/>
      </c>
      <c r="I152" s="6" t="str">
        <f ca="1">LOWER( IF(D152="","", VLOOKUP(A152,INDIRECT("'[" &amp;Info!$B$4&amp;"]"&amp;Info!$B$5&amp;"'!$A$6:$y$1000"),25,0)))</f>
        <v/>
      </c>
      <c r="J152" s="6" t="str">
        <f ca="1">IF(D152="","", VLOOKUP(A152,INDIRECT("'[" &amp;Info!$B$4&amp;"]"&amp;Info!$B$5&amp;"'!$A$6:$Z$1000"),26,0))</f>
        <v/>
      </c>
      <c r="K152" s="35" t="str">
        <f ca="1">IF(D152="","", VLOOKUP(A152,INDIRECT("'[" &amp;Info!$B$4&amp;"]"&amp;Info!$B$5&amp;"'!$A$6:$AA$1000"),27,0))</f>
        <v/>
      </c>
      <c r="L152" s="35" t="str">
        <f ca="1">IF(D152="","", VLOOKUP(A152,INDIRECT("'[" &amp;Info!$B$4&amp;"]"&amp;Info!$B$5&amp;"'!$A$6:$H$1000"),8,0))</f>
        <v/>
      </c>
      <c r="M152" s="35" t="str">
        <f ca="1">IF(D152="","", VLOOKUP(A152,INDIRECT("'[" &amp;Info!$B$4&amp;"]"&amp;Info!$B$5&amp;"'!$A$6:$F$1000"),6,0))</f>
        <v/>
      </c>
      <c r="N152" s="33" t="str">
        <f ca="1">IF(C152="","", VLOOKUP(A152,INDIRECT("'[" &amp;Info!$B$4&amp;"]"&amp;Info!$B$5&amp;"'!$A$6:$Au$1000"),47,0))</f>
        <v/>
      </c>
      <c r="O152" s="28" t="str">
        <f ca="1">IF(N152="","",IF(N152=0,0,VLOOKUP(A152,INDIRECT("'[" &amp;Info!$B$4&amp;"]"&amp;Info!$B$5&amp;"'!$A$6:$AH$1000"),34,0)))</f>
        <v/>
      </c>
      <c r="P152" s="9" t="str">
        <f ca="1">IF(N152="","",IF(N152=0,0,VLOOKUP(A152,INDIRECT("'[" &amp;Info!$B$4&amp;"]"&amp;Info!$B$5&amp;"'!$A$6:$AW$1000"),49,0)))</f>
        <v/>
      </c>
      <c r="Q152" s="9" t="str">
        <f ca="1">IF(N152="","",IF(N152=0,0, VLOOKUP(A152,INDIRECT("'[" &amp;Info!$B$4&amp;"]"&amp;Info!$B$5&amp;"'!$A$6:$AX$1000"),50,0)))</f>
        <v/>
      </c>
      <c r="R152" s="29" t="str">
        <f ca="1">IF(N152="","",IF(N152=0,0, VLOOKUP(A152,INDIRECT("'[" &amp;Info!$B$4&amp;"]"&amp;Info!$B$5&amp;"'!$A$6:$AY$1000"),51,0)))</f>
        <v/>
      </c>
      <c r="S152" s="15" t="str">
        <f ca="1">IF(N152="","",IF(N152=0,0,VLOOKUP(A152,INDIRECT("'[" &amp;Info!$B$4&amp;"]"&amp;Info!$B$5&amp;"'!$A$6:$Ai$1000"),35,0)))</f>
        <v/>
      </c>
      <c r="T152" s="7" t="str">
        <f ca="1">IF(N152="","",IF(N152=0,0, VLOOKUP(A152,INDIRECT("'[" &amp;Info!$B$4&amp;"]"&amp;Info!$B$5&amp;"'!$A$6:$Az$1000"),52,0)))</f>
        <v/>
      </c>
      <c r="U152" s="7" t="str">
        <f ca="1">IF(N152="","",IF(N152=0,0, VLOOKUP(A152,INDIRECT("'[" &amp;Info!$B$4&amp;"]"&amp;Info!$B$5&amp;"'!$A$6:$BA$1000"),53,0)))</f>
        <v/>
      </c>
      <c r="V152" s="16" t="str">
        <f ca="1">IF(N152="","",IF(N152=0,0, VLOOKUP(A152,INDIRECT("'[" &amp;Info!$B$4&amp;"]"&amp;Info!$B$5&amp;"'!$A$6:$BB$1000"),54,0)))</f>
        <v/>
      </c>
      <c r="W152" s="17" t="str">
        <f t="shared" ca="1" si="9"/>
        <v/>
      </c>
      <c r="X152" s="18" t="str">
        <f t="shared" ca="1" si="10"/>
        <v/>
      </c>
      <c r="Y152" s="19" t="str">
        <f t="shared" ca="1" si="11"/>
        <v/>
      </c>
      <c r="Z152" s="18" t="str">
        <f t="shared" ca="1" si="12"/>
        <v/>
      </c>
    </row>
    <row r="153" spans="1:26" x14ac:dyDescent="0.25">
      <c r="A153" s="8" t="str">
        <f ca="1">IFERROR( VLOOKUP(A152+1,INDIRECT("'[" &amp;Info!$B$4&amp;"]"&amp;Info!$B$5&amp;"'!$A$6:$A$1000"),1,0),"")</f>
        <v/>
      </c>
      <c r="B153" s="5" t="str">
        <f ca="1">IFERROR( IF(A153="","", VLOOKUP(A153,INDIRECT("'[" &amp;Info!$B$4&amp;"]"&amp;Info!$B$5&amp;"'!$A$6:$B$1000"),2,0)),"")</f>
        <v/>
      </c>
      <c r="C153" s="14" t="str">
        <f ca="1">IFERROR( IF(A153="","", VLOOKUP(A153,INDIRECT("'[" &amp;Info!$B$4&amp;"]"&amp;Info!$B$5&amp;"'!$A$6:$D$1000"),3,0)),"")</f>
        <v/>
      </c>
      <c r="D153" s="31" t="str">
        <f ca="1">IF(C153="","", VLOOKUP(A153,INDIRECT("'[" &amp;Info!$B$4&amp;"]"&amp;Info!$B$5&amp;"'!$A$6:$T$1000"),20,0))</f>
        <v/>
      </c>
      <c r="E153" s="6" t="str">
        <f ca="1">IF(D153="","", VLOOKUP(A153,INDIRECT("'[" &amp;Info!$B$4&amp;"]"&amp;Info!$B$5&amp;"'!$A$6:$U$1000"),21,0))</f>
        <v/>
      </c>
      <c r="F153" s="6" t="str">
        <f ca="1">IF(D153="","", VLOOKUP(A153,INDIRECT("'[" &amp;Info!$B$4&amp;"]"&amp;Info!$B$5&amp;"'!$A$6:$U$1000"),21,0))</f>
        <v/>
      </c>
      <c r="G153" s="6" t="str">
        <f ca="1">IF(D153="","", VLOOKUP(A153,INDIRECT("'[" &amp;Info!$B$4&amp;"]"&amp;Info!$B$5&amp;"'!$A$6:$V$1000"),22,0))</f>
        <v/>
      </c>
      <c r="H153" s="6" t="str">
        <f ca="1">IF(D153="","", VLOOKUP(A153,INDIRECT("'[" &amp;Info!$B$4&amp;"]"&amp;Info!$B$5&amp;"'!$A$6:$W$1000"),23,0))</f>
        <v/>
      </c>
      <c r="I153" s="6" t="str">
        <f ca="1">LOWER( IF(D153="","", VLOOKUP(A153,INDIRECT("'[" &amp;Info!$B$4&amp;"]"&amp;Info!$B$5&amp;"'!$A$6:$y$1000"),25,0)))</f>
        <v/>
      </c>
      <c r="J153" s="6" t="str">
        <f ca="1">IF(D153="","", VLOOKUP(A153,INDIRECT("'[" &amp;Info!$B$4&amp;"]"&amp;Info!$B$5&amp;"'!$A$6:$Z$1000"),26,0))</f>
        <v/>
      </c>
      <c r="K153" s="35" t="str">
        <f ca="1">IF(D153="","", VLOOKUP(A153,INDIRECT("'[" &amp;Info!$B$4&amp;"]"&amp;Info!$B$5&amp;"'!$A$6:$AA$1000"),27,0))</f>
        <v/>
      </c>
      <c r="L153" s="35" t="str">
        <f ca="1">IF(D153="","", VLOOKUP(A153,INDIRECT("'[" &amp;Info!$B$4&amp;"]"&amp;Info!$B$5&amp;"'!$A$6:$H$1000"),8,0))</f>
        <v/>
      </c>
      <c r="M153" s="35" t="str">
        <f ca="1">IF(D153="","", VLOOKUP(A153,INDIRECT("'[" &amp;Info!$B$4&amp;"]"&amp;Info!$B$5&amp;"'!$A$6:$F$1000"),6,0))</f>
        <v/>
      </c>
      <c r="N153" s="33" t="str">
        <f ca="1">IF(C153="","", VLOOKUP(A153,INDIRECT("'[" &amp;Info!$B$4&amp;"]"&amp;Info!$B$5&amp;"'!$A$6:$Au$1000"),47,0))</f>
        <v/>
      </c>
      <c r="O153" s="28" t="str">
        <f ca="1">IF(N153="","",IF(N153=0,0,VLOOKUP(A153,INDIRECT("'[" &amp;Info!$B$4&amp;"]"&amp;Info!$B$5&amp;"'!$A$6:$AH$1000"),34,0)))</f>
        <v/>
      </c>
      <c r="P153" s="9" t="str">
        <f ca="1">IF(N153="","",IF(N153=0,0,VLOOKUP(A153,INDIRECT("'[" &amp;Info!$B$4&amp;"]"&amp;Info!$B$5&amp;"'!$A$6:$AW$1000"),49,0)))</f>
        <v/>
      </c>
      <c r="Q153" s="9" t="str">
        <f ca="1">IF(N153="","",IF(N153=0,0, VLOOKUP(A153,INDIRECT("'[" &amp;Info!$B$4&amp;"]"&amp;Info!$B$5&amp;"'!$A$6:$AX$1000"),50,0)))</f>
        <v/>
      </c>
      <c r="R153" s="29" t="str">
        <f ca="1">IF(N153="","",IF(N153=0,0, VLOOKUP(A153,INDIRECT("'[" &amp;Info!$B$4&amp;"]"&amp;Info!$B$5&amp;"'!$A$6:$AY$1000"),51,0)))</f>
        <v/>
      </c>
      <c r="S153" s="15" t="str">
        <f ca="1">IF(N153="","",IF(N153=0,0,VLOOKUP(A153,INDIRECT("'[" &amp;Info!$B$4&amp;"]"&amp;Info!$B$5&amp;"'!$A$6:$Ai$1000"),35,0)))</f>
        <v/>
      </c>
      <c r="T153" s="7" t="str">
        <f ca="1">IF(N153="","",IF(N153=0,0, VLOOKUP(A153,INDIRECT("'[" &amp;Info!$B$4&amp;"]"&amp;Info!$B$5&amp;"'!$A$6:$Az$1000"),52,0)))</f>
        <v/>
      </c>
      <c r="U153" s="7" t="str">
        <f ca="1">IF(N153="","",IF(N153=0,0, VLOOKUP(A153,INDIRECT("'[" &amp;Info!$B$4&amp;"]"&amp;Info!$B$5&amp;"'!$A$6:$BA$1000"),53,0)))</f>
        <v/>
      </c>
      <c r="V153" s="16" t="str">
        <f ca="1">IF(N153="","",IF(N153=0,0, VLOOKUP(A153,INDIRECT("'[" &amp;Info!$B$4&amp;"]"&amp;Info!$B$5&amp;"'!$A$6:$BB$1000"),54,0)))</f>
        <v/>
      </c>
      <c r="W153" s="17" t="str">
        <f t="shared" ca="1" si="9"/>
        <v/>
      </c>
      <c r="X153" s="18" t="str">
        <f t="shared" ca="1" si="10"/>
        <v/>
      </c>
      <c r="Y153" s="19" t="str">
        <f t="shared" ca="1" si="11"/>
        <v/>
      </c>
      <c r="Z153" s="18" t="str">
        <f t="shared" ca="1" si="12"/>
        <v/>
      </c>
    </row>
    <row r="154" spans="1:26" x14ac:dyDescent="0.25">
      <c r="A154" s="8" t="str">
        <f ca="1">IFERROR( VLOOKUP(A153+1,INDIRECT("'[" &amp;Info!$B$4&amp;"]"&amp;Info!$B$5&amp;"'!$A$6:$A$1000"),1,0),"")</f>
        <v/>
      </c>
      <c r="B154" s="5" t="str">
        <f ca="1">IFERROR( IF(A154="","", VLOOKUP(A154,INDIRECT("'[" &amp;Info!$B$4&amp;"]"&amp;Info!$B$5&amp;"'!$A$6:$B$1000"),2,0)),"")</f>
        <v/>
      </c>
      <c r="C154" s="14" t="str">
        <f ca="1">IFERROR( IF(A154="","", VLOOKUP(A154,INDIRECT("'[" &amp;Info!$B$4&amp;"]"&amp;Info!$B$5&amp;"'!$A$6:$D$1000"),3,0)),"")</f>
        <v/>
      </c>
      <c r="D154" s="31" t="str">
        <f ca="1">IF(C154="","", VLOOKUP(A154,INDIRECT("'[" &amp;Info!$B$4&amp;"]"&amp;Info!$B$5&amp;"'!$A$6:$T$1000"),20,0))</f>
        <v/>
      </c>
      <c r="E154" s="6" t="str">
        <f ca="1">IF(D154="","", VLOOKUP(A154,INDIRECT("'[" &amp;Info!$B$4&amp;"]"&amp;Info!$B$5&amp;"'!$A$6:$U$1000"),21,0))</f>
        <v/>
      </c>
      <c r="F154" s="6" t="str">
        <f ca="1">IF(D154="","", VLOOKUP(A154,INDIRECT("'[" &amp;Info!$B$4&amp;"]"&amp;Info!$B$5&amp;"'!$A$6:$U$1000"),21,0))</f>
        <v/>
      </c>
      <c r="G154" s="6" t="str">
        <f ca="1">IF(D154="","", VLOOKUP(A154,INDIRECT("'[" &amp;Info!$B$4&amp;"]"&amp;Info!$B$5&amp;"'!$A$6:$V$1000"),22,0))</f>
        <v/>
      </c>
      <c r="H154" s="6" t="str">
        <f ca="1">IF(D154="","", VLOOKUP(A154,INDIRECT("'[" &amp;Info!$B$4&amp;"]"&amp;Info!$B$5&amp;"'!$A$6:$W$1000"),23,0))</f>
        <v/>
      </c>
      <c r="I154" s="6" t="str">
        <f ca="1">LOWER( IF(D154="","", VLOOKUP(A154,INDIRECT("'[" &amp;Info!$B$4&amp;"]"&amp;Info!$B$5&amp;"'!$A$6:$y$1000"),25,0)))</f>
        <v/>
      </c>
      <c r="J154" s="6" t="str">
        <f ca="1">IF(D154="","", VLOOKUP(A154,INDIRECT("'[" &amp;Info!$B$4&amp;"]"&amp;Info!$B$5&amp;"'!$A$6:$Z$1000"),26,0))</f>
        <v/>
      </c>
      <c r="K154" s="35" t="str">
        <f ca="1">IF(D154="","", VLOOKUP(A154,INDIRECT("'[" &amp;Info!$B$4&amp;"]"&amp;Info!$B$5&amp;"'!$A$6:$AA$1000"),27,0))</f>
        <v/>
      </c>
      <c r="L154" s="35" t="str">
        <f ca="1">IF(D154="","", VLOOKUP(A154,INDIRECT("'[" &amp;Info!$B$4&amp;"]"&amp;Info!$B$5&amp;"'!$A$6:$H$1000"),8,0))</f>
        <v/>
      </c>
      <c r="M154" s="35" t="str">
        <f ca="1">IF(D154="","", VLOOKUP(A154,INDIRECT("'[" &amp;Info!$B$4&amp;"]"&amp;Info!$B$5&amp;"'!$A$6:$F$1000"),6,0))</f>
        <v/>
      </c>
      <c r="N154" s="33" t="str">
        <f ca="1">IF(C154="","", VLOOKUP(A154,INDIRECT("'[" &amp;Info!$B$4&amp;"]"&amp;Info!$B$5&amp;"'!$A$6:$Au$1000"),47,0))</f>
        <v/>
      </c>
      <c r="O154" s="28" t="str">
        <f ca="1">IF(N154="","",IF(N154=0,0,VLOOKUP(A154,INDIRECT("'[" &amp;Info!$B$4&amp;"]"&amp;Info!$B$5&amp;"'!$A$6:$AH$1000"),34,0)))</f>
        <v/>
      </c>
      <c r="P154" s="9" t="str">
        <f ca="1">IF(N154="","",IF(N154=0,0,VLOOKUP(A154,INDIRECT("'[" &amp;Info!$B$4&amp;"]"&amp;Info!$B$5&amp;"'!$A$6:$AW$1000"),49,0)))</f>
        <v/>
      </c>
      <c r="Q154" s="9" t="str">
        <f ca="1">IF(N154="","",IF(N154=0,0, VLOOKUP(A154,INDIRECT("'[" &amp;Info!$B$4&amp;"]"&amp;Info!$B$5&amp;"'!$A$6:$AX$1000"),50,0)))</f>
        <v/>
      </c>
      <c r="R154" s="29" t="str">
        <f ca="1">IF(N154="","",IF(N154=0,0, VLOOKUP(A154,INDIRECT("'[" &amp;Info!$B$4&amp;"]"&amp;Info!$B$5&amp;"'!$A$6:$AY$1000"),51,0)))</f>
        <v/>
      </c>
      <c r="S154" s="15" t="str">
        <f ca="1">IF(N154="","",IF(N154=0,0,VLOOKUP(A154,INDIRECT("'[" &amp;Info!$B$4&amp;"]"&amp;Info!$B$5&amp;"'!$A$6:$Ai$1000"),35,0)))</f>
        <v/>
      </c>
      <c r="T154" s="7" t="str">
        <f ca="1">IF(N154="","",IF(N154=0,0, VLOOKUP(A154,INDIRECT("'[" &amp;Info!$B$4&amp;"]"&amp;Info!$B$5&amp;"'!$A$6:$Az$1000"),52,0)))</f>
        <v/>
      </c>
      <c r="U154" s="7" t="str">
        <f ca="1">IF(N154="","",IF(N154=0,0, VLOOKUP(A154,INDIRECT("'[" &amp;Info!$B$4&amp;"]"&amp;Info!$B$5&amp;"'!$A$6:$BA$1000"),53,0)))</f>
        <v/>
      </c>
      <c r="V154" s="16" t="str">
        <f ca="1">IF(N154="","",IF(N154=0,0, VLOOKUP(A154,INDIRECT("'[" &amp;Info!$B$4&amp;"]"&amp;Info!$B$5&amp;"'!$A$6:$BB$1000"),54,0)))</f>
        <v/>
      </c>
      <c r="W154" s="17" t="str">
        <f t="shared" ca="1" si="9"/>
        <v/>
      </c>
      <c r="X154" s="18" t="str">
        <f t="shared" ca="1" si="10"/>
        <v/>
      </c>
      <c r="Y154" s="19" t="str">
        <f t="shared" ca="1" si="11"/>
        <v/>
      </c>
      <c r="Z154" s="18" t="str">
        <f t="shared" ca="1" si="12"/>
        <v/>
      </c>
    </row>
    <row r="155" spans="1:26" x14ac:dyDescent="0.25">
      <c r="A155" s="8" t="str">
        <f ca="1">IFERROR( VLOOKUP(A154+1,INDIRECT("'[" &amp;Info!$B$4&amp;"]"&amp;Info!$B$5&amp;"'!$A$6:$A$1000"),1,0),"")</f>
        <v/>
      </c>
      <c r="B155" s="5" t="str">
        <f ca="1">IFERROR( IF(A155="","", VLOOKUP(A155,INDIRECT("'[" &amp;Info!$B$4&amp;"]"&amp;Info!$B$5&amp;"'!$A$6:$B$1000"),2,0)),"")</f>
        <v/>
      </c>
      <c r="C155" s="14" t="str">
        <f ca="1">IFERROR( IF(A155="","", VLOOKUP(A155,INDIRECT("'[" &amp;Info!$B$4&amp;"]"&amp;Info!$B$5&amp;"'!$A$6:$D$1000"),3,0)),"")</f>
        <v/>
      </c>
      <c r="D155" s="31" t="str">
        <f ca="1">IF(C155="","", VLOOKUP(A155,INDIRECT("'[" &amp;Info!$B$4&amp;"]"&amp;Info!$B$5&amp;"'!$A$6:$T$1000"),20,0))</f>
        <v/>
      </c>
      <c r="E155" s="6" t="str">
        <f ca="1">IF(D155="","", VLOOKUP(A155,INDIRECT("'[" &amp;Info!$B$4&amp;"]"&amp;Info!$B$5&amp;"'!$A$6:$U$1000"),21,0))</f>
        <v/>
      </c>
      <c r="F155" s="6" t="str">
        <f ca="1">IF(D155="","", VLOOKUP(A155,INDIRECT("'[" &amp;Info!$B$4&amp;"]"&amp;Info!$B$5&amp;"'!$A$6:$U$1000"),21,0))</f>
        <v/>
      </c>
      <c r="G155" s="6" t="str">
        <f ca="1">IF(D155="","", VLOOKUP(A155,INDIRECT("'[" &amp;Info!$B$4&amp;"]"&amp;Info!$B$5&amp;"'!$A$6:$V$1000"),22,0))</f>
        <v/>
      </c>
      <c r="H155" s="6" t="str">
        <f ca="1">IF(D155="","", VLOOKUP(A155,INDIRECT("'[" &amp;Info!$B$4&amp;"]"&amp;Info!$B$5&amp;"'!$A$6:$W$1000"),23,0))</f>
        <v/>
      </c>
      <c r="I155" s="6" t="str">
        <f ca="1">LOWER( IF(D155="","", VLOOKUP(A155,INDIRECT("'[" &amp;Info!$B$4&amp;"]"&amp;Info!$B$5&amp;"'!$A$6:$y$1000"),25,0)))</f>
        <v/>
      </c>
      <c r="J155" s="6" t="str">
        <f ca="1">IF(D155="","", VLOOKUP(A155,INDIRECT("'[" &amp;Info!$B$4&amp;"]"&amp;Info!$B$5&amp;"'!$A$6:$Z$1000"),26,0))</f>
        <v/>
      </c>
      <c r="K155" s="35" t="str">
        <f ca="1">IF(D155="","", VLOOKUP(A155,INDIRECT("'[" &amp;Info!$B$4&amp;"]"&amp;Info!$B$5&amp;"'!$A$6:$AA$1000"),27,0))</f>
        <v/>
      </c>
      <c r="L155" s="35" t="str">
        <f ca="1">IF(D155="","", VLOOKUP(A155,INDIRECT("'[" &amp;Info!$B$4&amp;"]"&amp;Info!$B$5&amp;"'!$A$6:$H$1000"),8,0))</f>
        <v/>
      </c>
      <c r="M155" s="35" t="str">
        <f ca="1">IF(D155="","", VLOOKUP(A155,INDIRECT("'[" &amp;Info!$B$4&amp;"]"&amp;Info!$B$5&amp;"'!$A$6:$F$1000"),6,0))</f>
        <v/>
      </c>
      <c r="N155" s="33" t="str">
        <f ca="1">IF(C155="","", VLOOKUP(A155,INDIRECT("'[" &amp;Info!$B$4&amp;"]"&amp;Info!$B$5&amp;"'!$A$6:$Au$1000"),47,0))</f>
        <v/>
      </c>
      <c r="O155" s="28" t="str">
        <f ca="1">IF(N155="","",IF(N155=0,0,VLOOKUP(A155,INDIRECT("'[" &amp;Info!$B$4&amp;"]"&amp;Info!$B$5&amp;"'!$A$6:$AH$1000"),34,0)))</f>
        <v/>
      </c>
      <c r="P155" s="9" t="str">
        <f ca="1">IF(N155="","",IF(N155=0,0,VLOOKUP(A155,INDIRECT("'[" &amp;Info!$B$4&amp;"]"&amp;Info!$B$5&amp;"'!$A$6:$AW$1000"),49,0)))</f>
        <v/>
      </c>
      <c r="Q155" s="9" t="str">
        <f ca="1">IF(N155="","",IF(N155=0,0, VLOOKUP(A155,INDIRECT("'[" &amp;Info!$B$4&amp;"]"&amp;Info!$B$5&amp;"'!$A$6:$AX$1000"),50,0)))</f>
        <v/>
      </c>
      <c r="R155" s="29" t="str">
        <f ca="1">IF(N155="","",IF(N155=0,0, VLOOKUP(A155,INDIRECT("'[" &amp;Info!$B$4&amp;"]"&amp;Info!$B$5&amp;"'!$A$6:$AY$1000"),51,0)))</f>
        <v/>
      </c>
      <c r="S155" s="15" t="str">
        <f ca="1">IF(N155="","",IF(N155=0,0,VLOOKUP(A155,INDIRECT("'[" &amp;Info!$B$4&amp;"]"&amp;Info!$B$5&amp;"'!$A$6:$Ai$1000"),35,0)))</f>
        <v/>
      </c>
      <c r="T155" s="7" t="str">
        <f ca="1">IF(N155="","",IF(N155=0,0, VLOOKUP(A155,INDIRECT("'[" &amp;Info!$B$4&amp;"]"&amp;Info!$B$5&amp;"'!$A$6:$Az$1000"),52,0)))</f>
        <v/>
      </c>
      <c r="U155" s="7" t="str">
        <f ca="1">IF(N155="","",IF(N155=0,0, VLOOKUP(A155,INDIRECT("'[" &amp;Info!$B$4&amp;"]"&amp;Info!$B$5&amp;"'!$A$6:$BA$1000"),53,0)))</f>
        <v/>
      </c>
      <c r="V155" s="16" t="str">
        <f ca="1">IF(N155="","",IF(N155=0,0, VLOOKUP(A155,INDIRECT("'[" &amp;Info!$B$4&amp;"]"&amp;Info!$B$5&amp;"'!$A$6:$BB$1000"),54,0)))</f>
        <v/>
      </c>
      <c r="W155" s="17" t="str">
        <f t="shared" ca="1" si="9"/>
        <v/>
      </c>
      <c r="X155" s="18" t="str">
        <f t="shared" ca="1" si="10"/>
        <v/>
      </c>
      <c r="Y155" s="19" t="str">
        <f t="shared" ca="1" si="11"/>
        <v/>
      </c>
      <c r="Z155" s="18" t="str">
        <f t="shared" ca="1" si="12"/>
        <v/>
      </c>
    </row>
    <row r="156" spans="1:26" x14ac:dyDescent="0.25">
      <c r="A156" s="8" t="str">
        <f ca="1">IFERROR( VLOOKUP(A155+1,INDIRECT("'[" &amp;Info!$B$4&amp;"]"&amp;Info!$B$5&amp;"'!$A$6:$A$1000"),1,0),"")</f>
        <v/>
      </c>
      <c r="B156" s="5" t="str">
        <f ca="1">IFERROR( IF(A156="","", VLOOKUP(A156,INDIRECT("'[" &amp;Info!$B$4&amp;"]"&amp;Info!$B$5&amp;"'!$A$6:$B$1000"),2,0)),"")</f>
        <v/>
      </c>
      <c r="C156" s="14" t="str">
        <f ca="1">IFERROR( IF(A156="","", VLOOKUP(A156,INDIRECT("'[" &amp;Info!$B$4&amp;"]"&amp;Info!$B$5&amp;"'!$A$6:$D$1000"),3,0)),"")</f>
        <v/>
      </c>
      <c r="D156" s="31" t="str">
        <f ca="1">IF(C156="","", VLOOKUP(A156,INDIRECT("'[" &amp;Info!$B$4&amp;"]"&amp;Info!$B$5&amp;"'!$A$6:$T$1000"),20,0))</f>
        <v/>
      </c>
      <c r="E156" s="6" t="str">
        <f ca="1">IF(D156="","", VLOOKUP(A156,INDIRECT("'[" &amp;Info!$B$4&amp;"]"&amp;Info!$B$5&amp;"'!$A$6:$U$1000"),21,0))</f>
        <v/>
      </c>
      <c r="F156" s="6" t="str">
        <f ca="1">IF(D156="","", VLOOKUP(A156,INDIRECT("'[" &amp;Info!$B$4&amp;"]"&amp;Info!$B$5&amp;"'!$A$6:$U$1000"),21,0))</f>
        <v/>
      </c>
      <c r="G156" s="6" t="str">
        <f ca="1">IF(D156="","", VLOOKUP(A156,INDIRECT("'[" &amp;Info!$B$4&amp;"]"&amp;Info!$B$5&amp;"'!$A$6:$V$1000"),22,0))</f>
        <v/>
      </c>
      <c r="H156" s="6" t="str">
        <f ca="1">IF(D156="","", VLOOKUP(A156,INDIRECT("'[" &amp;Info!$B$4&amp;"]"&amp;Info!$B$5&amp;"'!$A$6:$W$1000"),23,0))</f>
        <v/>
      </c>
      <c r="I156" s="6" t="str">
        <f ca="1">LOWER( IF(D156="","", VLOOKUP(A156,INDIRECT("'[" &amp;Info!$B$4&amp;"]"&amp;Info!$B$5&amp;"'!$A$6:$y$1000"),25,0)))</f>
        <v/>
      </c>
      <c r="J156" s="6" t="str">
        <f ca="1">IF(D156="","", VLOOKUP(A156,INDIRECT("'[" &amp;Info!$B$4&amp;"]"&amp;Info!$B$5&amp;"'!$A$6:$Z$1000"),26,0))</f>
        <v/>
      </c>
      <c r="K156" s="35" t="str">
        <f ca="1">IF(D156="","", VLOOKUP(A156,INDIRECT("'[" &amp;Info!$B$4&amp;"]"&amp;Info!$B$5&amp;"'!$A$6:$AA$1000"),27,0))</f>
        <v/>
      </c>
      <c r="L156" s="35" t="str">
        <f ca="1">IF(D156="","", VLOOKUP(A156,INDIRECT("'[" &amp;Info!$B$4&amp;"]"&amp;Info!$B$5&amp;"'!$A$6:$H$1000"),8,0))</f>
        <v/>
      </c>
      <c r="M156" s="35" t="str">
        <f ca="1">IF(D156="","", VLOOKUP(A156,INDIRECT("'[" &amp;Info!$B$4&amp;"]"&amp;Info!$B$5&amp;"'!$A$6:$F$1000"),6,0))</f>
        <v/>
      </c>
      <c r="N156" s="33" t="str">
        <f ca="1">IF(C156="","", VLOOKUP(A156,INDIRECT("'[" &amp;Info!$B$4&amp;"]"&amp;Info!$B$5&amp;"'!$A$6:$Au$1000"),47,0))</f>
        <v/>
      </c>
      <c r="O156" s="28" t="str">
        <f ca="1">IF(N156="","",IF(N156=0,0,VLOOKUP(A156,INDIRECT("'[" &amp;Info!$B$4&amp;"]"&amp;Info!$B$5&amp;"'!$A$6:$AH$1000"),34,0)))</f>
        <v/>
      </c>
      <c r="P156" s="9" t="str">
        <f ca="1">IF(N156="","",IF(N156=0,0,VLOOKUP(A156,INDIRECT("'[" &amp;Info!$B$4&amp;"]"&amp;Info!$B$5&amp;"'!$A$6:$AW$1000"),49,0)))</f>
        <v/>
      </c>
      <c r="Q156" s="9" t="str">
        <f ca="1">IF(N156="","",IF(N156=0,0, VLOOKUP(A156,INDIRECT("'[" &amp;Info!$B$4&amp;"]"&amp;Info!$B$5&amp;"'!$A$6:$AX$1000"),50,0)))</f>
        <v/>
      </c>
      <c r="R156" s="29" t="str">
        <f ca="1">IF(N156="","",IF(N156=0,0, VLOOKUP(A156,INDIRECT("'[" &amp;Info!$B$4&amp;"]"&amp;Info!$B$5&amp;"'!$A$6:$AY$1000"),51,0)))</f>
        <v/>
      </c>
      <c r="S156" s="15" t="str">
        <f ca="1">IF(N156="","",IF(N156=0,0,VLOOKUP(A156,INDIRECT("'[" &amp;Info!$B$4&amp;"]"&amp;Info!$B$5&amp;"'!$A$6:$Ai$1000"),35,0)))</f>
        <v/>
      </c>
      <c r="T156" s="7" t="str">
        <f ca="1">IF(N156="","",IF(N156=0,0, VLOOKUP(A156,INDIRECT("'[" &amp;Info!$B$4&amp;"]"&amp;Info!$B$5&amp;"'!$A$6:$Az$1000"),52,0)))</f>
        <v/>
      </c>
      <c r="U156" s="7" t="str">
        <f ca="1">IF(N156="","",IF(N156=0,0, VLOOKUP(A156,INDIRECT("'[" &amp;Info!$B$4&amp;"]"&amp;Info!$B$5&amp;"'!$A$6:$BA$1000"),53,0)))</f>
        <v/>
      </c>
      <c r="V156" s="16" t="str">
        <f ca="1">IF(N156="","",IF(N156=0,0, VLOOKUP(A156,INDIRECT("'[" &amp;Info!$B$4&amp;"]"&amp;Info!$B$5&amp;"'!$A$6:$BB$1000"),54,0)))</f>
        <v/>
      </c>
      <c r="W156" s="17" t="str">
        <f t="shared" ca="1" si="9"/>
        <v/>
      </c>
      <c r="X156" s="18" t="str">
        <f t="shared" ca="1" si="10"/>
        <v/>
      </c>
      <c r="Y156" s="19" t="str">
        <f t="shared" ca="1" si="11"/>
        <v/>
      </c>
      <c r="Z156" s="18" t="str">
        <f t="shared" ca="1" si="12"/>
        <v/>
      </c>
    </row>
    <row r="157" spans="1:26" x14ac:dyDescent="0.25">
      <c r="A157" s="8" t="str">
        <f ca="1">IFERROR( VLOOKUP(A156+1,INDIRECT("'[" &amp;Info!$B$4&amp;"]"&amp;Info!$B$5&amp;"'!$A$6:$A$1000"),1,0),"")</f>
        <v/>
      </c>
      <c r="B157" s="5" t="str">
        <f ca="1">IFERROR( IF(A157="","", VLOOKUP(A157,INDIRECT("'[" &amp;Info!$B$4&amp;"]"&amp;Info!$B$5&amp;"'!$A$6:$B$1000"),2,0)),"")</f>
        <v/>
      </c>
      <c r="C157" s="14" t="str">
        <f ca="1">IFERROR( IF(A157="","", VLOOKUP(A157,INDIRECT("'[" &amp;Info!$B$4&amp;"]"&amp;Info!$B$5&amp;"'!$A$6:$D$1000"),3,0)),"")</f>
        <v/>
      </c>
      <c r="D157" s="31" t="str">
        <f ca="1">IF(C157="","", VLOOKUP(A157,INDIRECT("'[" &amp;Info!$B$4&amp;"]"&amp;Info!$B$5&amp;"'!$A$6:$T$1000"),20,0))</f>
        <v/>
      </c>
      <c r="E157" s="6" t="str">
        <f ca="1">IF(D157="","", VLOOKUP(A157,INDIRECT("'[" &amp;Info!$B$4&amp;"]"&amp;Info!$B$5&amp;"'!$A$6:$U$1000"),21,0))</f>
        <v/>
      </c>
      <c r="F157" s="6" t="str">
        <f ca="1">IF(D157="","", VLOOKUP(A157,INDIRECT("'[" &amp;Info!$B$4&amp;"]"&amp;Info!$B$5&amp;"'!$A$6:$U$1000"),21,0))</f>
        <v/>
      </c>
      <c r="G157" s="6" t="str">
        <f ca="1">IF(D157="","", VLOOKUP(A157,INDIRECT("'[" &amp;Info!$B$4&amp;"]"&amp;Info!$B$5&amp;"'!$A$6:$V$1000"),22,0))</f>
        <v/>
      </c>
      <c r="H157" s="6" t="str">
        <f ca="1">IF(D157="","", VLOOKUP(A157,INDIRECT("'[" &amp;Info!$B$4&amp;"]"&amp;Info!$B$5&amp;"'!$A$6:$W$1000"),23,0))</f>
        <v/>
      </c>
      <c r="I157" s="6" t="str">
        <f ca="1">LOWER( IF(D157="","", VLOOKUP(A157,INDIRECT("'[" &amp;Info!$B$4&amp;"]"&amp;Info!$B$5&amp;"'!$A$6:$y$1000"),25,0)))</f>
        <v/>
      </c>
      <c r="J157" s="6" t="str">
        <f ca="1">IF(D157="","", VLOOKUP(A157,INDIRECT("'[" &amp;Info!$B$4&amp;"]"&amp;Info!$B$5&amp;"'!$A$6:$Z$1000"),26,0))</f>
        <v/>
      </c>
      <c r="K157" s="35" t="str">
        <f ca="1">IF(D157="","", VLOOKUP(A157,INDIRECT("'[" &amp;Info!$B$4&amp;"]"&amp;Info!$B$5&amp;"'!$A$6:$AA$1000"),27,0))</f>
        <v/>
      </c>
      <c r="L157" s="35" t="str">
        <f ca="1">IF(D157="","", VLOOKUP(A157,INDIRECT("'[" &amp;Info!$B$4&amp;"]"&amp;Info!$B$5&amp;"'!$A$6:$H$1000"),8,0))</f>
        <v/>
      </c>
      <c r="M157" s="35" t="str">
        <f ca="1">IF(D157="","", VLOOKUP(A157,INDIRECT("'[" &amp;Info!$B$4&amp;"]"&amp;Info!$B$5&amp;"'!$A$6:$F$1000"),6,0))</f>
        <v/>
      </c>
      <c r="N157" s="33" t="str">
        <f ca="1">IF(C157="","", VLOOKUP(A157,INDIRECT("'[" &amp;Info!$B$4&amp;"]"&amp;Info!$B$5&amp;"'!$A$6:$Au$1000"),47,0))</f>
        <v/>
      </c>
      <c r="O157" s="28" t="str">
        <f ca="1">IF(N157="","",IF(N157=0,0,VLOOKUP(A157,INDIRECT("'[" &amp;Info!$B$4&amp;"]"&amp;Info!$B$5&amp;"'!$A$6:$AH$1000"),34,0)))</f>
        <v/>
      </c>
      <c r="P157" s="9" t="str">
        <f ca="1">IF(N157="","",IF(N157=0,0,VLOOKUP(A157,INDIRECT("'[" &amp;Info!$B$4&amp;"]"&amp;Info!$B$5&amp;"'!$A$6:$AW$1000"),49,0)))</f>
        <v/>
      </c>
      <c r="Q157" s="9" t="str">
        <f ca="1">IF(N157="","",IF(N157=0,0, VLOOKUP(A157,INDIRECT("'[" &amp;Info!$B$4&amp;"]"&amp;Info!$B$5&amp;"'!$A$6:$AX$1000"),50,0)))</f>
        <v/>
      </c>
      <c r="R157" s="29" t="str">
        <f ca="1">IF(N157="","",IF(N157=0,0, VLOOKUP(A157,INDIRECT("'[" &amp;Info!$B$4&amp;"]"&amp;Info!$B$5&amp;"'!$A$6:$AY$1000"),51,0)))</f>
        <v/>
      </c>
      <c r="S157" s="15" t="str">
        <f ca="1">IF(N157="","",IF(N157=0,0,VLOOKUP(A157,INDIRECT("'[" &amp;Info!$B$4&amp;"]"&amp;Info!$B$5&amp;"'!$A$6:$Ai$1000"),35,0)))</f>
        <v/>
      </c>
      <c r="T157" s="7" t="str">
        <f ca="1">IF(N157="","",IF(N157=0,0, VLOOKUP(A157,INDIRECT("'[" &amp;Info!$B$4&amp;"]"&amp;Info!$B$5&amp;"'!$A$6:$Az$1000"),52,0)))</f>
        <v/>
      </c>
      <c r="U157" s="7" t="str">
        <f ca="1">IF(N157="","",IF(N157=0,0, VLOOKUP(A157,INDIRECT("'[" &amp;Info!$B$4&amp;"]"&amp;Info!$B$5&amp;"'!$A$6:$BA$1000"),53,0)))</f>
        <v/>
      </c>
      <c r="V157" s="16" t="str">
        <f ca="1">IF(N157="","",IF(N157=0,0, VLOOKUP(A157,INDIRECT("'[" &amp;Info!$B$4&amp;"]"&amp;Info!$B$5&amp;"'!$A$6:$BB$1000"),54,0)))</f>
        <v/>
      </c>
      <c r="W157" s="17" t="str">
        <f t="shared" ca="1" si="9"/>
        <v/>
      </c>
      <c r="X157" s="18" t="str">
        <f t="shared" ca="1" si="10"/>
        <v/>
      </c>
      <c r="Y157" s="19" t="str">
        <f t="shared" ca="1" si="11"/>
        <v/>
      </c>
      <c r="Z157" s="18" t="str">
        <f t="shared" ca="1" si="12"/>
        <v/>
      </c>
    </row>
    <row r="158" spans="1:26" x14ac:dyDescent="0.25">
      <c r="A158" s="8" t="str">
        <f ca="1">IFERROR( VLOOKUP(A157+1,INDIRECT("'[" &amp;Info!$B$4&amp;"]"&amp;Info!$B$5&amp;"'!$A$6:$A$1000"),1,0),"")</f>
        <v/>
      </c>
      <c r="B158" s="5" t="str">
        <f ca="1">IFERROR( IF(A158="","", VLOOKUP(A158,INDIRECT("'[" &amp;Info!$B$4&amp;"]"&amp;Info!$B$5&amp;"'!$A$6:$B$1000"),2,0)),"")</f>
        <v/>
      </c>
      <c r="C158" s="14" t="str">
        <f ca="1">IFERROR( IF(A158="","", VLOOKUP(A158,INDIRECT("'[" &amp;Info!$B$4&amp;"]"&amp;Info!$B$5&amp;"'!$A$6:$D$1000"),3,0)),"")</f>
        <v/>
      </c>
      <c r="D158" s="31" t="str">
        <f ca="1">IF(C158="","", VLOOKUP(A158,INDIRECT("'[" &amp;Info!$B$4&amp;"]"&amp;Info!$B$5&amp;"'!$A$6:$T$1000"),20,0))</f>
        <v/>
      </c>
      <c r="E158" s="6" t="str">
        <f ca="1">IF(D158="","", VLOOKUP(A158,INDIRECT("'[" &amp;Info!$B$4&amp;"]"&amp;Info!$B$5&amp;"'!$A$6:$U$1000"),21,0))</f>
        <v/>
      </c>
      <c r="F158" s="6" t="str">
        <f ca="1">IF(D158="","", VLOOKUP(A158,INDIRECT("'[" &amp;Info!$B$4&amp;"]"&amp;Info!$B$5&amp;"'!$A$6:$U$1000"),21,0))</f>
        <v/>
      </c>
      <c r="G158" s="6" t="str">
        <f ca="1">IF(D158="","", VLOOKUP(A158,INDIRECT("'[" &amp;Info!$B$4&amp;"]"&amp;Info!$B$5&amp;"'!$A$6:$V$1000"),22,0))</f>
        <v/>
      </c>
      <c r="H158" s="6" t="str">
        <f ca="1">IF(D158="","", VLOOKUP(A158,INDIRECT("'[" &amp;Info!$B$4&amp;"]"&amp;Info!$B$5&amp;"'!$A$6:$W$1000"),23,0))</f>
        <v/>
      </c>
      <c r="I158" s="6" t="str">
        <f ca="1">LOWER( IF(D158="","", VLOOKUP(A158,INDIRECT("'[" &amp;Info!$B$4&amp;"]"&amp;Info!$B$5&amp;"'!$A$6:$y$1000"),25,0)))</f>
        <v/>
      </c>
      <c r="J158" s="6" t="str">
        <f ca="1">IF(D158="","", VLOOKUP(A158,INDIRECT("'[" &amp;Info!$B$4&amp;"]"&amp;Info!$B$5&amp;"'!$A$6:$Z$1000"),26,0))</f>
        <v/>
      </c>
      <c r="K158" s="35" t="str">
        <f ca="1">IF(D158="","", VLOOKUP(A158,INDIRECT("'[" &amp;Info!$B$4&amp;"]"&amp;Info!$B$5&amp;"'!$A$6:$AA$1000"),27,0))</f>
        <v/>
      </c>
      <c r="L158" s="35" t="str">
        <f ca="1">IF(D158="","", VLOOKUP(A158,INDIRECT("'[" &amp;Info!$B$4&amp;"]"&amp;Info!$B$5&amp;"'!$A$6:$H$1000"),8,0))</f>
        <v/>
      </c>
      <c r="M158" s="35" t="str">
        <f ca="1">IF(D158="","", VLOOKUP(A158,INDIRECT("'[" &amp;Info!$B$4&amp;"]"&amp;Info!$B$5&amp;"'!$A$6:$F$1000"),6,0))</f>
        <v/>
      </c>
      <c r="N158" s="33" t="str">
        <f ca="1">IF(C158="","", VLOOKUP(A158,INDIRECT("'[" &amp;Info!$B$4&amp;"]"&amp;Info!$B$5&amp;"'!$A$6:$Au$1000"),47,0))</f>
        <v/>
      </c>
      <c r="O158" s="28" t="str">
        <f ca="1">IF(N158="","",IF(N158=0,0,VLOOKUP(A158,INDIRECT("'[" &amp;Info!$B$4&amp;"]"&amp;Info!$B$5&amp;"'!$A$6:$AH$1000"),34,0)))</f>
        <v/>
      </c>
      <c r="P158" s="9" t="str">
        <f ca="1">IF(N158="","",IF(N158=0,0,VLOOKUP(A158,INDIRECT("'[" &amp;Info!$B$4&amp;"]"&amp;Info!$B$5&amp;"'!$A$6:$AW$1000"),49,0)))</f>
        <v/>
      </c>
      <c r="Q158" s="9" t="str">
        <f ca="1">IF(N158="","",IF(N158=0,0, VLOOKUP(A158,INDIRECT("'[" &amp;Info!$B$4&amp;"]"&amp;Info!$B$5&amp;"'!$A$6:$AX$1000"),50,0)))</f>
        <v/>
      </c>
      <c r="R158" s="29" t="str">
        <f ca="1">IF(N158="","",IF(N158=0,0, VLOOKUP(A158,INDIRECT("'[" &amp;Info!$B$4&amp;"]"&amp;Info!$B$5&amp;"'!$A$6:$AY$1000"),51,0)))</f>
        <v/>
      </c>
      <c r="S158" s="15" t="str">
        <f ca="1">IF(N158="","",IF(N158=0,0,VLOOKUP(A158,INDIRECT("'[" &amp;Info!$B$4&amp;"]"&amp;Info!$B$5&amp;"'!$A$6:$Ai$1000"),35,0)))</f>
        <v/>
      </c>
      <c r="T158" s="7" t="str">
        <f ca="1">IF(N158="","",IF(N158=0,0, VLOOKUP(A158,INDIRECT("'[" &amp;Info!$B$4&amp;"]"&amp;Info!$B$5&amp;"'!$A$6:$Az$1000"),52,0)))</f>
        <v/>
      </c>
      <c r="U158" s="7" t="str">
        <f ca="1">IF(N158="","",IF(N158=0,0, VLOOKUP(A158,INDIRECT("'[" &amp;Info!$B$4&amp;"]"&amp;Info!$B$5&amp;"'!$A$6:$BA$1000"),53,0)))</f>
        <v/>
      </c>
      <c r="V158" s="16" t="str">
        <f ca="1">IF(N158="","",IF(N158=0,0, VLOOKUP(A158,INDIRECT("'[" &amp;Info!$B$4&amp;"]"&amp;Info!$B$5&amp;"'!$A$6:$BB$1000"),54,0)))</f>
        <v/>
      </c>
      <c r="W158" s="17" t="str">
        <f t="shared" ca="1" si="9"/>
        <v/>
      </c>
      <c r="X158" s="18" t="str">
        <f t="shared" ca="1" si="10"/>
        <v/>
      </c>
      <c r="Y158" s="19" t="str">
        <f t="shared" ca="1" si="11"/>
        <v/>
      </c>
      <c r="Z158" s="18" t="str">
        <f t="shared" ca="1" si="12"/>
        <v/>
      </c>
    </row>
    <row r="159" spans="1:26" x14ac:dyDescent="0.25">
      <c r="A159" s="8" t="str">
        <f ca="1">IFERROR( VLOOKUP(A158+1,INDIRECT("'[" &amp;Info!$B$4&amp;"]"&amp;Info!$B$5&amp;"'!$A$6:$A$1000"),1,0),"")</f>
        <v/>
      </c>
      <c r="B159" s="5" t="str">
        <f ca="1">IFERROR( IF(A159="","", VLOOKUP(A159,INDIRECT("'[" &amp;Info!$B$4&amp;"]"&amp;Info!$B$5&amp;"'!$A$6:$B$1000"),2,0)),"")</f>
        <v/>
      </c>
      <c r="C159" s="14" t="str">
        <f ca="1">IFERROR( IF(A159="","", VLOOKUP(A159,INDIRECT("'[" &amp;Info!$B$4&amp;"]"&amp;Info!$B$5&amp;"'!$A$6:$D$1000"),3,0)),"")</f>
        <v/>
      </c>
      <c r="D159" s="31" t="str">
        <f ca="1">IF(C159="","", VLOOKUP(A159,INDIRECT("'[" &amp;Info!$B$4&amp;"]"&amp;Info!$B$5&amp;"'!$A$6:$T$1000"),20,0))</f>
        <v/>
      </c>
      <c r="E159" s="6" t="str">
        <f ca="1">IF(D159="","", VLOOKUP(A159,INDIRECT("'[" &amp;Info!$B$4&amp;"]"&amp;Info!$B$5&amp;"'!$A$6:$U$1000"),21,0))</f>
        <v/>
      </c>
      <c r="F159" s="6" t="str">
        <f ca="1">IF(D159="","", VLOOKUP(A159,INDIRECT("'[" &amp;Info!$B$4&amp;"]"&amp;Info!$B$5&amp;"'!$A$6:$U$1000"),21,0))</f>
        <v/>
      </c>
      <c r="G159" s="6" t="str">
        <f ca="1">IF(D159="","", VLOOKUP(A159,INDIRECT("'[" &amp;Info!$B$4&amp;"]"&amp;Info!$B$5&amp;"'!$A$6:$V$1000"),22,0))</f>
        <v/>
      </c>
      <c r="H159" s="6" t="str">
        <f ca="1">IF(D159="","", VLOOKUP(A159,INDIRECT("'[" &amp;Info!$B$4&amp;"]"&amp;Info!$B$5&amp;"'!$A$6:$W$1000"),23,0))</f>
        <v/>
      </c>
      <c r="I159" s="6" t="str">
        <f ca="1">LOWER( IF(D159="","", VLOOKUP(A159,INDIRECT("'[" &amp;Info!$B$4&amp;"]"&amp;Info!$B$5&amp;"'!$A$6:$y$1000"),25,0)))</f>
        <v/>
      </c>
      <c r="J159" s="6" t="str">
        <f ca="1">IF(D159="","", VLOOKUP(A159,INDIRECT("'[" &amp;Info!$B$4&amp;"]"&amp;Info!$B$5&amp;"'!$A$6:$Z$1000"),26,0))</f>
        <v/>
      </c>
      <c r="K159" s="35" t="str">
        <f ca="1">IF(D159="","", VLOOKUP(A159,INDIRECT("'[" &amp;Info!$B$4&amp;"]"&amp;Info!$B$5&amp;"'!$A$6:$AA$1000"),27,0))</f>
        <v/>
      </c>
      <c r="L159" s="35" t="str">
        <f ca="1">IF(D159="","", VLOOKUP(A159,INDIRECT("'[" &amp;Info!$B$4&amp;"]"&amp;Info!$B$5&amp;"'!$A$6:$H$1000"),8,0))</f>
        <v/>
      </c>
      <c r="M159" s="35" t="str">
        <f ca="1">IF(D159="","", VLOOKUP(A159,INDIRECT("'[" &amp;Info!$B$4&amp;"]"&amp;Info!$B$5&amp;"'!$A$6:$F$1000"),6,0))</f>
        <v/>
      </c>
      <c r="N159" s="33" t="str">
        <f ca="1">IF(C159="","", VLOOKUP(A159,INDIRECT("'[" &amp;Info!$B$4&amp;"]"&amp;Info!$B$5&amp;"'!$A$6:$Au$1000"),47,0))</f>
        <v/>
      </c>
      <c r="O159" s="28" t="str">
        <f ca="1">IF(N159="","",IF(N159=0,0,VLOOKUP(A159,INDIRECT("'[" &amp;Info!$B$4&amp;"]"&amp;Info!$B$5&amp;"'!$A$6:$AH$1000"),34,0)))</f>
        <v/>
      </c>
      <c r="P159" s="9" t="str">
        <f ca="1">IF(N159="","",IF(N159=0,0,VLOOKUP(A159,INDIRECT("'[" &amp;Info!$B$4&amp;"]"&amp;Info!$B$5&amp;"'!$A$6:$AW$1000"),49,0)))</f>
        <v/>
      </c>
      <c r="Q159" s="9" t="str">
        <f ca="1">IF(N159="","",IF(N159=0,0, VLOOKUP(A159,INDIRECT("'[" &amp;Info!$B$4&amp;"]"&amp;Info!$B$5&amp;"'!$A$6:$AX$1000"),50,0)))</f>
        <v/>
      </c>
      <c r="R159" s="29" t="str">
        <f ca="1">IF(N159="","",IF(N159=0,0, VLOOKUP(A159,INDIRECT("'[" &amp;Info!$B$4&amp;"]"&amp;Info!$B$5&amp;"'!$A$6:$AY$1000"),51,0)))</f>
        <v/>
      </c>
      <c r="S159" s="15" t="str">
        <f ca="1">IF(N159="","",IF(N159=0,0,VLOOKUP(A159,INDIRECT("'[" &amp;Info!$B$4&amp;"]"&amp;Info!$B$5&amp;"'!$A$6:$Ai$1000"),35,0)))</f>
        <v/>
      </c>
      <c r="T159" s="7" t="str">
        <f ca="1">IF(N159="","",IF(N159=0,0, VLOOKUP(A159,INDIRECT("'[" &amp;Info!$B$4&amp;"]"&amp;Info!$B$5&amp;"'!$A$6:$Az$1000"),52,0)))</f>
        <v/>
      </c>
      <c r="U159" s="7" t="str">
        <f ca="1">IF(N159="","",IF(N159=0,0, VLOOKUP(A159,INDIRECT("'[" &amp;Info!$B$4&amp;"]"&amp;Info!$B$5&amp;"'!$A$6:$BA$1000"),53,0)))</f>
        <v/>
      </c>
      <c r="V159" s="16" t="str">
        <f ca="1">IF(N159="","",IF(N159=0,0, VLOOKUP(A159,INDIRECT("'[" &amp;Info!$B$4&amp;"]"&amp;Info!$B$5&amp;"'!$A$6:$BB$1000"),54,0)))</f>
        <v/>
      </c>
      <c r="W159" s="17" t="str">
        <f t="shared" ca="1" si="9"/>
        <v/>
      </c>
      <c r="X159" s="18" t="str">
        <f t="shared" ca="1" si="10"/>
        <v/>
      </c>
      <c r="Y159" s="19" t="str">
        <f t="shared" ca="1" si="11"/>
        <v/>
      </c>
      <c r="Z159" s="18" t="str">
        <f t="shared" ca="1" si="12"/>
        <v/>
      </c>
    </row>
    <row r="160" spans="1:26" x14ac:dyDescent="0.25">
      <c r="A160" s="8" t="str">
        <f ca="1">IFERROR( VLOOKUP(A159+1,INDIRECT("'[" &amp;Info!$B$4&amp;"]"&amp;Info!$B$5&amp;"'!$A$6:$A$1000"),1,0),"")</f>
        <v/>
      </c>
      <c r="B160" s="5" t="str">
        <f ca="1">IFERROR( IF(A160="","", VLOOKUP(A160,INDIRECT("'[" &amp;Info!$B$4&amp;"]"&amp;Info!$B$5&amp;"'!$A$6:$B$1000"),2,0)),"")</f>
        <v/>
      </c>
      <c r="C160" s="14" t="str">
        <f ca="1">IFERROR( IF(A160="","", VLOOKUP(A160,INDIRECT("'[" &amp;Info!$B$4&amp;"]"&amp;Info!$B$5&amp;"'!$A$6:$D$1000"),3,0)),"")</f>
        <v/>
      </c>
      <c r="D160" s="31" t="str">
        <f ca="1">IF(C160="","", VLOOKUP(A160,INDIRECT("'[" &amp;Info!$B$4&amp;"]"&amp;Info!$B$5&amp;"'!$A$6:$T$1000"),20,0))</f>
        <v/>
      </c>
      <c r="E160" s="6" t="str">
        <f ca="1">IF(D160="","", VLOOKUP(A160,INDIRECT("'[" &amp;Info!$B$4&amp;"]"&amp;Info!$B$5&amp;"'!$A$6:$U$1000"),21,0))</f>
        <v/>
      </c>
      <c r="F160" s="6" t="str">
        <f ca="1">IF(D160="","", VLOOKUP(A160,INDIRECT("'[" &amp;Info!$B$4&amp;"]"&amp;Info!$B$5&amp;"'!$A$6:$U$1000"),21,0))</f>
        <v/>
      </c>
      <c r="G160" s="6" t="str">
        <f ca="1">IF(D160="","", VLOOKUP(A160,INDIRECT("'[" &amp;Info!$B$4&amp;"]"&amp;Info!$B$5&amp;"'!$A$6:$V$1000"),22,0))</f>
        <v/>
      </c>
      <c r="H160" s="6" t="str">
        <f ca="1">IF(D160="","", VLOOKUP(A160,INDIRECT("'[" &amp;Info!$B$4&amp;"]"&amp;Info!$B$5&amp;"'!$A$6:$W$1000"),23,0))</f>
        <v/>
      </c>
      <c r="I160" s="6" t="str">
        <f ca="1">LOWER( IF(D160="","", VLOOKUP(A160,INDIRECT("'[" &amp;Info!$B$4&amp;"]"&amp;Info!$B$5&amp;"'!$A$6:$y$1000"),25,0)))</f>
        <v/>
      </c>
      <c r="J160" s="6" t="str">
        <f ca="1">IF(D160="","", VLOOKUP(A160,INDIRECT("'[" &amp;Info!$B$4&amp;"]"&amp;Info!$B$5&amp;"'!$A$6:$Z$1000"),26,0))</f>
        <v/>
      </c>
      <c r="K160" s="35" t="str">
        <f ca="1">IF(D160="","", VLOOKUP(A160,INDIRECT("'[" &amp;Info!$B$4&amp;"]"&amp;Info!$B$5&amp;"'!$A$6:$AA$1000"),27,0))</f>
        <v/>
      </c>
      <c r="L160" s="35" t="str">
        <f ca="1">IF(D160="","", VLOOKUP(A160,INDIRECT("'[" &amp;Info!$B$4&amp;"]"&amp;Info!$B$5&amp;"'!$A$6:$H$1000"),8,0))</f>
        <v/>
      </c>
      <c r="M160" s="35" t="str">
        <f ca="1">IF(D160="","", VLOOKUP(A160,INDIRECT("'[" &amp;Info!$B$4&amp;"]"&amp;Info!$B$5&amp;"'!$A$6:$F$1000"),6,0))</f>
        <v/>
      </c>
      <c r="N160" s="33" t="str">
        <f ca="1">IF(C160="","", VLOOKUP(A160,INDIRECT("'[" &amp;Info!$B$4&amp;"]"&amp;Info!$B$5&amp;"'!$A$6:$Au$1000"),47,0))</f>
        <v/>
      </c>
      <c r="O160" s="28" t="str">
        <f ca="1">IF(N160="","",IF(N160=0,0,VLOOKUP(A160,INDIRECT("'[" &amp;Info!$B$4&amp;"]"&amp;Info!$B$5&amp;"'!$A$6:$AH$1000"),34,0)))</f>
        <v/>
      </c>
      <c r="P160" s="9" t="str">
        <f ca="1">IF(N160="","",IF(N160=0,0,VLOOKUP(A160,INDIRECT("'[" &amp;Info!$B$4&amp;"]"&amp;Info!$B$5&amp;"'!$A$6:$AW$1000"),49,0)))</f>
        <v/>
      </c>
      <c r="Q160" s="9" t="str">
        <f ca="1">IF(N160="","",IF(N160=0,0, VLOOKUP(A160,INDIRECT("'[" &amp;Info!$B$4&amp;"]"&amp;Info!$B$5&amp;"'!$A$6:$AX$1000"),50,0)))</f>
        <v/>
      </c>
      <c r="R160" s="29" t="str">
        <f ca="1">IF(N160="","",IF(N160=0,0, VLOOKUP(A160,INDIRECT("'[" &amp;Info!$B$4&amp;"]"&amp;Info!$B$5&amp;"'!$A$6:$AY$1000"),51,0)))</f>
        <v/>
      </c>
      <c r="S160" s="15" t="str">
        <f ca="1">IF(N160="","",IF(N160=0,0,VLOOKUP(A160,INDIRECT("'[" &amp;Info!$B$4&amp;"]"&amp;Info!$B$5&amp;"'!$A$6:$Ai$1000"),35,0)))</f>
        <v/>
      </c>
      <c r="T160" s="7" t="str">
        <f ca="1">IF(N160="","",IF(N160=0,0, VLOOKUP(A160,INDIRECT("'[" &amp;Info!$B$4&amp;"]"&amp;Info!$B$5&amp;"'!$A$6:$Az$1000"),52,0)))</f>
        <v/>
      </c>
      <c r="U160" s="7" t="str">
        <f ca="1">IF(N160="","",IF(N160=0,0, VLOOKUP(A160,INDIRECT("'[" &amp;Info!$B$4&amp;"]"&amp;Info!$B$5&amp;"'!$A$6:$BA$1000"),53,0)))</f>
        <v/>
      </c>
      <c r="V160" s="16" t="str">
        <f ca="1">IF(N160="","",IF(N160=0,0, VLOOKUP(A160,INDIRECT("'[" &amp;Info!$B$4&amp;"]"&amp;Info!$B$5&amp;"'!$A$6:$BB$1000"),54,0)))</f>
        <v/>
      </c>
      <c r="W160" s="17" t="str">
        <f t="shared" ca="1" si="9"/>
        <v/>
      </c>
      <c r="X160" s="18" t="str">
        <f t="shared" ca="1" si="10"/>
        <v/>
      </c>
      <c r="Y160" s="19" t="str">
        <f t="shared" ca="1" si="11"/>
        <v/>
      </c>
      <c r="Z160" s="18" t="str">
        <f t="shared" ca="1" si="12"/>
        <v/>
      </c>
    </row>
    <row r="161" spans="1:26" x14ac:dyDescent="0.25">
      <c r="A161" s="8" t="str">
        <f ca="1">IFERROR( VLOOKUP(A160+1,INDIRECT("'[" &amp;Info!$B$4&amp;"]"&amp;Info!$B$5&amp;"'!$A$6:$A$1000"),1,0),"")</f>
        <v/>
      </c>
      <c r="B161" s="5" t="str">
        <f ca="1">IFERROR( IF(A161="","", VLOOKUP(A161,INDIRECT("'[" &amp;Info!$B$4&amp;"]"&amp;Info!$B$5&amp;"'!$A$6:$B$1000"),2,0)),"")</f>
        <v/>
      </c>
      <c r="C161" s="14" t="str">
        <f ca="1">IFERROR( IF(A161="","", VLOOKUP(A161,INDIRECT("'[" &amp;Info!$B$4&amp;"]"&amp;Info!$B$5&amp;"'!$A$6:$D$1000"),3,0)),"")</f>
        <v/>
      </c>
      <c r="D161" s="31" t="str">
        <f ca="1">IF(C161="","", VLOOKUP(A161,INDIRECT("'[" &amp;Info!$B$4&amp;"]"&amp;Info!$B$5&amp;"'!$A$6:$T$1000"),20,0))</f>
        <v/>
      </c>
      <c r="E161" s="6" t="str">
        <f ca="1">IF(D161="","", VLOOKUP(A161,INDIRECT("'[" &amp;Info!$B$4&amp;"]"&amp;Info!$B$5&amp;"'!$A$6:$U$1000"),21,0))</f>
        <v/>
      </c>
      <c r="F161" s="6" t="str">
        <f ca="1">IF(D161="","", VLOOKUP(A161,INDIRECT("'[" &amp;Info!$B$4&amp;"]"&amp;Info!$B$5&amp;"'!$A$6:$U$1000"),21,0))</f>
        <v/>
      </c>
      <c r="G161" s="6" t="str">
        <f ca="1">IF(D161="","", VLOOKUP(A161,INDIRECT("'[" &amp;Info!$B$4&amp;"]"&amp;Info!$B$5&amp;"'!$A$6:$V$1000"),22,0))</f>
        <v/>
      </c>
      <c r="H161" s="6" t="str">
        <f ca="1">IF(D161="","", VLOOKUP(A161,INDIRECT("'[" &amp;Info!$B$4&amp;"]"&amp;Info!$B$5&amp;"'!$A$6:$W$1000"),23,0))</f>
        <v/>
      </c>
      <c r="I161" s="6" t="str">
        <f ca="1">LOWER( IF(D161="","", VLOOKUP(A161,INDIRECT("'[" &amp;Info!$B$4&amp;"]"&amp;Info!$B$5&amp;"'!$A$6:$y$1000"),25,0)))</f>
        <v/>
      </c>
      <c r="J161" s="6" t="str">
        <f ca="1">IF(D161="","", VLOOKUP(A161,INDIRECT("'[" &amp;Info!$B$4&amp;"]"&amp;Info!$B$5&amp;"'!$A$6:$Z$1000"),26,0))</f>
        <v/>
      </c>
      <c r="K161" s="35" t="str">
        <f ca="1">IF(D161="","", VLOOKUP(A161,INDIRECT("'[" &amp;Info!$B$4&amp;"]"&amp;Info!$B$5&amp;"'!$A$6:$AA$1000"),27,0))</f>
        <v/>
      </c>
      <c r="L161" s="35" t="str">
        <f ca="1">IF(D161="","", VLOOKUP(A161,INDIRECT("'[" &amp;Info!$B$4&amp;"]"&amp;Info!$B$5&amp;"'!$A$6:$H$1000"),8,0))</f>
        <v/>
      </c>
      <c r="M161" s="35" t="str">
        <f ca="1">IF(D161="","", VLOOKUP(A161,INDIRECT("'[" &amp;Info!$B$4&amp;"]"&amp;Info!$B$5&amp;"'!$A$6:$F$1000"),6,0))</f>
        <v/>
      </c>
      <c r="N161" s="33" t="str">
        <f ca="1">IF(C161="","", VLOOKUP(A161,INDIRECT("'[" &amp;Info!$B$4&amp;"]"&amp;Info!$B$5&amp;"'!$A$6:$Au$1000"),47,0))</f>
        <v/>
      </c>
      <c r="O161" s="28" t="str">
        <f ca="1">IF(N161="","",IF(N161=0,0,VLOOKUP(A161,INDIRECT("'[" &amp;Info!$B$4&amp;"]"&amp;Info!$B$5&amp;"'!$A$6:$AH$1000"),34,0)))</f>
        <v/>
      </c>
      <c r="P161" s="9" t="str">
        <f ca="1">IF(N161="","",IF(N161=0,0,VLOOKUP(A161,INDIRECT("'[" &amp;Info!$B$4&amp;"]"&amp;Info!$B$5&amp;"'!$A$6:$AW$1000"),49,0)))</f>
        <v/>
      </c>
      <c r="Q161" s="9" t="str">
        <f ca="1">IF(N161="","",IF(N161=0,0, VLOOKUP(A161,INDIRECT("'[" &amp;Info!$B$4&amp;"]"&amp;Info!$B$5&amp;"'!$A$6:$AX$1000"),50,0)))</f>
        <v/>
      </c>
      <c r="R161" s="29" t="str">
        <f ca="1">IF(N161="","",IF(N161=0,0, VLOOKUP(A161,INDIRECT("'[" &amp;Info!$B$4&amp;"]"&amp;Info!$B$5&amp;"'!$A$6:$AY$1000"),51,0)))</f>
        <v/>
      </c>
      <c r="S161" s="15" t="str">
        <f ca="1">IF(N161="","",IF(N161=0,0,VLOOKUP(A161,INDIRECT("'[" &amp;Info!$B$4&amp;"]"&amp;Info!$B$5&amp;"'!$A$6:$Ai$1000"),35,0)))</f>
        <v/>
      </c>
      <c r="T161" s="7" t="str">
        <f ca="1">IF(N161="","",IF(N161=0,0, VLOOKUP(A161,INDIRECT("'[" &amp;Info!$B$4&amp;"]"&amp;Info!$B$5&amp;"'!$A$6:$Az$1000"),52,0)))</f>
        <v/>
      </c>
      <c r="U161" s="7" t="str">
        <f ca="1">IF(N161="","",IF(N161=0,0, VLOOKUP(A161,INDIRECT("'[" &amp;Info!$B$4&amp;"]"&amp;Info!$B$5&amp;"'!$A$6:$BA$1000"),53,0)))</f>
        <v/>
      </c>
      <c r="V161" s="16" t="str">
        <f ca="1">IF(N161="","",IF(N161=0,0, VLOOKUP(A161,INDIRECT("'[" &amp;Info!$B$4&amp;"]"&amp;Info!$B$5&amp;"'!$A$6:$BB$1000"),54,0)))</f>
        <v/>
      </c>
      <c r="W161" s="17" t="str">
        <f t="shared" ca="1" si="9"/>
        <v/>
      </c>
      <c r="X161" s="18" t="str">
        <f t="shared" ca="1" si="10"/>
        <v/>
      </c>
      <c r="Y161" s="19" t="str">
        <f t="shared" ca="1" si="11"/>
        <v/>
      </c>
      <c r="Z161" s="18" t="str">
        <f t="shared" ca="1" si="12"/>
        <v/>
      </c>
    </row>
    <row r="162" spans="1:26" x14ac:dyDescent="0.25">
      <c r="A162" s="8" t="str">
        <f ca="1">IFERROR( VLOOKUP(A161+1,INDIRECT("'[" &amp;Info!$B$4&amp;"]"&amp;Info!$B$5&amp;"'!$A$6:$A$1000"),1,0),"")</f>
        <v/>
      </c>
      <c r="B162" s="5" t="str">
        <f ca="1">IFERROR( IF(A162="","", VLOOKUP(A162,INDIRECT("'[" &amp;Info!$B$4&amp;"]"&amp;Info!$B$5&amp;"'!$A$6:$B$1000"),2,0)),"")</f>
        <v/>
      </c>
      <c r="C162" s="14" t="str">
        <f ca="1">IFERROR( IF(A162="","", VLOOKUP(A162,INDIRECT("'[" &amp;Info!$B$4&amp;"]"&amp;Info!$B$5&amp;"'!$A$6:$D$1000"),3,0)),"")</f>
        <v/>
      </c>
      <c r="D162" s="31" t="str">
        <f ca="1">IF(C162="","", VLOOKUP(A162,INDIRECT("'[" &amp;Info!$B$4&amp;"]"&amp;Info!$B$5&amp;"'!$A$6:$T$1000"),20,0))</f>
        <v/>
      </c>
      <c r="E162" s="6" t="str">
        <f ca="1">IF(D162="","", VLOOKUP(A162,INDIRECT("'[" &amp;Info!$B$4&amp;"]"&amp;Info!$B$5&amp;"'!$A$6:$U$1000"),21,0))</f>
        <v/>
      </c>
      <c r="F162" s="6" t="str">
        <f ca="1">IF(D162="","", VLOOKUP(A162,INDIRECT("'[" &amp;Info!$B$4&amp;"]"&amp;Info!$B$5&amp;"'!$A$6:$U$1000"),21,0))</f>
        <v/>
      </c>
      <c r="G162" s="6" t="str">
        <f ca="1">IF(D162="","", VLOOKUP(A162,INDIRECT("'[" &amp;Info!$B$4&amp;"]"&amp;Info!$B$5&amp;"'!$A$6:$V$1000"),22,0))</f>
        <v/>
      </c>
      <c r="H162" s="6" t="str">
        <f ca="1">IF(D162="","", VLOOKUP(A162,INDIRECT("'[" &amp;Info!$B$4&amp;"]"&amp;Info!$B$5&amp;"'!$A$6:$W$1000"),23,0))</f>
        <v/>
      </c>
      <c r="I162" s="6" t="str">
        <f ca="1">LOWER( IF(D162="","", VLOOKUP(A162,INDIRECT("'[" &amp;Info!$B$4&amp;"]"&amp;Info!$B$5&amp;"'!$A$6:$y$1000"),25,0)))</f>
        <v/>
      </c>
      <c r="J162" s="6" t="str">
        <f ca="1">IF(D162="","", VLOOKUP(A162,INDIRECT("'[" &amp;Info!$B$4&amp;"]"&amp;Info!$B$5&amp;"'!$A$6:$Z$1000"),26,0))</f>
        <v/>
      </c>
      <c r="K162" s="35" t="str">
        <f ca="1">IF(D162="","", VLOOKUP(A162,INDIRECT("'[" &amp;Info!$B$4&amp;"]"&amp;Info!$B$5&amp;"'!$A$6:$AA$1000"),27,0))</f>
        <v/>
      </c>
      <c r="L162" s="35" t="str">
        <f ca="1">IF(D162="","", VLOOKUP(A162,INDIRECT("'[" &amp;Info!$B$4&amp;"]"&amp;Info!$B$5&amp;"'!$A$6:$H$1000"),8,0))</f>
        <v/>
      </c>
      <c r="M162" s="35" t="str">
        <f ca="1">IF(D162="","", VLOOKUP(A162,INDIRECT("'[" &amp;Info!$B$4&amp;"]"&amp;Info!$B$5&amp;"'!$A$6:$F$1000"),6,0))</f>
        <v/>
      </c>
      <c r="N162" s="33" t="str">
        <f ca="1">IF(C162="","", VLOOKUP(A162,INDIRECT("'[" &amp;Info!$B$4&amp;"]"&amp;Info!$B$5&amp;"'!$A$6:$Au$1000"),47,0))</f>
        <v/>
      </c>
      <c r="O162" s="28" t="str">
        <f ca="1">IF(N162="","",IF(N162=0,0,VLOOKUP(A162,INDIRECT("'[" &amp;Info!$B$4&amp;"]"&amp;Info!$B$5&amp;"'!$A$6:$AH$1000"),34,0)))</f>
        <v/>
      </c>
      <c r="P162" s="9" t="str">
        <f ca="1">IF(N162="","",IF(N162=0,0,VLOOKUP(A162,INDIRECT("'[" &amp;Info!$B$4&amp;"]"&amp;Info!$B$5&amp;"'!$A$6:$AW$1000"),49,0)))</f>
        <v/>
      </c>
      <c r="Q162" s="9" t="str">
        <f ca="1">IF(N162="","",IF(N162=0,0, VLOOKUP(A162,INDIRECT("'[" &amp;Info!$B$4&amp;"]"&amp;Info!$B$5&amp;"'!$A$6:$AX$1000"),50,0)))</f>
        <v/>
      </c>
      <c r="R162" s="29" t="str">
        <f ca="1">IF(N162="","",IF(N162=0,0, VLOOKUP(A162,INDIRECT("'[" &amp;Info!$B$4&amp;"]"&amp;Info!$B$5&amp;"'!$A$6:$AY$1000"),51,0)))</f>
        <v/>
      </c>
      <c r="S162" s="15" t="str">
        <f ca="1">IF(N162="","",IF(N162=0,0,VLOOKUP(A162,INDIRECT("'[" &amp;Info!$B$4&amp;"]"&amp;Info!$B$5&amp;"'!$A$6:$Ai$1000"),35,0)))</f>
        <v/>
      </c>
      <c r="T162" s="7" t="str">
        <f ca="1">IF(N162="","",IF(N162=0,0, VLOOKUP(A162,INDIRECT("'[" &amp;Info!$B$4&amp;"]"&amp;Info!$B$5&amp;"'!$A$6:$Az$1000"),52,0)))</f>
        <v/>
      </c>
      <c r="U162" s="7" t="str">
        <f ca="1">IF(N162="","",IF(N162=0,0, VLOOKUP(A162,INDIRECT("'[" &amp;Info!$B$4&amp;"]"&amp;Info!$B$5&amp;"'!$A$6:$BA$1000"),53,0)))</f>
        <v/>
      </c>
      <c r="V162" s="16" t="str">
        <f ca="1">IF(N162="","",IF(N162=0,0, VLOOKUP(A162,INDIRECT("'[" &amp;Info!$B$4&amp;"]"&amp;Info!$B$5&amp;"'!$A$6:$BB$1000"),54,0)))</f>
        <v/>
      </c>
      <c r="W162" s="17" t="str">
        <f t="shared" ca="1" si="9"/>
        <v/>
      </c>
      <c r="X162" s="18" t="str">
        <f t="shared" ca="1" si="10"/>
        <v/>
      </c>
      <c r="Y162" s="19" t="str">
        <f t="shared" ca="1" si="11"/>
        <v/>
      </c>
      <c r="Z162" s="18" t="str">
        <f t="shared" ca="1" si="12"/>
        <v/>
      </c>
    </row>
    <row r="163" spans="1:26" x14ac:dyDescent="0.25">
      <c r="A163" s="8" t="str">
        <f ca="1">IFERROR( VLOOKUP(A162+1,INDIRECT("'[" &amp;Info!$B$4&amp;"]"&amp;Info!$B$5&amp;"'!$A$6:$A$1000"),1,0),"")</f>
        <v/>
      </c>
      <c r="B163" s="5" t="str">
        <f ca="1">IFERROR( IF(A163="","", VLOOKUP(A163,INDIRECT("'[" &amp;Info!$B$4&amp;"]"&amp;Info!$B$5&amp;"'!$A$6:$B$1000"),2,0)),"")</f>
        <v/>
      </c>
      <c r="C163" s="14" t="str">
        <f ca="1">IFERROR( IF(A163="","", VLOOKUP(A163,INDIRECT("'[" &amp;Info!$B$4&amp;"]"&amp;Info!$B$5&amp;"'!$A$6:$D$1000"),3,0)),"")</f>
        <v/>
      </c>
      <c r="D163" s="31" t="str">
        <f ca="1">IF(C163="","", VLOOKUP(A163,INDIRECT("'[" &amp;Info!$B$4&amp;"]"&amp;Info!$B$5&amp;"'!$A$6:$T$1000"),20,0))</f>
        <v/>
      </c>
      <c r="E163" s="6" t="str">
        <f ca="1">IF(D163="","", VLOOKUP(A163,INDIRECT("'[" &amp;Info!$B$4&amp;"]"&amp;Info!$B$5&amp;"'!$A$6:$U$1000"),21,0))</f>
        <v/>
      </c>
      <c r="F163" s="6" t="str">
        <f ca="1">IF(D163="","", VLOOKUP(A163,INDIRECT("'[" &amp;Info!$B$4&amp;"]"&amp;Info!$B$5&amp;"'!$A$6:$U$1000"),21,0))</f>
        <v/>
      </c>
      <c r="G163" s="6" t="str">
        <f ca="1">IF(D163="","", VLOOKUP(A163,INDIRECT("'[" &amp;Info!$B$4&amp;"]"&amp;Info!$B$5&amp;"'!$A$6:$V$1000"),22,0))</f>
        <v/>
      </c>
      <c r="H163" s="6" t="str">
        <f ca="1">IF(D163="","", VLOOKUP(A163,INDIRECT("'[" &amp;Info!$B$4&amp;"]"&amp;Info!$B$5&amp;"'!$A$6:$W$1000"),23,0))</f>
        <v/>
      </c>
      <c r="I163" s="6" t="str">
        <f ca="1">LOWER( IF(D163="","", VLOOKUP(A163,INDIRECT("'[" &amp;Info!$B$4&amp;"]"&amp;Info!$B$5&amp;"'!$A$6:$y$1000"),25,0)))</f>
        <v/>
      </c>
      <c r="J163" s="6" t="str">
        <f ca="1">IF(D163="","", VLOOKUP(A163,INDIRECT("'[" &amp;Info!$B$4&amp;"]"&amp;Info!$B$5&amp;"'!$A$6:$Z$1000"),26,0))</f>
        <v/>
      </c>
      <c r="K163" s="35" t="str">
        <f ca="1">IF(D163="","", VLOOKUP(A163,INDIRECT("'[" &amp;Info!$B$4&amp;"]"&amp;Info!$B$5&amp;"'!$A$6:$AA$1000"),27,0))</f>
        <v/>
      </c>
      <c r="L163" s="35" t="str">
        <f ca="1">IF(D163="","", VLOOKUP(A163,INDIRECT("'[" &amp;Info!$B$4&amp;"]"&amp;Info!$B$5&amp;"'!$A$6:$H$1000"),8,0))</f>
        <v/>
      </c>
      <c r="M163" s="35" t="str">
        <f ca="1">IF(D163="","", VLOOKUP(A163,INDIRECT("'[" &amp;Info!$B$4&amp;"]"&amp;Info!$B$5&amp;"'!$A$6:$F$1000"),6,0))</f>
        <v/>
      </c>
      <c r="N163" s="33" t="str">
        <f ca="1">IF(C163="","", VLOOKUP(A163,INDIRECT("'[" &amp;Info!$B$4&amp;"]"&amp;Info!$B$5&amp;"'!$A$6:$Au$1000"),47,0))</f>
        <v/>
      </c>
      <c r="O163" s="28" t="str">
        <f ca="1">IF(N163="","",IF(N163=0,0,VLOOKUP(A163,INDIRECT("'[" &amp;Info!$B$4&amp;"]"&amp;Info!$B$5&amp;"'!$A$6:$AH$1000"),34,0)))</f>
        <v/>
      </c>
      <c r="P163" s="9" t="str">
        <f ca="1">IF(N163="","",IF(N163=0,0,VLOOKUP(A163,INDIRECT("'[" &amp;Info!$B$4&amp;"]"&amp;Info!$B$5&amp;"'!$A$6:$AW$1000"),49,0)))</f>
        <v/>
      </c>
      <c r="Q163" s="9" t="str">
        <f ca="1">IF(N163="","",IF(N163=0,0, VLOOKUP(A163,INDIRECT("'[" &amp;Info!$B$4&amp;"]"&amp;Info!$B$5&amp;"'!$A$6:$AX$1000"),50,0)))</f>
        <v/>
      </c>
      <c r="R163" s="29" t="str">
        <f ca="1">IF(N163="","",IF(N163=0,0, VLOOKUP(A163,INDIRECT("'[" &amp;Info!$B$4&amp;"]"&amp;Info!$B$5&amp;"'!$A$6:$AY$1000"),51,0)))</f>
        <v/>
      </c>
      <c r="S163" s="15" t="str">
        <f ca="1">IF(N163="","",IF(N163=0,0,VLOOKUP(A163,INDIRECT("'[" &amp;Info!$B$4&amp;"]"&amp;Info!$B$5&amp;"'!$A$6:$Ai$1000"),35,0)))</f>
        <v/>
      </c>
      <c r="T163" s="7" t="str">
        <f ca="1">IF(N163="","",IF(N163=0,0, VLOOKUP(A163,INDIRECT("'[" &amp;Info!$B$4&amp;"]"&amp;Info!$B$5&amp;"'!$A$6:$Az$1000"),52,0)))</f>
        <v/>
      </c>
      <c r="U163" s="7" t="str">
        <f ca="1">IF(N163="","",IF(N163=0,0, VLOOKUP(A163,INDIRECT("'[" &amp;Info!$B$4&amp;"]"&amp;Info!$B$5&amp;"'!$A$6:$BA$1000"),53,0)))</f>
        <v/>
      </c>
      <c r="V163" s="16" t="str">
        <f ca="1">IF(N163="","",IF(N163=0,0, VLOOKUP(A163,INDIRECT("'[" &amp;Info!$B$4&amp;"]"&amp;Info!$B$5&amp;"'!$A$6:$BB$1000"),54,0)))</f>
        <v/>
      </c>
      <c r="W163" s="17" t="str">
        <f t="shared" ca="1" si="9"/>
        <v/>
      </c>
      <c r="X163" s="18" t="str">
        <f t="shared" ca="1" si="10"/>
        <v/>
      </c>
      <c r="Y163" s="19" t="str">
        <f t="shared" ca="1" si="11"/>
        <v/>
      </c>
      <c r="Z163" s="18" t="str">
        <f t="shared" ca="1" si="12"/>
        <v/>
      </c>
    </row>
    <row r="164" spans="1:26" x14ac:dyDescent="0.25">
      <c r="A164" s="8" t="str">
        <f ca="1">IFERROR( VLOOKUP(A163+1,INDIRECT("'[" &amp;Info!$B$4&amp;"]"&amp;Info!$B$5&amp;"'!$A$6:$A$1000"),1,0),"")</f>
        <v/>
      </c>
      <c r="B164" s="5" t="str">
        <f ca="1">IFERROR( IF(A164="","", VLOOKUP(A164,INDIRECT("'[" &amp;Info!$B$4&amp;"]"&amp;Info!$B$5&amp;"'!$A$6:$B$1000"),2,0)),"")</f>
        <v/>
      </c>
      <c r="C164" s="14" t="str">
        <f ca="1">IFERROR( IF(A164="","", VLOOKUP(A164,INDIRECT("'[" &amp;Info!$B$4&amp;"]"&amp;Info!$B$5&amp;"'!$A$6:$D$1000"),3,0)),"")</f>
        <v/>
      </c>
      <c r="D164" s="31" t="str">
        <f ca="1">IF(C164="","", VLOOKUP(A164,INDIRECT("'[" &amp;Info!$B$4&amp;"]"&amp;Info!$B$5&amp;"'!$A$6:$T$1000"),20,0))</f>
        <v/>
      </c>
      <c r="E164" s="6" t="str">
        <f ca="1">IF(D164="","", VLOOKUP(A164,INDIRECT("'[" &amp;Info!$B$4&amp;"]"&amp;Info!$B$5&amp;"'!$A$6:$U$1000"),21,0))</f>
        <v/>
      </c>
      <c r="F164" s="6" t="str">
        <f ca="1">IF(D164="","", VLOOKUP(A164,INDIRECT("'[" &amp;Info!$B$4&amp;"]"&amp;Info!$B$5&amp;"'!$A$6:$U$1000"),21,0))</f>
        <v/>
      </c>
      <c r="G164" s="6" t="str">
        <f ca="1">IF(D164="","", VLOOKUP(A164,INDIRECT("'[" &amp;Info!$B$4&amp;"]"&amp;Info!$B$5&amp;"'!$A$6:$V$1000"),22,0))</f>
        <v/>
      </c>
      <c r="H164" s="6" t="str">
        <f ca="1">IF(D164="","", VLOOKUP(A164,INDIRECT("'[" &amp;Info!$B$4&amp;"]"&amp;Info!$B$5&amp;"'!$A$6:$W$1000"),23,0))</f>
        <v/>
      </c>
      <c r="I164" s="6" t="str">
        <f ca="1">LOWER( IF(D164="","", VLOOKUP(A164,INDIRECT("'[" &amp;Info!$B$4&amp;"]"&amp;Info!$B$5&amp;"'!$A$6:$y$1000"),25,0)))</f>
        <v/>
      </c>
      <c r="J164" s="6" t="str">
        <f ca="1">IF(D164="","", VLOOKUP(A164,INDIRECT("'[" &amp;Info!$B$4&amp;"]"&amp;Info!$B$5&amp;"'!$A$6:$Z$1000"),26,0))</f>
        <v/>
      </c>
      <c r="K164" s="35" t="str">
        <f ca="1">IF(D164="","", VLOOKUP(A164,INDIRECT("'[" &amp;Info!$B$4&amp;"]"&amp;Info!$B$5&amp;"'!$A$6:$AA$1000"),27,0))</f>
        <v/>
      </c>
      <c r="L164" s="35" t="str">
        <f ca="1">IF(D164="","", VLOOKUP(A164,INDIRECT("'[" &amp;Info!$B$4&amp;"]"&amp;Info!$B$5&amp;"'!$A$6:$H$1000"),8,0))</f>
        <v/>
      </c>
      <c r="M164" s="35" t="str">
        <f ca="1">IF(D164="","", VLOOKUP(A164,INDIRECT("'[" &amp;Info!$B$4&amp;"]"&amp;Info!$B$5&amp;"'!$A$6:$F$1000"),6,0))</f>
        <v/>
      </c>
      <c r="N164" s="33" t="str">
        <f ca="1">IF(C164="","", VLOOKUP(A164,INDIRECT("'[" &amp;Info!$B$4&amp;"]"&amp;Info!$B$5&amp;"'!$A$6:$Au$1000"),47,0))</f>
        <v/>
      </c>
      <c r="O164" s="28" t="str">
        <f ca="1">IF(N164="","",IF(N164=0,0,VLOOKUP(A164,INDIRECT("'[" &amp;Info!$B$4&amp;"]"&amp;Info!$B$5&amp;"'!$A$6:$AH$1000"),34,0)))</f>
        <v/>
      </c>
      <c r="P164" s="9" t="str">
        <f ca="1">IF(N164="","",IF(N164=0,0,VLOOKUP(A164,INDIRECT("'[" &amp;Info!$B$4&amp;"]"&amp;Info!$B$5&amp;"'!$A$6:$AW$1000"),49,0)))</f>
        <v/>
      </c>
      <c r="Q164" s="9" t="str">
        <f ca="1">IF(N164="","",IF(N164=0,0, VLOOKUP(A164,INDIRECT("'[" &amp;Info!$B$4&amp;"]"&amp;Info!$B$5&amp;"'!$A$6:$AX$1000"),50,0)))</f>
        <v/>
      </c>
      <c r="R164" s="29" t="str">
        <f ca="1">IF(N164="","",IF(N164=0,0, VLOOKUP(A164,INDIRECT("'[" &amp;Info!$B$4&amp;"]"&amp;Info!$B$5&amp;"'!$A$6:$AY$1000"),51,0)))</f>
        <v/>
      </c>
      <c r="S164" s="15" t="str">
        <f ca="1">IF(N164="","",IF(N164=0,0,VLOOKUP(A164,INDIRECT("'[" &amp;Info!$B$4&amp;"]"&amp;Info!$B$5&amp;"'!$A$6:$Ai$1000"),35,0)))</f>
        <v/>
      </c>
      <c r="T164" s="7" t="str">
        <f ca="1">IF(N164="","",IF(N164=0,0, VLOOKUP(A164,INDIRECT("'[" &amp;Info!$B$4&amp;"]"&amp;Info!$B$5&amp;"'!$A$6:$Az$1000"),52,0)))</f>
        <v/>
      </c>
      <c r="U164" s="7" t="str">
        <f ca="1">IF(N164="","",IF(N164=0,0, VLOOKUP(A164,INDIRECT("'[" &amp;Info!$B$4&amp;"]"&amp;Info!$B$5&amp;"'!$A$6:$BA$1000"),53,0)))</f>
        <v/>
      </c>
      <c r="V164" s="16" t="str">
        <f ca="1">IF(N164="","",IF(N164=0,0, VLOOKUP(A164,INDIRECT("'[" &amp;Info!$B$4&amp;"]"&amp;Info!$B$5&amp;"'!$A$6:$BB$1000"),54,0)))</f>
        <v/>
      </c>
      <c r="W164" s="17" t="str">
        <f t="shared" ca="1" si="9"/>
        <v/>
      </c>
      <c r="X164" s="18" t="str">
        <f t="shared" ca="1" si="10"/>
        <v/>
      </c>
      <c r="Y164" s="19" t="str">
        <f t="shared" ca="1" si="11"/>
        <v/>
      </c>
      <c r="Z164" s="18" t="str">
        <f t="shared" ca="1" si="12"/>
        <v/>
      </c>
    </row>
    <row r="165" spans="1:26" x14ac:dyDescent="0.25">
      <c r="A165" s="8" t="str">
        <f ca="1">IFERROR( VLOOKUP(A164+1,INDIRECT("'[" &amp;Info!$B$4&amp;"]"&amp;Info!$B$5&amp;"'!$A$6:$A$1000"),1,0),"")</f>
        <v/>
      </c>
      <c r="B165" s="5" t="str">
        <f ca="1">IFERROR( IF(A165="","", VLOOKUP(A165,INDIRECT("'[" &amp;Info!$B$4&amp;"]"&amp;Info!$B$5&amp;"'!$A$6:$B$1000"),2,0)),"")</f>
        <v/>
      </c>
      <c r="C165" s="14" t="str">
        <f ca="1">IFERROR( IF(A165="","", VLOOKUP(A165,INDIRECT("'[" &amp;Info!$B$4&amp;"]"&amp;Info!$B$5&amp;"'!$A$6:$D$1000"),3,0)),"")</f>
        <v/>
      </c>
      <c r="D165" s="31" t="str">
        <f ca="1">IF(C165="","", VLOOKUP(A165,INDIRECT("'[" &amp;Info!$B$4&amp;"]"&amp;Info!$B$5&amp;"'!$A$6:$T$1000"),20,0))</f>
        <v/>
      </c>
      <c r="E165" s="6" t="str">
        <f ca="1">IF(D165="","", VLOOKUP(A165,INDIRECT("'[" &amp;Info!$B$4&amp;"]"&amp;Info!$B$5&amp;"'!$A$6:$U$1000"),21,0))</f>
        <v/>
      </c>
      <c r="F165" s="6" t="str">
        <f ca="1">IF(D165="","", VLOOKUP(A165,INDIRECT("'[" &amp;Info!$B$4&amp;"]"&amp;Info!$B$5&amp;"'!$A$6:$U$1000"),21,0))</f>
        <v/>
      </c>
      <c r="G165" s="6" t="str">
        <f ca="1">IF(D165="","", VLOOKUP(A165,INDIRECT("'[" &amp;Info!$B$4&amp;"]"&amp;Info!$B$5&amp;"'!$A$6:$V$1000"),22,0))</f>
        <v/>
      </c>
      <c r="H165" s="6" t="str">
        <f ca="1">IF(D165="","", VLOOKUP(A165,INDIRECT("'[" &amp;Info!$B$4&amp;"]"&amp;Info!$B$5&amp;"'!$A$6:$W$1000"),23,0))</f>
        <v/>
      </c>
      <c r="I165" s="6" t="str">
        <f ca="1">LOWER( IF(D165="","", VLOOKUP(A165,INDIRECT("'[" &amp;Info!$B$4&amp;"]"&amp;Info!$B$5&amp;"'!$A$6:$y$1000"),25,0)))</f>
        <v/>
      </c>
      <c r="J165" s="6" t="str">
        <f ca="1">IF(D165="","", VLOOKUP(A165,INDIRECT("'[" &amp;Info!$B$4&amp;"]"&amp;Info!$B$5&amp;"'!$A$6:$Z$1000"),26,0))</f>
        <v/>
      </c>
      <c r="K165" s="35" t="str">
        <f ca="1">IF(D165="","", VLOOKUP(A165,INDIRECT("'[" &amp;Info!$B$4&amp;"]"&amp;Info!$B$5&amp;"'!$A$6:$AA$1000"),27,0))</f>
        <v/>
      </c>
      <c r="L165" s="35" t="str">
        <f ca="1">IF(D165="","", VLOOKUP(A165,INDIRECT("'[" &amp;Info!$B$4&amp;"]"&amp;Info!$B$5&amp;"'!$A$6:$H$1000"),8,0))</f>
        <v/>
      </c>
      <c r="M165" s="35" t="str">
        <f ca="1">IF(D165="","", VLOOKUP(A165,INDIRECT("'[" &amp;Info!$B$4&amp;"]"&amp;Info!$B$5&amp;"'!$A$6:$F$1000"),6,0))</f>
        <v/>
      </c>
      <c r="N165" s="33" t="str">
        <f ca="1">IF(C165="","", VLOOKUP(A165,INDIRECT("'[" &amp;Info!$B$4&amp;"]"&amp;Info!$B$5&amp;"'!$A$6:$Au$1000"),47,0))</f>
        <v/>
      </c>
      <c r="O165" s="28" t="str">
        <f ca="1">IF(N165="","",IF(N165=0,0,VLOOKUP(A165,INDIRECT("'[" &amp;Info!$B$4&amp;"]"&amp;Info!$B$5&amp;"'!$A$6:$AH$1000"),34,0)))</f>
        <v/>
      </c>
      <c r="P165" s="9" t="str">
        <f ca="1">IF(N165="","",IF(N165=0,0,VLOOKUP(A165,INDIRECT("'[" &amp;Info!$B$4&amp;"]"&amp;Info!$B$5&amp;"'!$A$6:$AW$1000"),49,0)))</f>
        <v/>
      </c>
      <c r="Q165" s="9" t="str">
        <f ca="1">IF(N165="","",IF(N165=0,0, VLOOKUP(A165,INDIRECT("'[" &amp;Info!$B$4&amp;"]"&amp;Info!$B$5&amp;"'!$A$6:$AX$1000"),50,0)))</f>
        <v/>
      </c>
      <c r="R165" s="29" t="str">
        <f ca="1">IF(N165="","",IF(N165=0,0, VLOOKUP(A165,INDIRECT("'[" &amp;Info!$B$4&amp;"]"&amp;Info!$B$5&amp;"'!$A$6:$AY$1000"),51,0)))</f>
        <v/>
      </c>
      <c r="S165" s="15" t="str">
        <f ca="1">IF(N165="","",IF(N165=0,0,VLOOKUP(A165,INDIRECT("'[" &amp;Info!$B$4&amp;"]"&amp;Info!$B$5&amp;"'!$A$6:$Ai$1000"),35,0)))</f>
        <v/>
      </c>
      <c r="T165" s="7" t="str">
        <f ca="1">IF(N165="","",IF(N165=0,0, VLOOKUP(A165,INDIRECT("'[" &amp;Info!$B$4&amp;"]"&amp;Info!$B$5&amp;"'!$A$6:$Az$1000"),52,0)))</f>
        <v/>
      </c>
      <c r="U165" s="7" t="str">
        <f ca="1">IF(N165="","",IF(N165=0,0, VLOOKUP(A165,INDIRECT("'[" &amp;Info!$B$4&amp;"]"&amp;Info!$B$5&amp;"'!$A$6:$BA$1000"),53,0)))</f>
        <v/>
      </c>
      <c r="V165" s="16" t="str">
        <f ca="1">IF(N165="","",IF(N165=0,0, VLOOKUP(A165,INDIRECT("'[" &amp;Info!$B$4&amp;"]"&amp;Info!$B$5&amp;"'!$A$6:$BB$1000"),54,0)))</f>
        <v/>
      </c>
      <c r="W165" s="17" t="str">
        <f t="shared" ca="1" si="9"/>
        <v/>
      </c>
      <c r="X165" s="18" t="str">
        <f t="shared" ca="1" si="10"/>
        <v/>
      </c>
      <c r="Y165" s="19" t="str">
        <f t="shared" ca="1" si="11"/>
        <v/>
      </c>
      <c r="Z165" s="18" t="str">
        <f t="shared" ca="1" si="12"/>
        <v/>
      </c>
    </row>
    <row r="166" spans="1:26" x14ac:dyDescent="0.25">
      <c r="A166" s="8" t="str">
        <f ca="1">IFERROR( VLOOKUP(A165+1,INDIRECT("'[" &amp;Info!$B$4&amp;"]"&amp;Info!$B$5&amp;"'!$A$6:$A$1000"),1,0),"")</f>
        <v/>
      </c>
      <c r="B166" s="5" t="str">
        <f ca="1">IFERROR( IF(A166="","", VLOOKUP(A166,INDIRECT("'[" &amp;Info!$B$4&amp;"]"&amp;Info!$B$5&amp;"'!$A$6:$B$1000"),2,0)),"")</f>
        <v/>
      </c>
      <c r="C166" s="14" t="str">
        <f ca="1">IFERROR( IF(A166="","", VLOOKUP(A166,INDIRECT("'[" &amp;Info!$B$4&amp;"]"&amp;Info!$B$5&amp;"'!$A$6:$D$1000"),3,0)),"")</f>
        <v/>
      </c>
      <c r="D166" s="31" t="str">
        <f ca="1">IF(C166="","", VLOOKUP(A166,INDIRECT("'[" &amp;Info!$B$4&amp;"]"&amp;Info!$B$5&amp;"'!$A$6:$T$1000"),20,0))</f>
        <v/>
      </c>
      <c r="E166" s="6" t="str">
        <f ca="1">IF(D166="","", VLOOKUP(A166,INDIRECT("'[" &amp;Info!$B$4&amp;"]"&amp;Info!$B$5&amp;"'!$A$6:$U$1000"),21,0))</f>
        <v/>
      </c>
      <c r="F166" s="6" t="str">
        <f ca="1">IF(D166="","", VLOOKUP(A166,INDIRECT("'[" &amp;Info!$B$4&amp;"]"&amp;Info!$B$5&amp;"'!$A$6:$U$1000"),21,0))</f>
        <v/>
      </c>
      <c r="G166" s="6" t="str">
        <f ca="1">IF(D166="","", VLOOKUP(A166,INDIRECT("'[" &amp;Info!$B$4&amp;"]"&amp;Info!$B$5&amp;"'!$A$6:$V$1000"),22,0))</f>
        <v/>
      </c>
      <c r="H166" s="6" t="str">
        <f ca="1">IF(D166="","", VLOOKUP(A166,INDIRECT("'[" &amp;Info!$B$4&amp;"]"&amp;Info!$B$5&amp;"'!$A$6:$W$1000"),23,0))</f>
        <v/>
      </c>
      <c r="I166" s="6" t="str">
        <f ca="1">LOWER( IF(D166="","", VLOOKUP(A166,INDIRECT("'[" &amp;Info!$B$4&amp;"]"&amp;Info!$B$5&amp;"'!$A$6:$y$1000"),25,0)))</f>
        <v/>
      </c>
      <c r="J166" s="6" t="str">
        <f ca="1">IF(D166="","", VLOOKUP(A166,INDIRECT("'[" &amp;Info!$B$4&amp;"]"&amp;Info!$B$5&amp;"'!$A$6:$Z$1000"),26,0))</f>
        <v/>
      </c>
      <c r="K166" s="35" t="str">
        <f ca="1">IF(D166="","", VLOOKUP(A166,INDIRECT("'[" &amp;Info!$B$4&amp;"]"&amp;Info!$B$5&amp;"'!$A$6:$AA$1000"),27,0))</f>
        <v/>
      </c>
      <c r="L166" s="35" t="str">
        <f ca="1">IF(D166="","", VLOOKUP(A166,INDIRECT("'[" &amp;Info!$B$4&amp;"]"&amp;Info!$B$5&amp;"'!$A$6:$H$1000"),8,0))</f>
        <v/>
      </c>
      <c r="M166" s="35" t="str">
        <f ca="1">IF(D166="","", VLOOKUP(A166,INDIRECT("'[" &amp;Info!$B$4&amp;"]"&amp;Info!$B$5&amp;"'!$A$6:$F$1000"),6,0))</f>
        <v/>
      </c>
      <c r="N166" s="33" t="str">
        <f ca="1">IF(C166="","", VLOOKUP(A166,INDIRECT("'[" &amp;Info!$B$4&amp;"]"&amp;Info!$B$5&amp;"'!$A$6:$Au$1000"),47,0))</f>
        <v/>
      </c>
      <c r="O166" s="28" t="str">
        <f ca="1">IF(N166="","",IF(N166=0,0,VLOOKUP(A166,INDIRECT("'[" &amp;Info!$B$4&amp;"]"&amp;Info!$B$5&amp;"'!$A$6:$AH$1000"),34,0)))</f>
        <v/>
      </c>
      <c r="P166" s="9" t="str">
        <f ca="1">IF(N166="","",IF(N166=0,0,VLOOKUP(A166,INDIRECT("'[" &amp;Info!$B$4&amp;"]"&amp;Info!$B$5&amp;"'!$A$6:$AW$1000"),49,0)))</f>
        <v/>
      </c>
      <c r="Q166" s="9" t="str">
        <f ca="1">IF(N166="","",IF(N166=0,0, VLOOKUP(A166,INDIRECT("'[" &amp;Info!$B$4&amp;"]"&amp;Info!$B$5&amp;"'!$A$6:$AX$1000"),50,0)))</f>
        <v/>
      </c>
      <c r="R166" s="29" t="str">
        <f ca="1">IF(N166="","",IF(N166=0,0, VLOOKUP(A166,INDIRECT("'[" &amp;Info!$B$4&amp;"]"&amp;Info!$B$5&amp;"'!$A$6:$AY$1000"),51,0)))</f>
        <v/>
      </c>
      <c r="S166" s="15" t="str">
        <f ca="1">IF(N166="","",IF(N166=0,0,VLOOKUP(A166,INDIRECT("'[" &amp;Info!$B$4&amp;"]"&amp;Info!$B$5&amp;"'!$A$6:$Ai$1000"),35,0)))</f>
        <v/>
      </c>
      <c r="T166" s="7" t="str">
        <f ca="1">IF(N166="","",IF(N166=0,0, VLOOKUP(A166,INDIRECT("'[" &amp;Info!$B$4&amp;"]"&amp;Info!$B$5&amp;"'!$A$6:$Az$1000"),52,0)))</f>
        <v/>
      </c>
      <c r="U166" s="7" t="str">
        <f ca="1">IF(N166="","",IF(N166=0,0, VLOOKUP(A166,INDIRECT("'[" &amp;Info!$B$4&amp;"]"&amp;Info!$B$5&amp;"'!$A$6:$BA$1000"),53,0)))</f>
        <v/>
      </c>
      <c r="V166" s="16" t="str">
        <f ca="1">IF(N166="","",IF(N166=0,0, VLOOKUP(A166,INDIRECT("'[" &amp;Info!$B$4&amp;"]"&amp;Info!$B$5&amp;"'!$A$6:$BB$1000"),54,0)))</f>
        <v/>
      </c>
      <c r="W166" s="17" t="str">
        <f t="shared" ca="1" si="9"/>
        <v/>
      </c>
      <c r="X166" s="18" t="str">
        <f t="shared" ca="1" si="10"/>
        <v/>
      </c>
      <c r="Y166" s="19" t="str">
        <f t="shared" ca="1" si="11"/>
        <v/>
      </c>
      <c r="Z166" s="18" t="str">
        <f t="shared" ca="1" si="12"/>
        <v/>
      </c>
    </row>
    <row r="167" spans="1:26" x14ac:dyDescent="0.25">
      <c r="A167" s="8" t="str">
        <f ca="1">IFERROR( VLOOKUP(A166+1,INDIRECT("'[" &amp;Info!$B$4&amp;"]"&amp;Info!$B$5&amp;"'!$A$6:$A$1000"),1,0),"")</f>
        <v/>
      </c>
      <c r="B167" s="5" t="str">
        <f ca="1">IFERROR( IF(A167="","", VLOOKUP(A167,INDIRECT("'[" &amp;Info!$B$4&amp;"]"&amp;Info!$B$5&amp;"'!$A$6:$B$1000"),2,0)),"")</f>
        <v/>
      </c>
      <c r="C167" s="14" t="str">
        <f ca="1">IFERROR( IF(A167="","", VLOOKUP(A167,INDIRECT("'[" &amp;Info!$B$4&amp;"]"&amp;Info!$B$5&amp;"'!$A$6:$D$1000"),3,0)),"")</f>
        <v/>
      </c>
      <c r="D167" s="31" t="str">
        <f ca="1">IF(C167="","", VLOOKUP(A167,INDIRECT("'[" &amp;Info!$B$4&amp;"]"&amp;Info!$B$5&amp;"'!$A$6:$T$1000"),20,0))</f>
        <v/>
      </c>
      <c r="E167" s="6" t="str">
        <f ca="1">IF(D167="","", VLOOKUP(A167,INDIRECT("'[" &amp;Info!$B$4&amp;"]"&amp;Info!$B$5&amp;"'!$A$6:$U$1000"),21,0))</f>
        <v/>
      </c>
      <c r="F167" s="6" t="str">
        <f ca="1">IF(D167="","", VLOOKUP(A167,INDIRECT("'[" &amp;Info!$B$4&amp;"]"&amp;Info!$B$5&amp;"'!$A$6:$U$1000"),21,0))</f>
        <v/>
      </c>
      <c r="G167" s="6" t="str">
        <f ca="1">IF(D167="","", VLOOKUP(A167,INDIRECT("'[" &amp;Info!$B$4&amp;"]"&amp;Info!$B$5&amp;"'!$A$6:$V$1000"),22,0))</f>
        <v/>
      </c>
      <c r="H167" s="6" t="str">
        <f ca="1">IF(D167="","", VLOOKUP(A167,INDIRECT("'[" &amp;Info!$B$4&amp;"]"&amp;Info!$B$5&amp;"'!$A$6:$W$1000"),23,0))</f>
        <v/>
      </c>
      <c r="I167" s="6" t="str">
        <f ca="1">LOWER( IF(D167="","", VLOOKUP(A167,INDIRECT("'[" &amp;Info!$B$4&amp;"]"&amp;Info!$B$5&amp;"'!$A$6:$y$1000"),25,0)))</f>
        <v/>
      </c>
      <c r="J167" s="6" t="str">
        <f ca="1">IF(D167="","", VLOOKUP(A167,INDIRECT("'[" &amp;Info!$B$4&amp;"]"&amp;Info!$B$5&amp;"'!$A$6:$Z$1000"),26,0))</f>
        <v/>
      </c>
      <c r="K167" s="35" t="str">
        <f ca="1">IF(D167="","", VLOOKUP(A167,INDIRECT("'[" &amp;Info!$B$4&amp;"]"&amp;Info!$B$5&amp;"'!$A$6:$AA$1000"),27,0))</f>
        <v/>
      </c>
      <c r="L167" s="35" t="str">
        <f ca="1">IF(D167="","", VLOOKUP(A167,INDIRECT("'[" &amp;Info!$B$4&amp;"]"&amp;Info!$B$5&amp;"'!$A$6:$H$1000"),8,0))</f>
        <v/>
      </c>
      <c r="M167" s="35" t="str">
        <f ca="1">IF(D167="","", VLOOKUP(A167,INDIRECT("'[" &amp;Info!$B$4&amp;"]"&amp;Info!$B$5&amp;"'!$A$6:$F$1000"),6,0))</f>
        <v/>
      </c>
      <c r="N167" s="33" t="str">
        <f ca="1">IF(C167="","", VLOOKUP(A167,INDIRECT("'[" &amp;Info!$B$4&amp;"]"&amp;Info!$B$5&amp;"'!$A$6:$Au$1000"),47,0))</f>
        <v/>
      </c>
      <c r="O167" s="28" t="str">
        <f ca="1">IF(N167="","",IF(N167=0,0,VLOOKUP(A167,INDIRECT("'[" &amp;Info!$B$4&amp;"]"&amp;Info!$B$5&amp;"'!$A$6:$AH$1000"),34,0)))</f>
        <v/>
      </c>
      <c r="P167" s="9" t="str">
        <f ca="1">IF(N167="","",IF(N167=0,0,VLOOKUP(A167,INDIRECT("'[" &amp;Info!$B$4&amp;"]"&amp;Info!$B$5&amp;"'!$A$6:$AW$1000"),49,0)))</f>
        <v/>
      </c>
      <c r="Q167" s="9" t="str">
        <f ca="1">IF(N167="","",IF(N167=0,0, VLOOKUP(A167,INDIRECT("'[" &amp;Info!$B$4&amp;"]"&amp;Info!$B$5&amp;"'!$A$6:$AX$1000"),50,0)))</f>
        <v/>
      </c>
      <c r="R167" s="29" t="str">
        <f ca="1">IF(N167="","",IF(N167=0,0, VLOOKUP(A167,INDIRECT("'[" &amp;Info!$B$4&amp;"]"&amp;Info!$B$5&amp;"'!$A$6:$AY$1000"),51,0)))</f>
        <v/>
      </c>
      <c r="S167" s="15" t="str">
        <f ca="1">IF(N167="","",IF(N167=0,0,VLOOKUP(A167,INDIRECT("'[" &amp;Info!$B$4&amp;"]"&amp;Info!$B$5&amp;"'!$A$6:$Ai$1000"),35,0)))</f>
        <v/>
      </c>
      <c r="T167" s="7" t="str">
        <f ca="1">IF(N167="","",IF(N167=0,0, VLOOKUP(A167,INDIRECT("'[" &amp;Info!$B$4&amp;"]"&amp;Info!$B$5&amp;"'!$A$6:$Az$1000"),52,0)))</f>
        <v/>
      </c>
      <c r="U167" s="7" t="str">
        <f ca="1">IF(N167="","",IF(N167=0,0, VLOOKUP(A167,INDIRECT("'[" &amp;Info!$B$4&amp;"]"&amp;Info!$B$5&amp;"'!$A$6:$BA$1000"),53,0)))</f>
        <v/>
      </c>
      <c r="V167" s="16" t="str">
        <f ca="1">IF(N167="","",IF(N167=0,0, VLOOKUP(A167,INDIRECT("'[" &amp;Info!$B$4&amp;"]"&amp;Info!$B$5&amp;"'!$A$6:$BB$1000"),54,0)))</f>
        <v/>
      </c>
      <c r="W167" s="17" t="str">
        <f t="shared" ca="1" si="9"/>
        <v/>
      </c>
      <c r="X167" s="18" t="str">
        <f t="shared" ca="1" si="10"/>
        <v/>
      </c>
      <c r="Y167" s="19" t="str">
        <f t="shared" ca="1" si="11"/>
        <v/>
      </c>
      <c r="Z167" s="18" t="str">
        <f t="shared" ca="1" si="12"/>
        <v/>
      </c>
    </row>
    <row r="168" spans="1:26" x14ac:dyDescent="0.25">
      <c r="A168" s="8" t="str">
        <f ca="1">IFERROR( VLOOKUP(A167+1,INDIRECT("'[" &amp;Info!$B$4&amp;"]"&amp;Info!$B$5&amp;"'!$A$6:$A$1000"),1,0),"")</f>
        <v/>
      </c>
      <c r="B168" s="5" t="str">
        <f ca="1">IFERROR( IF(A168="","", VLOOKUP(A168,INDIRECT("'[" &amp;Info!$B$4&amp;"]"&amp;Info!$B$5&amp;"'!$A$6:$B$1000"),2,0)),"")</f>
        <v/>
      </c>
      <c r="C168" s="14" t="str">
        <f ca="1">IFERROR( IF(A168="","", VLOOKUP(A168,INDIRECT("'[" &amp;Info!$B$4&amp;"]"&amp;Info!$B$5&amp;"'!$A$6:$D$1000"),3,0)),"")</f>
        <v/>
      </c>
      <c r="D168" s="31" t="str">
        <f ca="1">IF(C168="","", VLOOKUP(A168,INDIRECT("'[" &amp;Info!$B$4&amp;"]"&amp;Info!$B$5&amp;"'!$A$6:$T$1000"),20,0))</f>
        <v/>
      </c>
      <c r="E168" s="6" t="str">
        <f ca="1">IF(D168="","", VLOOKUP(A168,INDIRECT("'[" &amp;Info!$B$4&amp;"]"&amp;Info!$B$5&amp;"'!$A$6:$U$1000"),21,0))</f>
        <v/>
      </c>
      <c r="F168" s="6" t="str">
        <f ca="1">IF(D168="","", VLOOKUP(A168,INDIRECT("'[" &amp;Info!$B$4&amp;"]"&amp;Info!$B$5&amp;"'!$A$6:$U$1000"),21,0))</f>
        <v/>
      </c>
      <c r="G168" s="6" t="str">
        <f ca="1">IF(D168="","", VLOOKUP(A168,INDIRECT("'[" &amp;Info!$B$4&amp;"]"&amp;Info!$B$5&amp;"'!$A$6:$V$1000"),22,0))</f>
        <v/>
      </c>
      <c r="H168" s="6" t="str">
        <f ca="1">IF(D168="","", VLOOKUP(A168,INDIRECT("'[" &amp;Info!$B$4&amp;"]"&amp;Info!$B$5&amp;"'!$A$6:$W$1000"),23,0))</f>
        <v/>
      </c>
      <c r="I168" s="6" t="str">
        <f ca="1">LOWER( IF(D168="","", VLOOKUP(A168,INDIRECT("'[" &amp;Info!$B$4&amp;"]"&amp;Info!$B$5&amp;"'!$A$6:$y$1000"),25,0)))</f>
        <v/>
      </c>
      <c r="J168" s="6" t="str">
        <f ca="1">IF(D168="","", VLOOKUP(A168,INDIRECT("'[" &amp;Info!$B$4&amp;"]"&amp;Info!$B$5&amp;"'!$A$6:$Z$1000"),26,0))</f>
        <v/>
      </c>
      <c r="K168" s="35" t="str">
        <f ca="1">IF(D168="","", VLOOKUP(A168,INDIRECT("'[" &amp;Info!$B$4&amp;"]"&amp;Info!$B$5&amp;"'!$A$6:$AA$1000"),27,0))</f>
        <v/>
      </c>
      <c r="L168" s="35" t="str">
        <f ca="1">IF(D168="","", VLOOKUP(A168,INDIRECT("'[" &amp;Info!$B$4&amp;"]"&amp;Info!$B$5&amp;"'!$A$6:$H$1000"),8,0))</f>
        <v/>
      </c>
      <c r="M168" s="35" t="str">
        <f ca="1">IF(D168="","", VLOOKUP(A168,INDIRECT("'[" &amp;Info!$B$4&amp;"]"&amp;Info!$B$5&amp;"'!$A$6:$F$1000"),6,0))</f>
        <v/>
      </c>
      <c r="N168" s="33" t="str">
        <f ca="1">IF(C168="","", VLOOKUP(A168,INDIRECT("'[" &amp;Info!$B$4&amp;"]"&amp;Info!$B$5&amp;"'!$A$6:$Au$1000"),47,0))</f>
        <v/>
      </c>
      <c r="O168" s="28" t="str">
        <f ca="1">IF(N168="","",IF(N168=0,0,VLOOKUP(A168,INDIRECT("'[" &amp;Info!$B$4&amp;"]"&amp;Info!$B$5&amp;"'!$A$6:$AH$1000"),34,0)))</f>
        <v/>
      </c>
      <c r="P168" s="9" t="str">
        <f ca="1">IF(N168="","",IF(N168=0,0,VLOOKUP(A168,INDIRECT("'[" &amp;Info!$B$4&amp;"]"&amp;Info!$B$5&amp;"'!$A$6:$AW$1000"),49,0)))</f>
        <v/>
      </c>
      <c r="Q168" s="9" t="str">
        <f ca="1">IF(N168="","",IF(N168=0,0, VLOOKUP(A168,INDIRECT("'[" &amp;Info!$B$4&amp;"]"&amp;Info!$B$5&amp;"'!$A$6:$AX$1000"),50,0)))</f>
        <v/>
      </c>
      <c r="R168" s="29" t="str">
        <f ca="1">IF(N168="","",IF(N168=0,0, VLOOKUP(A168,INDIRECT("'[" &amp;Info!$B$4&amp;"]"&amp;Info!$B$5&amp;"'!$A$6:$AY$1000"),51,0)))</f>
        <v/>
      </c>
      <c r="S168" s="15" t="str">
        <f ca="1">IF(N168="","",IF(N168=0,0,VLOOKUP(A168,INDIRECT("'[" &amp;Info!$B$4&amp;"]"&amp;Info!$B$5&amp;"'!$A$6:$Ai$1000"),35,0)))</f>
        <v/>
      </c>
      <c r="T168" s="7" t="str">
        <f ca="1">IF(N168="","",IF(N168=0,0, VLOOKUP(A168,INDIRECT("'[" &amp;Info!$B$4&amp;"]"&amp;Info!$B$5&amp;"'!$A$6:$Az$1000"),52,0)))</f>
        <v/>
      </c>
      <c r="U168" s="7" t="str">
        <f ca="1">IF(N168="","",IF(N168=0,0, VLOOKUP(A168,INDIRECT("'[" &amp;Info!$B$4&amp;"]"&amp;Info!$B$5&amp;"'!$A$6:$BA$1000"),53,0)))</f>
        <v/>
      </c>
      <c r="V168" s="16" t="str">
        <f ca="1">IF(N168="","",IF(N168=0,0, VLOOKUP(A168,INDIRECT("'[" &amp;Info!$B$4&amp;"]"&amp;Info!$B$5&amp;"'!$A$6:$BB$1000"),54,0)))</f>
        <v/>
      </c>
      <c r="W168" s="17" t="str">
        <f t="shared" ca="1" si="9"/>
        <v/>
      </c>
      <c r="X168" s="18" t="str">
        <f t="shared" ca="1" si="10"/>
        <v/>
      </c>
      <c r="Y168" s="19" t="str">
        <f t="shared" ca="1" si="11"/>
        <v/>
      </c>
      <c r="Z168" s="18" t="str">
        <f t="shared" ca="1" si="12"/>
        <v/>
      </c>
    </row>
    <row r="169" spans="1:26" x14ac:dyDescent="0.25">
      <c r="A169" s="8" t="str">
        <f ca="1">IFERROR( VLOOKUP(A168+1,INDIRECT("'[" &amp;Info!$B$4&amp;"]"&amp;Info!$B$5&amp;"'!$A$6:$A$1000"),1,0),"")</f>
        <v/>
      </c>
      <c r="B169" s="5" t="str">
        <f ca="1">IFERROR( IF(A169="","", VLOOKUP(A169,INDIRECT("'[" &amp;Info!$B$4&amp;"]"&amp;Info!$B$5&amp;"'!$A$6:$B$1000"),2,0)),"")</f>
        <v/>
      </c>
      <c r="C169" s="14" t="str">
        <f ca="1">IFERROR( IF(A169="","", VLOOKUP(A169,INDIRECT("'[" &amp;Info!$B$4&amp;"]"&amp;Info!$B$5&amp;"'!$A$6:$D$1000"),3,0)),"")</f>
        <v/>
      </c>
      <c r="D169" s="31" t="str">
        <f ca="1">IF(C169="","", VLOOKUP(A169,INDIRECT("'[" &amp;Info!$B$4&amp;"]"&amp;Info!$B$5&amp;"'!$A$6:$T$1000"),20,0))</f>
        <v/>
      </c>
      <c r="E169" s="6" t="str">
        <f ca="1">IF(D169="","", VLOOKUP(A169,INDIRECT("'[" &amp;Info!$B$4&amp;"]"&amp;Info!$B$5&amp;"'!$A$6:$U$1000"),21,0))</f>
        <v/>
      </c>
      <c r="F169" s="6" t="str">
        <f ca="1">IF(D169="","", VLOOKUP(A169,INDIRECT("'[" &amp;Info!$B$4&amp;"]"&amp;Info!$B$5&amp;"'!$A$6:$U$1000"),21,0))</f>
        <v/>
      </c>
      <c r="G169" s="6" t="str">
        <f ca="1">IF(D169="","", VLOOKUP(A169,INDIRECT("'[" &amp;Info!$B$4&amp;"]"&amp;Info!$B$5&amp;"'!$A$6:$V$1000"),22,0))</f>
        <v/>
      </c>
      <c r="H169" s="6" t="str">
        <f ca="1">IF(D169="","", VLOOKUP(A169,INDIRECT("'[" &amp;Info!$B$4&amp;"]"&amp;Info!$B$5&amp;"'!$A$6:$W$1000"),23,0))</f>
        <v/>
      </c>
      <c r="I169" s="6" t="str">
        <f ca="1">LOWER( IF(D169="","", VLOOKUP(A169,INDIRECT("'[" &amp;Info!$B$4&amp;"]"&amp;Info!$B$5&amp;"'!$A$6:$y$1000"),25,0)))</f>
        <v/>
      </c>
      <c r="J169" s="6" t="str">
        <f ca="1">IF(D169="","", VLOOKUP(A169,INDIRECT("'[" &amp;Info!$B$4&amp;"]"&amp;Info!$B$5&amp;"'!$A$6:$Z$1000"),26,0))</f>
        <v/>
      </c>
      <c r="K169" s="35" t="str">
        <f ca="1">IF(D169="","", VLOOKUP(A169,INDIRECT("'[" &amp;Info!$B$4&amp;"]"&amp;Info!$B$5&amp;"'!$A$6:$AA$1000"),27,0))</f>
        <v/>
      </c>
      <c r="L169" s="35" t="str">
        <f ca="1">IF(D169="","", VLOOKUP(A169,INDIRECT("'[" &amp;Info!$B$4&amp;"]"&amp;Info!$B$5&amp;"'!$A$6:$H$1000"),8,0))</f>
        <v/>
      </c>
      <c r="M169" s="35" t="str">
        <f ca="1">IF(D169="","", VLOOKUP(A169,INDIRECT("'[" &amp;Info!$B$4&amp;"]"&amp;Info!$B$5&amp;"'!$A$6:$F$1000"),6,0))</f>
        <v/>
      </c>
      <c r="N169" s="33" t="str">
        <f ca="1">IF(C169="","", VLOOKUP(A169,INDIRECT("'[" &amp;Info!$B$4&amp;"]"&amp;Info!$B$5&amp;"'!$A$6:$Au$1000"),47,0))</f>
        <v/>
      </c>
      <c r="O169" s="28" t="str">
        <f ca="1">IF(N169="","",IF(N169=0,0,VLOOKUP(A169,INDIRECT("'[" &amp;Info!$B$4&amp;"]"&amp;Info!$B$5&amp;"'!$A$6:$AH$1000"),34,0)))</f>
        <v/>
      </c>
      <c r="P169" s="9" t="str">
        <f ca="1">IF(N169="","",IF(N169=0,0,VLOOKUP(A169,INDIRECT("'[" &amp;Info!$B$4&amp;"]"&amp;Info!$B$5&amp;"'!$A$6:$AW$1000"),49,0)))</f>
        <v/>
      </c>
      <c r="Q169" s="9" t="str">
        <f ca="1">IF(N169="","",IF(N169=0,0, VLOOKUP(A169,INDIRECT("'[" &amp;Info!$B$4&amp;"]"&amp;Info!$B$5&amp;"'!$A$6:$AX$1000"),50,0)))</f>
        <v/>
      </c>
      <c r="R169" s="29" t="str">
        <f ca="1">IF(N169="","",IF(N169=0,0, VLOOKUP(A169,INDIRECT("'[" &amp;Info!$B$4&amp;"]"&amp;Info!$B$5&amp;"'!$A$6:$AY$1000"),51,0)))</f>
        <v/>
      </c>
      <c r="S169" s="15" t="str">
        <f ca="1">IF(N169="","",IF(N169=0,0,VLOOKUP(A169,INDIRECT("'[" &amp;Info!$B$4&amp;"]"&amp;Info!$B$5&amp;"'!$A$6:$Ai$1000"),35,0)))</f>
        <v/>
      </c>
      <c r="T169" s="7" t="str">
        <f ca="1">IF(N169="","",IF(N169=0,0, VLOOKUP(A169,INDIRECT("'[" &amp;Info!$B$4&amp;"]"&amp;Info!$B$5&amp;"'!$A$6:$Az$1000"),52,0)))</f>
        <v/>
      </c>
      <c r="U169" s="7" t="str">
        <f ca="1">IF(N169="","",IF(N169=0,0, VLOOKUP(A169,INDIRECT("'[" &amp;Info!$B$4&amp;"]"&amp;Info!$B$5&amp;"'!$A$6:$BA$1000"),53,0)))</f>
        <v/>
      </c>
      <c r="V169" s="16" t="str">
        <f ca="1">IF(N169="","",IF(N169=0,0, VLOOKUP(A169,INDIRECT("'[" &amp;Info!$B$4&amp;"]"&amp;Info!$B$5&amp;"'!$A$6:$BB$1000"),54,0)))</f>
        <v/>
      </c>
      <c r="W169" s="17" t="str">
        <f t="shared" ca="1" si="9"/>
        <v/>
      </c>
      <c r="X169" s="18" t="str">
        <f t="shared" ca="1" si="10"/>
        <v/>
      </c>
      <c r="Y169" s="19" t="str">
        <f t="shared" ca="1" si="11"/>
        <v/>
      </c>
      <c r="Z169" s="18" t="str">
        <f t="shared" ca="1" si="12"/>
        <v/>
      </c>
    </row>
    <row r="170" spans="1:26" x14ac:dyDescent="0.25">
      <c r="A170" s="8" t="str">
        <f ca="1">IFERROR( VLOOKUP(A169+1,INDIRECT("'[" &amp;Info!$B$4&amp;"]"&amp;Info!$B$5&amp;"'!$A$6:$A$1000"),1,0),"")</f>
        <v/>
      </c>
      <c r="B170" s="5" t="str">
        <f ca="1">IFERROR( IF(A170="","", VLOOKUP(A170,INDIRECT("'[" &amp;Info!$B$4&amp;"]"&amp;Info!$B$5&amp;"'!$A$6:$B$1000"),2,0)),"")</f>
        <v/>
      </c>
      <c r="C170" s="14" t="str">
        <f ca="1">IFERROR( IF(A170="","", VLOOKUP(A170,INDIRECT("'[" &amp;Info!$B$4&amp;"]"&amp;Info!$B$5&amp;"'!$A$6:$D$1000"),3,0)),"")</f>
        <v/>
      </c>
      <c r="D170" s="31" t="str">
        <f ca="1">IF(C170="","", VLOOKUP(A170,INDIRECT("'[" &amp;Info!$B$4&amp;"]"&amp;Info!$B$5&amp;"'!$A$6:$T$1000"),20,0))</f>
        <v/>
      </c>
      <c r="E170" s="6" t="str">
        <f ca="1">IF(D170="","", VLOOKUP(A170,INDIRECT("'[" &amp;Info!$B$4&amp;"]"&amp;Info!$B$5&amp;"'!$A$6:$U$1000"),21,0))</f>
        <v/>
      </c>
      <c r="F170" s="6" t="str">
        <f ca="1">IF(D170="","", VLOOKUP(A170,INDIRECT("'[" &amp;Info!$B$4&amp;"]"&amp;Info!$B$5&amp;"'!$A$6:$U$1000"),21,0))</f>
        <v/>
      </c>
      <c r="G170" s="6" t="str">
        <f ca="1">IF(D170="","", VLOOKUP(A170,INDIRECT("'[" &amp;Info!$B$4&amp;"]"&amp;Info!$B$5&amp;"'!$A$6:$V$1000"),22,0))</f>
        <v/>
      </c>
      <c r="H170" s="6" t="str">
        <f ca="1">IF(D170="","", VLOOKUP(A170,INDIRECT("'[" &amp;Info!$B$4&amp;"]"&amp;Info!$B$5&amp;"'!$A$6:$W$1000"),23,0))</f>
        <v/>
      </c>
      <c r="I170" s="6" t="str">
        <f ca="1">LOWER( IF(D170="","", VLOOKUP(A170,INDIRECT("'[" &amp;Info!$B$4&amp;"]"&amp;Info!$B$5&amp;"'!$A$6:$y$1000"),25,0)))</f>
        <v/>
      </c>
      <c r="J170" s="6" t="str">
        <f ca="1">IF(D170="","", VLOOKUP(A170,INDIRECT("'[" &amp;Info!$B$4&amp;"]"&amp;Info!$B$5&amp;"'!$A$6:$Z$1000"),26,0))</f>
        <v/>
      </c>
      <c r="K170" s="35" t="str">
        <f ca="1">IF(D170="","", VLOOKUP(A170,INDIRECT("'[" &amp;Info!$B$4&amp;"]"&amp;Info!$B$5&amp;"'!$A$6:$AA$1000"),27,0))</f>
        <v/>
      </c>
      <c r="L170" s="35" t="str">
        <f ca="1">IF(D170="","", VLOOKUP(A170,INDIRECT("'[" &amp;Info!$B$4&amp;"]"&amp;Info!$B$5&amp;"'!$A$6:$H$1000"),8,0))</f>
        <v/>
      </c>
      <c r="M170" s="35" t="str">
        <f ca="1">IF(D170="","", VLOOKUP(A170,INDIRECT("'[" &amp;Info!$B$4&amp;"]"&amp;Info!$B$5&amp;"'!$A$6:$F$1000"),6,0))</f>
        <v/>
      </c>
      <c r="N170" s="33" t="str">
        <f ca="1">IF(C170="","", VLOOKUP(A170,INDIRECT("'[" &amp;Info!$B$4&amp;"]"&amp;Info!$B$5&amp;"'!$A$6:$Au$1000"),47,0))</f>
        <v/>
      </c>
      <c r="O170" s="28" t="str">
        <f ca="1">IF(N170="","",IF(N170=0,0,VLOOKUP(A170,INDIRECT("'[" &amp;Info!$B$4&amp;"]"&amp;Info!$B$5&amp;"'!$A$6:$AH$1000"),34,0)))</f>
        <v/>
      </c>
      <c r="P170" s="9" t="str">
        <f ca="1">IF(N170="","",IF(N170=0,0,VLOOKUP(A170,INDIRECT("'[" &amp;Info!$B$4&amp;"]"&amp;Info!$B$5&amp;"'!$A$6:$AW$1000"),49,0)))</f>
        <v/>
      </c>
      <c r="Q170" s="9" t="str">
        <f ca="1">IF(N170="","",IF(N170=0,0, VLOOKUP(A170,INDIRECT("'[" &amp;Info!$B$4&amp;"]"&amp;Info!$B$5&amp;"'!$A$6:$AX$1000"),50,0)))</f>
        <v/>
      </c>
      <c r="R170" s="29" t="str">
        <f ca="1">IF(N170="","",IF(N170=0,0, VLOOKUP(A170,INDIRECT("'[" &amp;Info!$B$4&amp;"]"&amp;Info!$B$5&amp;"'!$A$6:$AY$1000"),51,0)))</f>
        <v/>
      </c>
      <c r="S170" s="15" t="str">
        <f ca="1">IF(N170="","",IF(N170=0,0,VLOOKUP(A170,INDIRECT("'[" &amp;Info!$B$4&amp;"]"&amp;Info!$B$5&amp;"'!$A$6:$Ai$1000"),35,0)))</f>
        <v/>
      </c>
      <c r="T170" s="7" t="str">
        <f ca="1">IF(N170="","",IF(N170=0,0, VLOOKUP(A170,INDIRECT("'[" &amp;Info!$B$4&amp;"]"&amp;Info!$B$5&amp;"'!$A$6:$Az$1000"),52,0)))</f>
        <v/>
      </c>
      <c r="U170" s="7" t="str">
        <f ca="1">IF(N170="","",IF(N170=0,0, VLOOKUP(A170,INDIRECT("'[" &amp;Info!$B$4&amp;"]"&amp;Info!$B$5&amp;"'!$A$6:$BA$1000"),53,0)))</f>
        <v/>
      </c>
      <c r="V170" s="16" t="str">
        <f ca="1">IF(N170="","",IF(N170=0,0, VLOOKUP(A170,INDIRECT("'[" &amp;Info!$B$4&amp;"]"&amp;Info!$B$5&amp;"'!$A$6:$BB$1000"),54,0)))</f>
        <v/>
      </c>
      <c r="W170" s="17" t="str">
        <f t="shared" ca="1" si="9"/>
        <v/>
      </c>
      <c r="X170" s="18" t="str">
        <f t="shared" ca="1" si="10"/>
        <v/>
      </c>
      <c r="Y170" s="19" t="str">
        <f t="shared" ca="1" si="11"/>
        <v/>
      </c>
      <c r="Z170" s="18" t="str">
        <f t="shared" ca="1" si="12"/>
        <v/>
      </c>
    </row>
    <row r="171" spans="1:26" x14ac:dyDescent="0.25">
      <c r="A171" s="8" t="str">
        <f ca="1">IFERROR( VLOOKUP(A170+1,INDIRECT("'[" &amp;Info!$B$4&amp;"]"&amp;Info!$B$5&amp;"'!$A$6:$A$1000"),1,0),"")</f>
        <v/>
      </c>
      <c r="B171" s="5" t="str">
        <f ca="1">IFERROR( IF(A171="","", VLOOKUP(A171,INDIRECT("'[" &amp;Info!$B$4&amp;"]"&amp;Info!$B$5&amp;"'!$A$6:$B$1000"),2,0)),"")</f>
        <v/>
      </c>
      <c r="C171" s="14" t="str">
        <f ca="1">IFERROR( IF(A171="","", VLOOKUP(A171,INDIRECT("'[" &amp;Info!$B$4&amp;"]"&amp;Info!$B$5&amp;"'!$A$6:$D$1000"),3,0)),"")</f>
        <v/>
      </c>
      <c r="D171" s="31" t="str">
        <f ca="1">IF(C171="","", VLOOKUP(A171,INDIRECT("'[" &amp;Info!$B$4&amp;"]"&amp;Info!$B$5&amp;"'!$A$6:$T$1000"),20,0))</f>
        <v/>
      </c>
      <c r="E171" s="6" t="str">
        <f ca="1">IF(D171="","", VLOOKUP(A171,INDIRECT("'[" &amp;Info!$B$4&amp;"]"&amp;Info!$B$5&amp;"'!$A$6:$U$1000"),21,0))</f>
        <v/>
      </c>
      <c r="F171" s="6" t="str">
        <f ca="1">IF(D171="","", VLOOKUP(A171,INDIRECT("'[" &amp;Info!$B$4&amp;"]"&amp;Info!$B$5&amp;"'!$A$6:$U$1000"),21,0))</f>
        <v/>
      </c>
      <c r="G171" s="6" t="str">
        <f ca="1">IF(D171="","", VLOOKUP(A171,INDIRECT("'[" &amp;Info!$B$4&amp;"]"&amp;Info!$B$5&amp;"'!$A$6:$V$1000"),22,0))</f>
        <v/>
      </c>
      <c r="H171" s="6" t="str">
        <f ca="1">IF(D171="","", VLOOKUP(A171,INDIRECT("'[" &amp;Info!$B$4&amp;"]"&amp;Info!$B$5&amp;"'!$A$6:$W$1000"),23,0))</f>
        <v/>
      </c>
      <c r="I171" s="6" t="str">
        <f ca="1">LOWER( IF(D171="","", VLOOKUP(A171,INDIRECT("'[" &amp;Info!$B$4&amp;"]"&amp;Info!$B$5&amp;"'!$A$6:$y$1000"),25,0)))</f>
        <v/>
      </c>
      <c r="J171" s="6" t="str">
        <f ca="1">IF(D171="","", VLOOKUP(A171,INDIRECT("'[" &amp;Info!$B$4&amp;"]"&amp;Info!$B$5&amp;"'!$A$6:$Z$1000"),26,0))</f>
        <v/>
      </c>
      <c r="K171" s="35" t="str">
        <f ca="1">IF(D171="","", VLOOKUP(A171,INDIRECT("'[" &amp;Info!$B$4&amp;"]"&amp;Info!$B$5&amp;"'!$A$6:$AA$1000"),27,0))</f>
        <v/>
      </c>
      <c r="L171" s="35" t="str">
        <f ca="1">IF(D171="","", VLOOKUP(A171,INDIRECT("'[" &amp;Info!$B$4&amp;"]"&amp;Info!$B$5&amp;"'!$A$6:$H$1000"),8,0))</f>
        <v/>
      </c>
      <c r="M171" s="35" t="str">
        <f ca="1">IF(D171="","", VLOOKUP(A171,INDIRECT("'[" &amp;Info!$B$4&amp;"]"&amp;Info!$B$5&amp;"'!$A$6:$F$1000"),6,0))</f>
        <v/>
      </c>
      <c r="N171" s="33" t="str">
        <f ca="1">IF(C171="","", VLOOKUP(A171,INDIRECT("'[" &amp;Info!$B$4&amp;"]"&amp;Info!$B$5&amp;"'!$A$6:$Au$1000"),47,0))</f>
        <v/>
      </c>
      <c r="O171" s="28" t="str">
        <f ca="1">IF(N171="","",IF(N171=0,0,VLOOKUP(A171,INDIRECT("'[" &amp;Info!$B$4&amp;"]"&amp;Info!$B$5&amp;"'!$A$6:$AH$1000"),34,0)))</f>
        <v/>
      </c>
      <c r="P171" s="9" t="str">
        <f ca="1">IF(N171="","",IF(N171=0,0,VLOOKUP(A171,INDIRECT("'[" &amp;Info!$B$4&amp;"]"&amp;Info!$B$5&amp;"'!$A$6:$AW$1000"),49,0)))</f>
        <v/>
      </c>
      <c r="Q171" s="9" t="str">
        <f ca="1">IF(N171="","",IF(N171=0,0, VLOOKUP(A171,INDIRECT("'[" &amp;Info!$B$4&amp;"]"&amp;Info!$B$5&amp;"'!$A$6:$AX$1000"),50,0)))</f>
        <v/>
      </c>
      <c r="R171" s="29" t="str">
        <f ca="1">IF(N171="","",IF(N171=0,0, VLOOKUP(A171,INDIRECT("'[" &amp;Info!$B$4&amp;"]"&amp;Info!$B$5&amp;"'!$A$6:$AY$1000"),51,0)))</f>
        <v/>
      </c>
      <c r="S171" s="15" t="str">
        <f ca="1">IF(N171="","",IF(N171=0,0,VLOOKUP(A171,INDIRECT("'[" &amp;Info!$B$4&amp;"]"&amp;Info!$B$5&amp;"'!$A$6:$Ai$1000"),35,0)))</f>
        <v/>
      </c>
      <c r="T171" s="7" t="str">
        <f ca="1">IF(N171="","",IF(N171=0,0, VLOOKUP(A171,INDIRECT("'[" &amp;Info!$B$4&amp;"]"&amp;Info!$B$5&amp;"'!$A$6:$Az$1000"),52,0)))</f>
        <v/>
      </c>
      <c r="U171" s="7" t="str">
        <f ca="1">IF(N171="","",IF(N171=0,0, VLOOKUP(A171,INDIRECT("'[" &amp;Info!$B$4&amp;"]"&amp;Info!$B$5&amp;"'!$A$6:$BA$1000"),53,0)))</f>
        <v/>
      </c>
      <c r="V171" s="16" t="str">
        <f ca="1">IF(N171="","",IF(N171=0,0, VLOOKUP(A171,INDIRECT("'[" &amp;Info!$B$4&amp;"]"&amp;Info!$B$5&amp;"'!$A$6:$BB$1000"),54,0)))</f>
        <v/>
      </c>
      <c r="W171" s="17" t="str">
        <f t="shared" ca="1" si="9"/>
        <v/>
      </c>
      <c r="X171" s="18" t="str">
        <f t="shared" ca="1" si="10"/>
        <v/>
      </c>
      <c r="Y171" s="19" t="str">
        <f t="shared" ca="1" si="11"/>
        <v/>
      </c>
      <c r="Z171" s="18" t="str">
        <f t="shared" ca="1" si="12"/>
        <v/>
      </c>
    </row>
    <row r="172" spans="1:26" x14ac:dyDescent="0.25">
      <c r="A172" s="8" t="str">
        <f ca="1">IFERROR( VLOOKUP(A171+1,INDIRECT("'[" &amp;Info!$B$4&amp;"]"&amp;Info!$B$5&amp;"'!$A$6:$A$1000"),1,0),"")</f>
        <v/>
      </c>
      <c r="B172" s="5" t="str">
        <f ca="1">IFERROR( IF(A172="","", VLOOKUP(A172,INDIRECT("'[" &amp;Info!$B$4&amp;"]"&amp;Info!$B$5&amp;"'!$A$6:$B$1000"),2,0)),"")</f>
        <v/>
      </c>
      <c r="C172" s="14" t="str">
        <f ca="1">IFERROR( IF(A172="","", VLOOKUP(A172,INDIRECT("'[" &amp;Info!$B$4&amp;"]"&amp;Info!$B$5&amp;"'!$A$6:$D$1000"),3,0)),"")</f>
        <v/>
      </c>
      <c r="D172" s="31" t="str">
        <f ca="1">IF(C172="","", VLOOKUP(A172,INDIRECT("'[" &amp;Info!$B$4&amp;"]"&amp;Info!$B$5&amp;"'!$A$6:$T$1000"),20,0))</f>
        <v/>
      </c>
      <c r="E172" s="6" t="str">
        <f ca="1">IF(D172="","", VLOOKUP(A172,INDIRECT("'[" &amp;Info!$B$4&amp;"]"&amp;Info!$B$5&amp;"'!$A$6:$U$1000"),21,0))</f>
        <v/>
      </c>
      <c r="F172" s="6" t="str">
        <f ca="1">IF(D172="","", VLOOKUP(A172,INDIRECT("'[" &amp;Info!$B$4&amp;"]"&amp;Info!$B$5&amp;"'!$A$6:$U$1000"),21,0))</f>
        <v/>
      </c>
      <c r="G172" s="6" t="str">
        <f ca="1">IF(D172="","", VLOOKUP(A172,INDIRECT("'[" &amp;Info!$B$4&amp;"]"&amp;Info!$B$5&amp;"'!$A$6:$V$1000"),22,0))</f>
        <v/>
      </c>
      <c r="H172" s="6" t="str">
        <f ca="1">IF(D172="","", VLOOKUP(A172,INDIRECT("'[" &amp;Info!$B$4&amp;"]"&amp;Info!$B$5&amp;"'!$A$6:$W$1000"),23,0))</f>
        <v/>
      </c>
      <c r="I172" s="6" t="str">
        <f ca="1">LOWER( IF(D172="","", VLOOKUP(A172,INDIRECT("'[" &amp;Info!$B$4&amp;"]"&amp;Info!$B$5&amp;"'!$A$6:$y$1000"),25,0)))</f>
        <v/>
      </c>
      <c r="J172" s="6" t="str">
        <f ca="1">IF(D172="","", VLOOKUP(A172,INDIRECT("'[" &amp;Info!$B$4&amp;"]"&amp;Info!$B$5&amp;"'!$A$6:$Z$1000"),26,0))</f>
        <v/>
      </c>
      <c r="K172" s="35" t="str">
        <f ca="1">IF(D172="","", VLOOKUP(A172,INDIRECT("'[" &amp;Info!$B$4&amp;"]"&amp;Info!$B$5&amp;"'!$A$6:$AA$1000"),27,0))</f>
        <v/>
      </c>
      <c r="L172" s="35" t="str">
        <f ca="1">IF(D172="","", VLOOKUP(A172,INDIRECT("'[" &amp;Info!$B$4&amp;"]"&amp;Info!$B$5&amp;"'!$A$6:$H$1000"),8,0))</f>
        <v/>
      </c>
      <c r="M172" s="35" t="str">
        <f ca="1">IF(D172="","", VLOOKUP(A172,INDIRECT("'[" &amp;Info!$B$4&amp;"]"&amp;Info!$B$5&amp;"'!$A$6:$F$1000"),6,0))</f>
        <v/>
      </c>
      <c r="N172" s="33" t="str">
        <f ca="1">IF(C172="","", VLOOKUP(A172,INDIRECT("'[" &amp;Info!$B$4&amp;"]"&amp;Info!$B$5&amp;"'!$A$6:$Au$1000"),47,0))</f>
        <v/>
      </c>
      <c r="O172" s="28" t="str">
        <f ca="1">IF(N172="","",IF(N172=0,0,VLOOKUP(A172,INDIRECT("'[" &amp;Info!$B$4&amp;"]"&amp;Info!$B$5&amp;"'!$A$6:$AH$1000"),34,0)))</f>
        <v/>
      </c>
      <c r="P172" s="9" t="str">
        <f ca="1">IF(N172="","",IF(N172=0,0,VLOOKUP(A172,INDIRECT("'[" &amp;Info!$B$4&amp;"]"&amp;Info!$B$5&amp;"'!$A$6:$AW$1000"),49,0)))</f>
        <v/>
      </c>
      <c r="Q172" s="9" t="str">
        <f ca="1">IF(N172="","",IF(N172=0,0, VLOOKUP(A172,INDIRECT("'[" &amp;Info!$B$4&amp;"]"&amp;Info!$B$5&amp;"'!$A$6:$AX$1000"),50,0)))</f>
        <v/>
      </c>
      <c r="R172" s="29" t="str">
        <f ca="1">IF(N172="","",IF(N172=0,0, VLOOKUP(A172,INDIRECT("'[" &amp;Info!$B$4&amp;"]"&amp;Info!$B$5&amp;"'!$A$6:$AY$1000"),51,0)))</f>
        <v/>
      </c>
      <c r="S172" s="15" t="str">
        <f ca="1">IF(N172="","",IF(N172=0,0,VLOOKUP(A172,INDIRECT("'[" &amp;Info!$B$4&amp;"]"&amp;Info!$B$5&amp;"'!$A$6:$Ai$1000"),35,0)))</f>
        <v/>
      </c>
      <c r="T172" s="7" t="str">
        <f ca="1">IF(N172="","",IF(N172=0,0, VLOOKUP(A172,INDIRECT("'[" &amp;Info!$B$4&amp;"]"&amp;Info!$B$5&amp;"'!$A$6:$Az$1000"),52,0)))</f>
        <v/>
      </c>
      <c r="U172" s="7" t="str">
        <f ca="1">IF(N172="","",IF(N172=0,0, VLOOKUP(A172,INDIRECT("'[" &amp;Info!$B$4&amp;"]"&amp;Info!$B$5&amp;"'!$A$6:$BA$1000"),53,0)))</f>
        <v/>
      </c>
      <c r="V172" s="16" t="str">
        <f ca="1">IF(N172="","",IF(N172=0,0, VLOOKUP(A172,INDIRECT("'[" &amp;Info!$B$4&amp;"]"&amp;Info!$B$5&amp;"'!$A$6:$BB$1000"),54,0)))</f>
        <v/>
      </c>
      <c r="W172" s="17" t="str">
        <f t="shared" ca="1" si="9"/>
        <v/>
      </c>
      <c r="X172" s="18" t="str">
        <f t="shared" ca="1" si="10"/>
        <v/>
      </c>
      <c r="Y172" s="19" t="str">
        <f t="shared" ca="1" si="11"/>
        <v/>
      </c>
      <c r="Z172" s="18" t="str">
        <f t="shared" ca="1" si="12"/>
        <v/>
      </c>
    </row>
    <row r="173" spans="1:26" x14ac:dyDescent="0.25">
      <c r="A173" s="8" t="str">
        <f ca="1">IFERROR( VLOOKUP(A172+1,INDIRECT("'[" &amp;Info!$B$4&amp;"]"&amp;Info!$B$5&amp;"'!$A$6:$A$1000"),1,0),"")</f>
        <v/>
      </c>
      <c r="B173" s="5" t="str">
        <f ca="1">IFERROR( IF(A173="","", VLOOKUP(A173,INDIRECT("'[" &amp;Info!$B$4&amp;"]"&amp;Info!$B$5&amp;"'!$A$6:$B$1000"),2,0)),"")</f>
        <v/>
      </c>
      <c r="C173" s="14" t="str">
        <f ca="1">IFERROR( IF(A173="","", VLOOKUP(A173,INDIRECT("'[" &amp;Info!$B$4&amp;"]"&amp;Info!$B$5&amp;"'!$A$6:$D$1000"),3,0)),"")</f>
        <v/>
      </c>
      <c r="D173" s="31" t="str">
        <f ca="1">IF(C173="","", VLOOKUP(A173,INDIRECT("'[" &amp;Info!$B$4&amp;"]"&amp;Info!$B$5&amp;"'!$A$6:$T$1000"),20,0))</f>
        <v/>
      </c>
      <c r="E173" s="6" t="str">
        <f ca="1">IF(D173="","", VLOOKUP(A173,INDIRECT("'[" &amp;Info!$B$4&amp;"]"&amp;Info!$B$5&amp;"'!$A$6:$U$1000"),21,0))</f>
        <v/>
      </c>
      <c r="F173" s="6" t="str">
        <f ca="1">IF(D173="","", VLOOKUP(A173,INDIRECT("'[" &amp;Info!$B$4&amp;"]"&amp;Info!$B$5&amp;"'!$A$6:$U$1000"),21,0))</f>
        <v/>
      </c>
      <c r="G173" s="6" t="str">
        <f ca="1">IF(D173="","", VLOOKUP(A173,INDIRECT("'[" &amp;Info!$B$4&amp;"]"&amp;Info!$B$5&amp;"'!$A$6:$V$1000"),22,0))</f>
        <v/>
      </c>
      <c r="H173" s="6" t="str">
        <f ca="1">IF(D173="","", VLOOKUP(A173,INDIRECT("'[" &amp;Info!$B$4&amp;"]"&amp;Info!$B$5&amp;"'!$A$6:$W$1000"),23,0))</f>
        <v/>
      </c>
      <c r="I173" s="6" t="str">
        <f ca="1">LOWER( IF(D173="","", VLOOKUP(A173,INDIRECT("'[" &amp;Info!$B$4&amp;"]"&amp;Info!$B$5&amp;"'!$A$6:$y$1000"),25,0)))</f>
        <v/>
      </c>
      <c r="J173" s="6" t="str">
        <f ca="1">IF(D173="","", VLOOKUP(A173,INDIRECT("'[" &amp;Info!$B$4&amp;"]"&amp;Info!$B$5&amp;"'!$A$6:$Z$1000"),26,0))</f>
        <v/>
      </c>
      <c r="K173" s="35" t="str">
        <f ca="1">IF(D173="","", VLOOKUP(A173,INDIRECT("'[" &amp;Info!$B$4&amp;"]"&amp;Info!$B$5&amp;"'!$A$6:$AA$1000"),27,0))</f>
        <v/>
      </c>
      <c r="L173" s="35" t="str">
        <f ca="1">IF(D173="","", VLOOKUP(A173,INDIRECT("'[" &amp;Info!$B$4&amp;"]"&amp;Info!$B$5&amp;"'!$A$6:$H$1000"),8,0))</f>
        <v/>
      </c>
      <c r="M173" s="35" t="str">
        <f ca="1">IF(D173="","", VLOOKUP(A173,INDIRECT("'[" &amp;Info!$B$4&amp;"]"&amp;Info!$B$5&amp;"'!$A$6:$F$1000"),6,0))</f>
        <v/>
      </c>
      <c r="N173" s="33" t="str">
        <f ca="1">IF(C173="","", VLOOKUP(A173,INDIRECT("'[" &amp;Info!$B$4&amp;"]"&amp;Info!$B$5&amp;"'!$A$6:$Au$1000"),47,0))</f>
        <v/>
      </c>
      <c r="O173" s="28" t="str">
        <f ca="1">IF(N173="","",IF(N173=0,0,VLOOKUP(A173,INDIRECT("'[" &amp;Info!$B$4&amp;"]"&amp;Info!$B$5&amp;"'!$A$6:$AH$1000"),34,0)))</f>
        <v/>
      </c>
      <c r="P173" s="9" t="str">
        <f ca="1">IF(N173="","",IF(N173=0,0,VLOOKUP(A173,INDIRECT("'[" &amp;Info!$B$4&amp;"]"&amp;Info!$B$5&amp;"'!$A$6:$AW$1000"),49,0)))</f>
        <v/>
      </c>
      <c r="Q173" s="9" t="str">
        <f ca="1">IF(N173="","",IF(N173=0,0, VLOOKUP(A173,INDIRECT("'[" &amp;Info!$B$4&amp;"]"&amp;Info!$B$5&amp;"'!$A$6:$AX$1000"),50,0)))</f>
        <v/>
      </c>
      <c r="R173" s="29" t="str">
        <f ca="1">IF(N173="","",IF(N173=0,0, VLOOKUP(A173,INDIRECT("'[" &amp;Info!$B$4&amp;"]"&amp;Info!$B$5&amp;"'!$A$6:$AY$1000"),51,0)))</f>
        <v/>
      </c>
      <c r="S173" s="15" t="str">
        <f ca="1">IF(N173="","",IF(N173=0,0,VLOOKUP(A173,INDIRECT("'[" &amp;Info!$B$4&amp;"]"&amp;Info!$B$5&amp;"'!$A$6:$Ai$1000"),35,0)))</f>
        <v/>
      </c>
      <c r="T173" s="7" t="str">
        <f ca="1">IF(N173="","",IF(N173=0,0, VLOOKUP(A173,INDIRECT("'[" &amp;Info!$B$4&amp;"]"&amp;Info!$B$5&amp;"'!$A$6:$Az$1000"),52,0)))</f>
        <v/>
      </c>
      <c r="U173" s="7" t="str">
        <f ca="1">IF(N173="","",IF(N173=0,0, VLOOKUP(A173,INDIRECT("'[" &amp;Info!$B$4&amp;"]"&amp;Info!$B$5&amp;"'!$A$6:$BA$1000"),53,0)))</f>
        <v/>
      </c>
      <c r="V173" s="16" t="str">
        <f ca="1">IF(N173="","",IF(N173=0,0, VLOOKUP(A173,INDIRECT("'[" &amp;Info!$B$4&amp;"]"&amp;Info!$B$5&amp;"'!$A$6:$BB$1000"),54,0)))</f>
        <v/>
      </c>
      <c r="W173" s="17" t="str">
        <f t="shared" ca="1" si="9"/>
        <v/>
      </c>
      <c r="X173" s="18" t="str">
        <f t="shared" ca="1" si="10"/>
        <v/>
      </c>
      <c r="Y173" s="19" t="str">
        <f t="shared" ca="1" si="11"/>
        <v/>
      </c>
      <c r="Z173" s="18" t="str">
        <f t="shared" ca="1" si="12"/>
        <v/>
      </c>
    </row>
    <row r="174" spans="1:26" x14ac:dyDescent="0.25">
      <c r="A174" s="8" t="str">
        <f ca="1">IFERROR( VLOOKUP(A173+1,INDIRECT("'[" &amp;Info!$B$4&amp;"]"&amp;Info!$B$5&amp;"'!$A$6:$A$1000"),1,0),"")</f>
        <v/>
      </c>
      <c r="B174" s="5" t="str">
        <f ca="1">IFERROR( IF(A174="","", VLOOKUP(A174,INDIRECT("'[" &amp;Info!$B$4&amp;"]"&amp;Info!$B$5&amp;"'!$A$6:$B$1000"),2,0)),"")</f>
        <v/>
      </c>
      <c r="C174" s="14" t="str">
        <f ca="1">IFERROR( IF(A174="","", VLOOKUP(A174,INDIRECT("'[" &amp;Info!$B$4&amp;"]"&amp;Info!$B$5&amp;"'!$A$6:$D$1000"),3,0)),"")</f>
        <v/>
      </c>
      <c r="D174" s="31" t="str">
        <f ca="1">IF(C174="","", VLOOKUP(A174,INDIRECT("'[" &amp;Info!$B$4&amp;"]"&amp;Info!$B$5&amp;"'!$A$6:$T$1000"),20,0))</f>
        <v/>
      </c>
      <c r="E174" s="6" t="str">
        <f ca="1">IF(D174="","", VLOOKUP(A174,INDIRECT("'[" &amp;Info!$B$4&amp;"]"&amp;Info!$B$5&amp;"'!$A$6:$U$1000"),21,0))</f>
        <v/>
      </c>
      <c r="F174" s="6" t="str">
        <f ca="1">IF(D174="","", VLOOKUP(A174,INDIRECT("'[" &amp;Info!$B$4&amp;"]"&amp;Info!$B$5&amp;"'!$A$6:$U$1000"),21,0))</f>
        <v/>
      </c>
      <c r="G174" s="6" t="str">
        <f ca="1">IF(D174="","", VLOOKUP(A174,INDIRECT("'[" &amp;Info!$B$4&amp;"]"&amp;Info!$B$5&amp;"'!$A$6:$V$1000"),22,0))</f>
        <v/>
      </c>
      <c r="H174" s="6" t="str">
        <f ca="1">IF(D174="","", VLOOKUP(A174,INDIRECT("'[" &amp;Info!$B$4&amp;"]"&amp;Info!$B$5&amp;"'!$A$6:$W$1000"),23,0))</f>
        <v/>
      </c>
      <c r="I174" s="6" t="str">
        <f ca="1">LOWER( IF(D174="","", VLOOKUP(A174,INDIRECT("'[" &amp;Info!$B$4&amp;"]"&amp;Info!$B$5&amp;"'!$A$6:$y$1000"),25,0)))</f>
        <v/>
      </c>
      <c r="J174" s="6" t="str">
        <f ca="1">IF(D174="","", VLOOKUP(A174,INDIRECT("'[" &amp;Info!$B$4&amp;"]"&amp;Info!$B$5&amp;"'!$A$6:$Z$1000"),26,0))</f>
        <v/>
      </c>
      <c r="K174" s="35" t="str">
        <f ca="1">IF(D174="","", VLOOKUP(A174,INDIRECT("'[" &amp;Info!$B$4&amp;"]"&amp;Info!$B$5&amp;"'!$A$6:$AA$1000"),27,0))</f>
        <v/>
      </c>
      <c r="L174" s="35" t="str">
        <f ca="1">IF(D174="","", VLOOKUP(A174,INDIRECT("'[" &amp;Info!$B$4&amp;"]"&amp;Info!$B$5&amp;"'!$A$6:$H$1000"),8,0))</f>
        <v/>
      </c>
      <c r="M174" s="35" t="str">
        <f ca="1">IF(D174="","", VLOOKUP(A174,INDIRECT("'[" &amp;Info!$B$4&amp;"]"&amp;Info!$B$5&amp;"'!$A$6:$F$1000"),6,0))</f>
        <v/>
      </c>
      <c r="N174" s="33" t="str">
        <f ca="1">IF(C174="","", VLOOKUP(A174,INDIRECT("'[" &amp;Info!$B$4&amp;"]"&amp;Info!$B$5&amp;"'!$A$6:$Au$1000"),47,0))</f>
        <v/>
      </c>
      <c r="O174" s="28" t="str">
        <f ca="1">IF(N174="","",IF(N174=0,0,VLOOKUP(A174,INDIRECT("'[" &amp;Info!$B$4&amp;"]"&amp;Info!$B$5&amp;"'!$A$6:$AH$1000"),34,0)))</f>
        <v/>
      </c>
      <c r="P174" s="9" t="str">
        <f ca="1">IF(N174="","",IF(N174=0,0,VLOOKUP(A174,INDIRECT("'[" &amp;Info!$B$4&amp;"]"&amp;Info!$B$5&amp;"'!$A$6:$AW$1000"),49,0)))</f>
        <v/>
      </c>
      <c r="Q174" s="9" t="str">
        <f ca="1">IF(N174="","",IF(N174=0,0, VLOOKUP(A174,INDIRECT("'[" &amp;Info!$B$4&amp;"]"&amp;Info!$B$5&amp;"'!$A$6:$AX$1000"),50,0)))</f>
        <v/>
      </c>
      <c r="R174" s="29" t="str">
        <f ca="1">IF(N174="","",IF(N174=0,0, VLOOKUP(A174,INDIRECT("'[" &amp;Info!$B$4&amp;"]"&amp;Info!$B$5&amp;"'!$A$6:$AY$1000"),51,0)))</f>
        <v/>
      </c>
      <c r="S174" s="15" t="str">
        <f ca="1">IF(N174="","",IF(N174=0,0,VLOOKUP(A174,INDIRECT("'[" &amp;Info!$B$4&amp;"]"&amp;Info!$B$5&amp;"'!$A$6:$Ai$1000"),35,0)))</f>
        <v/>
      </c>
      <c r="T174" s="7" t="str">
        <f ca="1">IF(N174="","",IF(N174=0,0, VLOOKUP(A174,INDIRECT("'[" &amp;Info!$B$4&amp;"]"&amp;Info!$B$5&amp;"'!$A$6:$Az$1000"),52,0)))</f>
        <v/>
      </c>
      <c r="U174" s="7" t="str">
        <f ca="1">IF(N174="","",IF(N174=0,0, VLOOKUP(A174,INDIRECT("'[" &amp;Info!$B$4&amp;"]"&amp;Info!$B$5&amp;"'!$A$6:$BA$1000"),53,0)))</f>
        <v/>
      </c>
      <c r="V174" s="16" t="str">
        <f ca="1">IF(N174="","",IF(N174=0,0, VLOOKUP(A174,INDIRECT("'[" &amp;Info!$B$4&amp;"]"&amp;Info!$B$5&amp;"'!$A$6:$BB$1000"),54,0)))</f>
        <v/>
      </c>
      <c r="W174" s="17" t="str">
        <f t="shared" ca="1" si="9"/>
        <v/>
      </c>
      <c r="X174" s="18" t="str">
        <f t="shared" ca="1" si="10"/>
        <v/>
      </c>
      <c r="Y174" s="19" t="str">
        <f t="shared" ca="1" si="11"/>
        <v/>
      </c>
      <c r="Z174" s="18" t="str">
        <f t="shared" ca="1" si="12"/>
        <v/>
      </c>
    </row>
    <row r="175" spans="1:26" x14ac:dyDescent="0.25">
      <c r="A175" s="8" t="str">
        <f ca="1">IFERROR( VLOOKUP(A174+1,INDIRECT("'[" &amp;Info!$B$4&amp;"]"&amp;Info!$B$5&amp;"'!$A$6:$A$1000"),1,0),"")</f>
        <v/>
      </c>
      <c r="B175" s="5" t="str">
        <f ca="1">IFERROR( IF(A175="","", VLOOKUP(A175,INDIRECT("'[" &amp;Info!$B$4&amp;"]"&amp;Info!$B$5&amp;"'!$A$6:$B$1000"),2,0)),"")</f>
        <v/>
      </c>
      <c r="C175" s="14" t="str">
        <f ca="1">IFERROR( IF(A175="","", VLOOKUP(A175,INDIRECT("'[" &amp;Info!$B$4&amp;"]"&amp;Info!$B$5&amp;"'!$A$6:$D$1000"),3,0)),"")</f>
        <v/>
      </c>
      <c r="D175" s="31" t="str">
        <f ca="1">IF(C175="","", VLOOKUP(A175,INDIRECT("'[" &amp;Info!$B$4&amp;"]"&amp;Info!$B$5&amp;"'!$A$6:$T$1000"),20,0))</f>
        <v/>
      </c>
      <c r="E175" s="6" t="str">
        <f ca="1">IF(D175="","", VLOOKUP(A175,INDIRECT("'[" &amp;Info!$B$4&amp;"]"&amp;Info!$B$5&amp;"'!$A$6:$U$1000"),21,0))</f>
        <v/>
      </c>
      <c r="F175" s="6" t="str">
        <f ca="1">IF(D175="","", VLOOKUP(A175,INDIRECT("'[" &amp;Info!$B$4&amp;"]"&amp;Info!$B$5&amp;"'!$A$6:$U$1000"),21,0))</f>
        <v/>
      </c>
      <c r="G175" s="6" t="str">
        <f ca="1">IF(D175="","", VLOOKUP(A175,INDIRECT("'[" &amp;Info!$B$4&amp;"]"&amp;Info!$B$5&amp;"'!$A$6:$V$1000"),22,0))</f>
        <v/>
      </c>
      <c r="H175" s="6" t="str">
        <f ca="1">IF(D175="","", VLOOKUP(A175,INDIRECT("'[" &amp;Info!$B$4&amp;"]"&amp;Info!$B$5&amp;"'!$A$6:$W$1000"),23,0))</f>
        <v/>
      </c>
      <c r="I175" s="6" t="str">
        <f ca="1">LOWER( IF(D175="","", VLOOKUP(A175,INDIRECT("'[" &amp;Info!$B$4&amp;"]"&amp;Info!$B$5&amp;"'!$A$6:$y$1000"),25,0)))</f>
        <v/>
      </c>
      <c r="J175" s="6" t="str">
        <f ca="1">IF(D175="","", VLOOKUP(A175,INDIRECT("'[" &amp;Info!$B$4&amp;"]"&amp;Info!$B$5&amp;"'!$A$6:$Z$1000"),26,0))</f>
        <v/>
      </c>
      <c r="K175" s="35" t="str">
        <f ca="1">IF(D175="","", VLOOKUP(A175,INDIRECT("'[" &amp;Info!$B$4&amp;"]"&amp;Info!$B$5&amp;"'!$A$6:$AA$1000"),27,0))</f>
        <v/>
      </c>
      <c r="L175" s="35" t="str">
        <f ca="1">IF(D175="","", VLOOKUP(A175,INDIRECT("'[" &amp;Info!$B$4&amp;"]"&amp;Info!$B$5&amp;"'!$A$6:$H$1000"),8,0))</f>
        <v/>
      </c>
      <c r="M175" s="35" t="str">
        <f ca="1">IF(D175="","", VLOOKUP(A175,INDIRECT("'[" &amp;Info!$B$4&amp;"]"&amp;Info!$B$5&amp;"'!$A$6:$F$1000"),6,0))</f>
        <v/>
      </c>
      <c r="N175" s="33" t="str">
        <f ca="1">IF(C175="","", VLOOKUP(A175,INDIRECT("'[" &amp;Info!$B$4&amp;"]"&amp;Info!$B$5&amp;"'!$A$6:$Au$1000"),47,0))</f>
        <v/>
      </c>
      <c r="O175" s="28" t="str">
        <f ca="1">IF(N175="","",IF(N175=0,0,VLOOKUP(A175,INDIRECT("'[" &amp;Info!$B$4&amp;"]"&amp;Info!$B$5&amp;"'!$A$6:$AH$1000"),34,0)))</f>
        <v/>
      </c>
      <c r="P175" s="9" t="str">
        <f ca="1">IF(N175="","",IF(N175=0,0,VLOOKUP(A175,INDIRECT("'[" &amp;Info!$B$4&amp;"]"&amp;Info!$B$5&amp;"'!$A$6:$AW$1000"),49,0)))</f>
        <v/>
      </c>
      <c r="Q175" s="9" t="str">
        <f ca="1">IF(N175="","",IF(N175=0,0, VLOOKUP(A175,INDIRECT("'[" &amp;Info!$B$4&amp;"]"&amp;Info!$B$5&amp;"'!$A$6:$AX$1000"),50,0)))</f>
        <v/>
      </c>
      <c r="R175" s="29" t="str">
        <f ca="1">IF(N175="","",IF(N175=0,0, VLOOKUP(A175,INDIRECT("'[" &amp;Info!$B$4&amp;"]"&amp;Info!$B$5&amp;"'!$A$6:$AY$1000"),51,0)))</f>
        <v/>
      </c>
      <c r="S175" s="15" t="str">
        <f ca="1">IF(N175="","",IF(N175=0,0,VLOOKUP(A175,INDIRECT("'[" &amp;Info!$B$4&amp;"]"&amp;Info!$B$5&amp;"'!$A$6:$Ai$1000"),35,0)))</f>
        <v/>
      </c>
      <c r="T175" s="7" t="str">
        <f ca="1">IF(N175="","",IF(N175=0,0, VLOOKUP(A175,INDIRECT("'[" &amp;Info!$B$4&amp;"]"&amp;Info!$B$5&amp;"'!$A$6:$Az$1000"),52,0)))</f>
        <v/>
      </c>
      <c r="U175" s="7" t="str">
        <f ca="1">IF(N175="","",IF(N175=0,0, VLOOKUP(A175,INDIRECT("'[" &amp;Info!$B$4&amp;"]"&amp;Info!$B$5&amp;"'!$A$6:$BA$1000"),53,0)))</f>
        <v/>
      </c>
      <c r="V175" s="16" t="str">
        <f ca="1">IF(N175="","",IF(N175=0,0, VLOOKUP(A175,INDIRECT("'[" &amp;Info!$B$4&amp;"]"&amp;Info!$B$5&amp;"'!$A$6:$BB$1000"),54,0)))</f>
        <v/>
      </c>
      <c r="W175" s="17" t="str">
        <f t="shared" ca="1" si="9"/>
        <v/>
      </c>
      <c r="X175" s="18" t="str">
        <f t="shared" ca="1" si="10"/>
        <v/>
      </c>
      <c r="Y175" s="19" t="str">
        <f t="shared" ca="1" si="11"/>
        <v/>
      </c>
      <c r="Z175" s="18" t="str">
        <f t="shared" ca="1" si="12"/>
        <v/>
      </c>
    </row>
    <row r="176" spans="1:26" x14ac:dyDescent="0.25">
      <c r="A176" s="8" t="str">
        <f ca="1">IFERROR( VLOOKUP(A175+1,INDIRECT("'[" &amp;Info!$B$4&amp;"]"&amp;Info!$B$5&amp;"'!$A$6:$A$1000"),1,0),"")</f>
        <v/>
      </c>
      <c r="B176" s="5" t="str">
        <f ca="1">IFERROR( IF(A176="","", VLOOKUP(A176,INDIRECT("'[" &amp;Info!$B$4&amp;"]"&amp;Info!$B$5&amp;"'!$A$6:$B$1000"),2,0)),"")</f>
        <v/>
      </c>
      <c r="C176" s="14" t="str">
        <f ca="1">IFERROR( IF(A176="","", VLOOKUP(A176,INDIRECT("'[" &amp;Info!$B$4&amp;"]"&amp;Info!$B$5&amp;"'!$A$6:$D$1000"),3,0)),"")</f>
        <v/>
      </c>
      <c r="D176" s="31" t="str">
        <f ca="1">IF(C176="","", VLOOKUP(A176,INDIRECT("'[" &amp;Info!$B$4&amp;"]"&amp;Info!$B$5&amp;"'!$A$6:$T$1000"),20,0))</f>
        <v/>
      </c>
      <c r="E176" s="6" t="str">
        <f ca="1">IF(D176="","", VLOOKUP(A176,INDIRECT("'[" &amp;Info!$B$4&amp;"]"&amp;Info!$B$5&amp;"'!$A$6:$U$1000"),21,0))</f>
        <v/>
      </c>
      <c r="F176" s="6" t="str">
        <f ca="1">IF(D176="","", VLOOKUP(A176,INDIRECT("'[" &amp;Info!$B$4&amp;"]"&amp;Info!$B$5&amp;"'!$A$6:$U$1000"),21,0))</f>
        <v/>
      </c>
      <c r="G176" s="6" t="str">
        <f ca="1">IF(D176="","", VLOOKUP(A176,INDIRECT("'[" &amp;Info!$B$4&amp;"]"&amp;Info!$B$5&amp;"'!$A$6:$V$1000"),22,0))</f>
        <v/>
      </c>
      <c r="H176" s="6" t="str">
        <f ca="1">IF(D176="","", VLOOKUP(A176,INDIRECT("'[" &amp;Info!$B$4&amp;"]"&amp;Info!$B$5&amp;"'!$A$6:$W$1000"),23,0))</f>
        <v/>
      </c>
      <c r="I176" s="6" t="str">
        <f ca="1">LOWER( IF(D176="","", VLOOKUP(A176,INDIRECT("'[" &amp;Info!$B$4&amp;"]"&amp;Info!$B$5&amp;"'!$A$6:$y$1000"),25,0)))</f>
        <v/>
      </c>
      <c r="J176" s="6" t="str">
        <f ca="1">IF(D176="","", VLOOKUP(A176,INDIRECT("'[" &amp;Info!$B$4&amp;"]"&amp;Info!$B$5&amp;"'!$A$6:$Z$1000"),26,0))</f>
        <v/>
      </c>
      <c r="K176" s="35" t="str">
        <f ca="1">IF(D176="","", VLOOKUP(A176,INDIRECT("'[" &amp;Info!$B$4&amp;"]"&amp;Info!$B$5&amp;"'!$A$6:$AA$1000"),27,0))</f>
        <v/>
      </c>
      <c r="L176" s="35" t="str">
        <f ca="1">IF(D176="","", VLOOKUP(A176,INDIRECT("'[" &amp;Info!$B$4&amp;"]"&amp;Info!$B$5&amp;"'!$A$6:$H$1000"),8,0))</f>
        <v/>
      </c>
      <c r="M176" s="35" t="str">
        <f ca="1">IF(D176="","", VLOOKUP(A176,INDIRECT("'[" &amp;Info!$B$4&amp;"]"&amp;Info!$B$5&amp;"'!$A$6:$F$1000"),6,0))</f>
        <v/>
      </c>
      <c r="N176" s="33" t="str">
        <f ca="1">IF(C176="","", VLOOKUP(A176,INDIRECT("'[" &amp;Info!$B$4&amp;"]"&amp;Info!$B$5&amp;"'!$A$6:$Au$1000"),47,0))</f>
        <v/>
      </c>
      <c r="O176" s="28" t="str">
        <f ca="1">IF(N176="","",IF(N176=0,0,VLOOKUP(A176,INDIRECT("'[" &amp;Info!$B$4&amp;"]"&amp;Info!$B$5&amp;"'!$A$6:$AH$1000"),34,0)))</f>
        <v/>
      </c>
      <c r="P176" s="9" t="str">
        <f ca="1">IF(N176="","",IF(N176=0,0,VLOOKUP(A176,INDIRECT("'[" &amp;Info!$B$4&amp;"]"&amp;Info!$B$5&amp;"'!$A$6:$AW$1000"),49,0)))</f>
        <v/>
      </c>
      <c r="Q176" s="9" t="str">
        <f ca="1">IF(N176="","",IF(N176=0,0, VLOOKUP(A176,INDIRECT("'[" &amp;Info!$B$4&amp;"]"&amp;Info!$B$5&amp;"'!$A$6:$AX$1000"),50,0)))</f>
        <v/>
      </c>
      <c r="R176" s="29" t="str">
        <f ca="1">IF(N176="","",IF(N176=0,0, VLOOKUP(A176,INDIRECT("'[" &amp;Info!$B$4&amp;"]"&amp;Info!$B$5&amp;"'!$A$6:$AY$1000"),51,0)))</f>
        <v/>
      </c>
      <c r="S176" s="15" t="str">
        <f ca="1">IF(N176="","",IF(N176=0,0,VLOOKUP(A176,INDIRECT("'[" &amp;Info!$B$4&amp;"]"&amp;Info!$B$5&amp;"'!$A$6:$Ai$1000"),35,0)))</f>
        <v/>
      </c>
      <c r="T176" s="7" t="str">
        <f ca="1">IF(N176="","",IF(N176=0,0, VLOOKUP(A176,INDIRECT("'[" &amp;Info!$B$4&amp;"]"&amp;Info!$B$5&amp;"'!$A$6:$Az$1000"),52,0)))</f>
        <v/>
      </c>
      <c r="U176" s="7" t="str">
        <f ca="1">IF(N176="","",IF(N176=0,0, VLOOKUP(A176,INDIRECT("'[" &amp;Info!$B$4&amp;"]"&amp;Info!$B$5&amp;"'!$A$6:$BA$1000"),53,0)))</f>
        <v/>
      </c>
      <c r="V176" s="16" t="str">
        <f ca="1">IF(N176="","",IF(N176=0,0, VLOOKUP(A176,INDIRECT("'[" &amp;Info!$B$4&amp;"]"&amp;Info!$B$5&amp;"'!$A$6:$BB$1000"),54,0)))</f>
        <v/>
      </c>
      <c r="W176" s="17" t="str">
        <f t="shared" ca="1" si="9"/>
        <v/>
      </c>
      <c r="X176" s="18" t="str">
        <f t="shared" ca="1" si="10"/>
        <v/>
      </c>
      <c r="Y176" s="19" t="str">
        <f t="shared" ca="1" si="11"/>
        <v/>
      </c>
      <c r="Z176" s="18" t="str">
        <f t="shared" ca="1" si="12"/>
        <v/>
      </c>
    </row>
    <row r="177" spans="1:26" x14ac:dyDescent="0.25">
      <c r="A177" s="8" t="str">
        <f ca="1">IFERROR( VLOOKUP(A176+1,INDIRECT("'[" &amp;Info!$B$4&amp;"]"&amp;Info!$B$5&amp;"'!$A$6:$A$1000"),1,0),"")</f>
        <v/>
      </c>
      <c r="B177" s="5" t="str">
        <f ca="1">IFERROR( IF(A177="","", VLOOKUP(A177,INDIRECT("'[" &amp;Info!$B$4&amp;"]"&amp;Info!$B$5&amp;"'!$A$6:$B$1000"),2,0)),"")</f>
        <v/>
      </c>
      <c r="C177" s="14" t="str">
        <f ca="1">IFERROR( IF(A177="","", VLOOKUP(A177,INDIRECT("'[" &amp;Info!$B$4&amp;"]"&amp;Info!$B$5&amp;"'!$A$6:$D$1000"),3,0)),"")</f>
        <v/>
      </c>
      <c r="D177" s="31" t="str">
        <f ca="1">IF(C177="","", VLOOKUP(A177,INDIRECT("'[" &amp;Info!$B$4&amp;"]"&amp;Info!$B$5&amp;"'!$A$6:$T$1000"),20,0))</f>
        <v/>
      </c>
      <c r="E177" s="6" t="str">
        <f ca="1">IF(D177="","", VLOOKUP(A177,INDIRECT("'[" &amp;Info!$B$4&amp;"]"&amp;Info!$B$5&amp;"'!$A$6:$U$1000"),21,0))</f>
        <v/>
      </c>
      <c r="F177" s="6" t="str">
        <f ca="1">IF(D177="","", VLOOKUP(A177,INDIRECT("'[" &amp;Info!$B$4&amp;"]"&amp;Info!$B$5&amp;"'!$A$6:$U$1000"),21,0))</f>
        <v/>
      </c>
      <c r="G177" s="6" t="str">
        <f ca="1">IF(D177="","", VLOOKUP(A177,INDIRECT("'[" &amp;Info!$B$4&amp;"]"&amp;Info!$B$5&amp;"'!$A$6:$V$1000"),22,0))</f>
        <v/>
      </c>
      <c r="H177" s="6" t="str">
        <f ca="1">IF(D177="","", VLOOKUP(A177,INDIRECT("'[" &amp;Info!$B$4&amp;"]"&amp;Info!$B$5&amp;"'!$A$6:$W$1000"),23,0))</f>
        <v/>
      </c>
      <c r="I177" s="6" t="str">
        <f ca="1">LOWER( IF(D177="","", VLOOKUP(A177,INDIRECT("'[" &amp;Info!$B$4&amp;"]"&amp;Info!$B$5&amp;"'!$A$6:$y$1000"),25,0)))</f>
        <v/>
      </c>
      <c r="J177" s="6" t="str">
        <f ca="1">IF(D177="","", VLOOKUP(A177,INDIRECT("'[" &amp;Info!$B$4&amp;"]"&amp;Info!$B$5&amp;"'!$A$6:$Z$1000"),26,0))</f>
        <v/>
      </c>
      <c r="K177" s="35" t="str">
        <f ca="1">IF(D177="","", VLOOKUP(A177,INDIRECT("'[" &amp;Info!$B$4&amp;"]"&amp;Info!$B$5&amp;"'!$A$6:$AA$1000"),27,0))</f>
        <v/>
      </c>
      <c r="L177" s="35" t="str">
        <f ca="1">IF(D177="","", VLOOKUP(A177,INDIRECT("'[" &amp;Info!$B$4&amp;"]"&amp;Info!$B$5&amp;"'!$A$6:$H$1000"),8,0))</f>
        <v/>
      </c>
      <c r="M177" s="35" t="str">
        <f ca="1">IF(D177="","", VLOOKUP(A177,INDIRECT("'[" &amp;Info!$B$4&amp;"]"&amp;Info!$B$5&amp;"'!$A$6:$F$1000"),6,0))</f>
        <v/>
      </c>
      <c r="N177" s="33" t="str">
        <f ca="1">IF(C177="","", VLOOKUP(A177,INDIRECT("'[" &amp;Info!$B$4&amp;"]"&amp;Info!$B$5&amp;"'!$A$6:$Au$1000"),47,0))</f>
        <v/>
      </c>
      <c r="O177" s="28" t="str">
        <f ca="1">IF(N177="","",IF(N177=0,0,VLOOKUP(A177,INDIRECT("'[" &amp;Info!$B$4&amp;"]"&amp;Info!$B$5&amp;"'!$A$6:$AH$1000"),34,0)))</f>
        <v/>
      </c>
      <c r="P177" s="9" t="str">
        <f ca="1">IF(N177="","",IF(N177=0,0,VLOOKUP(A177,INDIRECT("'[" &amp;Info!$B$4&amp;"]"&amp;Info!$B$5&amp;"'!$A$6:$AW$1000"),49,0)))</f>
        <v/>
      </c>
      <c r="Q177" s="9" t="str">
        <f ca="1">IF(N177="","",IF(N177=0,0, VLOOKUP(A177,INDIRECT("'[" &amp;Info!$B$4&amp;"]"&amp;Info!$B$5&amp;"'!$A$6:$AX$1000"),50,0)))</f>
        <v/>
      </c>
      <c r="R177" s="29" t="str">
        <f ca="1">IF(N177="","",IF(N177=0,0, VLOOKUP(A177,INDIRECT("'[" &amp;Info!$B$4&amp;"]"&amp;Info!$B$5&amp;"'!$A$6:$AY$1000"),51,0)))</f>
        <v/>
      </c>
      <c r="S177" s="15" t="str">
        <f ca="1">IF(N177="","",IF(N177=0,0,VLOOKUP(A177,INDIRECT("'[" &amp;Info!$B$4&amp;"]"&amp;Info!$B$5&amp;"'!$A$6:$Ai$1000"),35,0)))</f>
        <v/>
      </c>
      <c r="T177" s="7" t="str">
        <f ca="1">IF(N177="","",IF(N177=0,0, VLOOKUP(A177,INDIRECT("'[" &amp;Info!$B$4&amp;"]"&amp;Info!$B$5&amp;"'!$A$6:$Az$1000"),52,0)))</f>
        <v/>
      </c>
      <c r="U177" s="7" t="str">
        <f ca="1">IF(N177="","",IF(N177=0,0, VLOOKUP(A177,INDIRECT("'[" &amp;Info!$B$4&amp;"]"&amp;Info!$B$5&amp;"'!$A$6:$BA$1000"),53,0)))</f>
        <v/>
      </c>
      <c r="V177" s="16" t="str">
        <f ca="1">IF(N177="","",IF(N177=0,0, VLOOKUP(A177,INDIRECT("'[" &amp;Info!$B$4&amp;"]"&amp;Info!$B$5&amp;"'!$A$6:$BB$1000"),54,0)))</f>
        <v/>
      </c>
      <c r="W177" s="17" t="str">
        <f t="shared" ca="1" si="9"/>
        <v/>
      </c>
      <c r="X177" s="18" t="str">
        <f t="shared" ca="1" si="10"/>
        <v/>
      </c>
      <c r="Y177" s="19" t="str">
        <f t="shared" ca="1" si="11"/>
        <v/>
      </c>
      <c r="Z177" s="18" t="str">
        <f t="shared" ca="1" si="12"/>
        <v/>
      </c>
    </row>
    <row r="178" spans="1:26" x14ac:dyDescent="0.25">
      <c r="A178" s="8" t="str">
        <f ca="1">IFERROR( VLOOKUP(A177+1,INDIRECT("'[" &amp;Info!$B$4&amp;"]"&amp;Info!$B$5&amp;"'!$A$6:$A$1000"),1,0),"")</f>
        <v/>
      </c>
      <c r="B178" s="5" t="str">
        <f ca="1">IFERROR( IF(A178="","", VLOOKUP(A178,INDIRECT("'[" &amp;Info!$B$4&amp;"]"&amp;Info!$B$5&amp;"'!$A$6:$B$1000"),2,0)),"")</f>
        <v/>
      </c>
      <c r="C178" s="14" t="str">
        <f ca="1">IFERROR( IF(A178="","", VLOOKUP(A178,INDIRECT("'[" &amp;Info!$B$4&amp;"]"&amp;Info!$B$5&amp;"'!$A$6:$D$1000"),3,0)),"")</f>
        <v/>
      </c>
      <c r="D178" s="31" t="str">
        <f ca="1">IF(C178="","", VLOOKUP(A178,INDIRECT("'[" &amp;Info!$B$4&amp;"]"&amp;Info!$B$5&amp;"'!$A$6:$T$1000"),20,0))</f>
        <v/>
      </c>
      <c r="E178" s="6" t="str">
        <f ca="1">IF(D178="","", VLOOKUP(A178,INDIRECT("'[" &amp;Info!$B$4&amp;"]"&amp;Info!$B$5&amp;"'!$A$6:$U$1000"),21,0))</f>
        <v/>
      </c>
      <c r="F178" s="6" t="str">
        <f ca="1">IF(D178="","", VLOOKUP(A178,INDIRECT("'[" &amp;Info!$B$4&amp;"]"&amp;Info!$B$5&amp;"'!$A$6:$U$1000"),21,0))</f>
        <v/>
      </c>
      <c r="G178" s="6" t="str">
        <f ca="1">IF(D178="","", VLOOKUP(A178,INDIRECT("'[" &amp;Info!$B$4&amp;"]"&amp;Info!$B$5&amp;"'!$A$6:$V$1000"),22,0))</f>
        <v/>
      </c>
      <c r="H178" s="6" t="str">
        <f ca="1">IF(D178="","", VLOOKUP(A178,INDIRECT("'[" &amp;Info!$B$4&amp;"]"&amp;Info!$B$5&amp;"'!$A$6:$W$1000"),23,0))</f>
        <v/>
      </c>
      <c r="I178" s="6" t="str">
        <f ca="1">LOWER( IF(D178="","", VLOOKUP(A178,INDIRECT("'[" &amp;Info!$B$4&amp;"]"&amp;Info!$B$5&amp;"'!$A$6:$y$1000"),25,0)))</f>
        <v/>
      </c>
      <c r="J178" s="6" t="str">
        <f ca="1">IF(D178="","", VLOOKUP(A178,INDIRECT("'[" &amp;Info!$B$4&amp;"]"&amp;Info!$B$5&amp;"'!$A$6:$Z$1000"),26,0))</f>
        <v/>
      </c>
      <c r="K178" s="35" t="str">
        <f ca="1">IF(D178="","", VLOOKUP(A178,INDIRECT("'[" &amp;Info!$B$4&amp;"]"&amp;Info!$B$5&amp;"'!$A$6:$AA$1000"),27,0))</f>
        <v/>
      </c>
      <c r="L178" s="35" t="str">
        <f ca="1">IF(D178="","", VLOOKUP(A178,INDIRECT("'[" &amp;Info!$B$4&amp;"]"&amp;Info!$B$5&amp;"'!$A$6:$H$1000"),8,0))</f>
        <v/>
      </c>
      <c r="M178" s="35" t="str">
        <f ca="1">IF(D178="","", VLOOKUP(A178,INDIRECT("'[" &amp;Info!$B$4&amp;"]"&amp;Info!$B$5&amp;"'!$A$6:$F$1000"),6,0))</f>
        <v/>
      </c>
      <c r="N178" s="33" t="str">
        <f ca="1">IF(C178="","", VLOOKUP(A178,INDIRECT("'[" &amp;Info!$B$4&amp;"]"&amp;Info!$B$5&amp;"'!$A$6:$Au$1000"),47,0))</f>
        <v/>
      </c>
      <c r="O178" s="28" t="str">
        <f ca="1">IF(N178="","",IF(N178=0,0,VLOOKUP(A178,INDIRECT("'[" &amp;Info!$B$4&amp;"]"&amp;Info!$B$5&amp;"'!$A$6:$AH$1000"),34,0)))</f>
        <v/>
      </c>
      <c r="P178" s="9" t="str">
        <f ca="1">IF(N178="","",IF(N178=0,0,VLOOKUP(A178,INDIRECT("'[" &amp;Info!$B$4&amp;"]"&amp;Info!$B$5&amp;"'!$A$6:$AW$1000"),49,0)))</f>
        <v/>
      </c>
      <c r="Q178" s="9" t="str">
        <f ca="1">IF(N178="","",IF(N178=0,0, VLOOKUP(A178,INDIRECT("'[" &amp;Info!$B$4&amp;"]"&amp;Info!$B$5&amp;"'!$A$6:$AX$1000"),50,0)))</f>
        <v/>
      </c>
      <c r="R178" s="29" t="str">
        <f ca="1">IF(N178="","",IF(N178=0,0, VLOOKUP(A178,INDIRECT("'[" &amp;Info!$B$4&amp;"]"&amp;Info!$B$5&amp;"'!$A$6:$AY$1000"),51,0)))</f>
        <v/>
      </c>
      <c r="S178" s="15" t="str">
        <f ca="1">IF(N178="","",IF(N178=0,0,VLOOKUP(A178,INDIRECT("'[" &amp;Info!$B$4&amp;"]"&amp;Info!$B$5&amp;"'!$A$6:$Ai$1000"),35,0)))</f>
        <v/>
      </c>
      <c r="T178" s="7" t="str">
        <f ca="1">IF(N178="","",IF(N178=0,0, VLOOKUP(A178,INDIRECT("'[" &amp;Info!$B$4&amp;"]"&amp;Info!$B$5&amp;"'!$A$6:$Az$1000"),52,0)))</f>
        <v/>
      </c>
      <c r="U178" s="7" t="str">
        <f ca="1">IF(N178="","",IF(N178=0,0, VLOOKUP(A178,INDIRECT("'[" &amp;Info!$B$4&amp;"]"&amp;Info!$B$5&amp;"'!$A$6:$BA$1000"),53,0)))</f>
        <v/>
      </c>
      <c r="V178" s="16" t="str">
        <f ca="1">IF(N178="","",IF(N178=0,0, VLOOKUP(A178,INDIRECT("'[" &amp;Info!$B$4&amp;"]"&amp;Info!$B$5&amp;"'!$A$6:$BB$1000"),54,0)))</f>
        <v/>
      </c>
      <c r="W178" s="17" t="str">
        <f t="shared" ca="1" si="9"/>
        <v/>
      </c>
      <c r="X178" s="18" t="str">
        <f t="shared" ca="1" si="10"/>
        <v/>
      </c>
      <c r="Y178" s="19" t="str">
        <f t="shared" ca="1" si="11"/>
        <v/>
      </c>
      <c r="Z178" s="18" t="str">
        <f t="shared" ca="1" si="12"/>
        <v/>
      </c>
    </row>
    <row r="179" spans="1:26" x14ac:dyDescent="0.25">
      <c r="A179" s="8" t="str">
        <f ca="1">IFERROR( VLOOKUP(A178+1,INDIRECT("'[" &amp;Info!$B$4&amp;"]"&amp;Info!$B$5&amp;"'!$A$6:$A$1000"),1,0),"")</f>
        <v/>
      </c>
      <c r="B179" s="5" t="str">
        <f ca="1">IFERROR( IF(A179="","", VLOOKUP(A179,INDIRECT("'[" &amp;Info!$B$4&amp;"]"&amp;Info!$B$5&amp;"'!$A$6:$B$1000"),2,0)),"")</f>
        <v/>
      </c>
      <c r="C179" s="14" t="str">
        <f ca="1">IFERROR( IF(A179="","", VLOOKUP(A179,INDIRECT("'[" &amp;Info!$B$4&amp;"]"&amp;Info!$B$5&amp;"'!$A$6:$D$1000"),3,0)),"")</f>
        <v/>
      </c>
      <c r="D179" s="31" t="str">
        <f ca="1">IF(C179="","", VLOOKUP(A179,INDIRECT("'[" &amp;Info!$B$4&amp;"]"&amp;Info!$B$5&amp;"'!$A$6:$T$1000"),20,0))</f>
        <v/>
      </c>
      <c r="E179" s="6" t="str">
        <f ca="1">IF(D179="","", VLOOKUP(A179,INDIRECT("'[" &amp;Info!$B$4&amp;"]"&amp;Info!$B$5&amp;"'!$A$6:$U$1000"),21,0))</f>
        <v/>
      </c>
      <c r="F179" s="6" t="str">
        <f ca="1">IF(D179="","", VLOOKUP(A179,INDIRECT("'[" &amp;Info!$B$4&amp;"]"&amp;Info!$B$5&amp;"'!$A$6:$U$1000"),21,0))</f>
        <v/>
      </c>
      <c r="G179" s="6" t="str">
        <f ca="1">IF(D179="","", VLOOKUP(A179,INDIRECT("'[" &amp;Info!$B$4&amp;"]"&amp;Info!$B$5&amp;"'!$A$6:$V$1000"),22,0))</f>
        <v/>
      </c>
      <c r="H179" s="6" t="str">
        <f ca="1">IF(D179="","", VLOOKUP(A179,INDIRECT("'[" &amp;Info!$B$4&amp;"]"&amp;Info!$B$5&amp;"'!$A$6:$W$1000"),23,0))</f>
        <v/>
      </c>
      <c r="I179" s="6" t="str">
        <f ca="1">LOWER( IF(D179="","", VLOOKUP(A179,INDIRECT("'[" &amp;Info!$B$4&amp;"]"&amp;Info!$B$5&amp;"'!$A$6:$y$1000"),25,0)))</f>
        <v/>
      </c>
      <c r="J179" s="6" t="str">
        <f ca="1">IF(D179="","", VLOOKUP(A179,INDIRECT("'[" &amp;Info!$B$4&amp;"]"&amp;Info!$B$5&amp;"'!$A$6:$Z$1000"),26,0))</f>
        <v/>
      </c>
      <c r="K179" s="35" t="str">
        <f ca="1">IF(D179="","", VLOOKUP(A179,INDIRECT("'[" &amp;Info!$B$4&amp;"]"&amp;Info!$B$5&amp;"'!$A$6:$AA$1000"),27,0))</f>
        <v/>
      </c>
      <c r="L179" s="35" t="str">
        <f ca="1">IF(D179="","", VLOOKUP(A179,INDIRECT("'[" &amp;Info!$B$4&amp;"]"&amp;Info!$B$5&amp;"'!$A$6:$H$1000"),8,0))</f>
        <v/>
      </c>
      <c r="M179" s="35" t="str">
        <f ca="1">IF(D179="","", VLOOKUP(A179,INDIRECT("'[" &amp;Info!$B$4&amp;"]"&amp;Info!$B$5&amp;"'!$A$6:$F$1000"),6,0))</f>
        <v/>
      </c>
      <c r="N179" s="33" t="str">
        <f ca="1">IF(C179="","", VLOOKUP(A179,INDIRECT("'[" &amp;Info!$B$4&amp;"]"&amp;Info!$B$5&amp;"'!$A$6:$Au$1000"),47,0))</f>
        <v/>
      </c>
      <c r="O179" s="28" t="str">
        <f ca="1">IF(N179="","",IF(N179=0,0,VLOOKUP(A179,INDIRECT("'[" &amp;Info!$B$4&amp;"]"&amp;Info!$B$5&amp;"'!$A$6:$AH$1000"),34,0)))</f>
        <v/>
      </c>
      <c r="P179" s="9" t="str">
        <f ca="1">IF(N179="","",IF(N179=0,0,VLOOKUP(A179,INDIRECT("'[" &amp;Info!$B$4&amp;"]"&amp;Info!$B$5&amp;"'!$A$6:$AW$1000"),49,0)))</f>
        <v/>
      </c>
      <c r="Q179" s="9" t="str">
        <f ca="1">IF(N179="","",IF(N179=0,0, VLOOKUP(A179,INDIRECT("'[" &amp;Info!$B$4&amp;"]"&amp;Info!$B$5&amp;"'!$A$6:$AX$1000"),50,0)))</f>
        <v/>
      </c>
      <c r="R179" s="29" t="str">
        <f ca="1">IF(N179="","",IF(N179=0,0, VLOOKUP(A179,INDIRECT("'[" &amp;Info!$B$4&amp;"]"&amp;Info!$B$5&amp;"'!$A$6:$AY$1000"),51,0)))</f>
        <v/>
      </c>
      <c r="S179" s="15" t="str">
        <f ca="1">IF(N179="","",IF(N179=0,0,VLOOKUP(A179,INDIRECT("'[" &amp;Info!$B$4&amp;"]"&amp;Info!$B$5&amp;"'!$A$6:$Ai$1000"),35,0)))</f>
        <v/>
      </c>
      <c r="T179" s="7" t="str">
        <f ca="1">IF(N179="","",IF(N179=0,0, VLOOKUP(A179,INDIRECT("'[" &amp;Info!$B$4&amp;"]"&amp;Info!$B$5&amp;"'!$A$6:$Az$1000"),52,0)))</f>
        <v/>
      </c>
      <c r="U179" s="7" t="str">
        <f ca="1">IF(N179="","",IF(N179=0,0, VLOOKUP(A179,INDIRECT("'[" &amp;Info!$B$4&amp;"]"&amp;Info!$B$5&amp;"'!$A$6:$BA$1000"),53,0)))</f>
        <v/>
      </c>
      <c r="V179" s="16" t="str">
        <f ca="1">IF(N179="","",IF(N179=0,0, VLOOKUP(A179,INDIRECT("'[" &amp;Info!$B$4&amp;"]"&amp;Info!$B$5&amp;"'!$A$6:$BB$1000"),54,0)))</f>
        <v/>
      </c>
      <c r="W179" s="17" t="str">
        <f t="shared" ca="1" si="9"/>
        <v/>
      </c>
      <c r="X179" s="18" t="str">
        <f t="shared" ca="1" si="10"/>
        <v/>
      </c>
      <c r="Y179" s="19" t="str">
        <f t="shared" ca="1" si="11"/>
        <v/>
      </c>
      <c r="Z179" s="18" t="str">
        <f t="shared" ca="1" si="12"/>
        <v/>
      </c>
    </row>
    <row r="180" spans="1:26" x14ac:dyDescent="0.25">
      <c r="A180" s="8" t="str">
        <f ca="1">IFERROR( VLOOKUP(A179+1,INDIRECT("'[" &amp;Info!$B$4&amp;"]"&amp;Info!$B$5&amp;"'!$A$6:$A$1000"),1,0),"")</f>
        <v/>
      </c>
      <c r="B180" s="5" t="str">
        <f ca="1">IFERROR( IF(A180="","", VLOOKUP(A180,INDIRECT("'[" &amp;Info!$B$4&amp;"]"&amp;Info!$B$5&amp;"'!$A$6:$B$1000"),2,0)),"")</f>
        <v/>
      </c>
      <c r="C180" s="14" t="str">
        <f ca="1">IFERROR( IF(A180="","", VLOOKUP(A180,INDIRECT("'[" &amp;Info!$B$4&amp;"]"&amp;Info!$B$5&amp;"'!$A$6:$D$1000"),3,0)),"")</f>
        <v/>
      </c>
      <c r="D180" s="31" t="str">
        <f ca="1">IF(C180="","", VLOOKUP(A180,INDIRECT("'[" &amp;Info!$B$4&amp;"]"&amp;Info!$B$5&amp;"'!$A$6:$T$1000"),20,0))</f>
        <v/>
      </c>
      <c r="E180" s="6" t="str">
        <f ca="1">IF(D180="","", VLOOKUP(A180,INDIRECT("'[" &amp;Info!$B$4&amp;"]"&amp;Info!$B$5&amp;"'!$A$6:$U$1000"),21,0))</f>
        <v/>
      </c>
      <c r="F180" s="6" t="str">
        <f ca="1">IF(D180="","", VLOOKUP(A180,INDIRECT("'[" &amp;Info!$B$4&amp;"]"&amp;Info!$B$5&amp;"'!$A$6:$U$1000"),21,0))</f>
        <v/>
      </c>
      <c r="G180" s="6" t="str">
        <f ca="1">IF(D180="","", VLOOKUP(A180,INDIRECT("'[" &amp;Info!$B$4&amp;"]"&amp;Info!$B$5&amp;"'!$A$6:$V$1000"),22,0))</f>
        <v/>
      </c>
      <c r="H180" s="6" t="str">
        <f ca="1">IF(D180="","", VLOOKUP(A180,INDIRECT("'[" &amp;Info!$B$4&amp;"]"&amp;Info!$B$5&amp;"'!$A$6:$W$1000"),23,0))</f>
        <v/>
      </c>
      <c r="I180" s="6" t="str">
        <f ca="1">LOWER( IF(D180="","", VLOOKUP(A180,INDIRECT("'[" &amp;Info!$B$4&amp;"]"&amp;Info!$B$5&amp;"'!$A$6:$y$1000"),25,0)))</f>
        <v/>
      </c>
      <c r="J180" s="6" t="str">
        <f ca="1">IF(D180="","", VLOOKUP(A180,INDIRECT("'[" &amp;Info!$B$4&amp;"]"&amp;Info!$B$5&amp;"'!$A$6:$Z$1000"),26,0))</f>
        <v/>
      </c>
      <c r="K180" s="35" t="str">
        <f ca="1">IF(D180="","", VLOOKUP(A180,INDIRECT("'[" &amp;Info!$B$4&amp;"]"&amp;Info!$B$5&amp;"'!$A$6:$AA$1000"),27,0))</f>
        <v/>
      </c>
      <c r="L180" s="35" t="str">
        <f ca="1">IF(D180="","", VLOOKUP(A180,INDIRECT("'[" &amp;Info!$B$4&amp;"]"&amp;Info!$B$5&amp;"'!$A$6:$H$1000"),8,0))</f>
        <v/>
      </c>
      <c r="M180" s="35" t="str">
        <f ca="1">IF(D180="","", VLOOKUP(A180,INDIRECT("'[" &amp;Info!$B$4&amp;"]"&amp;Info!$B$5&amp;"'!$A$6:$F$1000"),6,0))</f>
        <v/>
      </c>
      <c r="N180" s="33" t="str">
        <f ca="1">IF(C180="","", VLOOKUP(A180,INDIRECT("'[" &amp;Info!$B$4&amp;"]"&amp;Info!$B$5&amp;"'!$A$6:$Au$1000"),47,0))</f>
        <v/>
      </c>
      <c r="O180" s="28" t="str">
        <f ca="1">IF(N180="","",IF(N180=0,0,VLOOKUP(A180,INDIRECT("'[" &amp;Info!$B$4&amp;"]"&amp;Info!$B$5&amp;"'!$A$6:$AH$1000"),34,0)))</f>
        <v/>
      </c>
      <c r="P180" s="9" t="str">
        <f ca="1">IF(N180="","",IF(N180=0,0,VLOOKUP(A180,INDIRECT("'[" &amp;Info!$B$4&amp;"]"&amp;Info!$B$5&amp;"'!$A$6:$AW$1000"),49,0)))</f>
        <v/>
      </c>
      <c r="Q180" s="9" t="str">
        <f ca="1">IF(N180="","",IF(N180=0,0, VLOOKUP(A180,INDIRECT("'[" &amp;Info!$B$4&amp;"]"&amp;Info!$B$5&amp;"'!$A$6:$AX$1000"),50,0)))</f>
        <v/>
      </c>
      <c r="R180" s="29" t="str">
        <f ca="1">IF(N180="","",IF(N180=0,0, VLOOKUP(A180,INDIRECT("'[" &amp;Info!$B$4&amp;"]"&amp;Info!$B$5&amp;"'!$A$6:$AY$1000"),51,0)))</f>
        <v/>
      </c>
      <c r="S180" s="15" t="str">
        <f ca="1">IF(N180="","",IF(N180=0,0,VLOOKUP(A180,INDIRECT("'[" &amp;Info!$B$4&amp;"]"&amp;Info!$B$5&amp;"'!$A$6:$Ai$1000"),35,0)))</f>
        <v/>
      </c>
      <c r="T180" s="7" t="str">
        <f ca="1">IF(N180="","",IF(N180=0,0, VLOOKUP(A180,INDIRECT("'[" &amp;Info!$B$4&amp;"]"&amp;Info!$B$5&amp;"'!$A$6:$Az$1000"),52,0)))</f>
        <v/>
      </c>
      <c r="U180" s="7" t="str">
        <f ca="1">IF(N180="","",IF(N180=0,0, VLOOKUP(A180,INDIRECT("'[" &amp;Info!$B$4&amp;"]"&amp;Info!$B$5&amp;"'!$A$6:$BA$1000"),53,0)))</f>
        <v/>
      </c>
      <c r="V180" s="16" t="str">
        <f ca="1">IF(N180="","",IF(N180=0,0, VLOOKUP(A180,INDIRECT("'[" &amp;Info!$B$4&amp;"]"&amp;Info!$B$5&amp;"'!$A$6:$BB$1000"),54,0)))</f>
        <v/>
      </c>
      <c r="W180" s="17" t="str">
        <f t="shared" ca="1" si="9"/>
        <v/>
      </c>
      <c r="X180" s="18" t="str">
        <f t="shared" ca="1" si="10"/>
        <v/>
      </c>
      <c r="Y180" s="19" t="str">
        <f t="shared" ca="1" si="11"/>
        <v/>
      </c>
      <c r="Z180" s="18" t="str">
        <f t="shared" ca="1" si="12"/>
        <v/>
      </c>
    </row>
    <row r="181" spans="1:26" x14ac:dyDescent="0.25">
      <c r="A181" s="8" t="str">
        <f ca="1">IFERROR( VLOOKUP(A180+1,INDIRECT("'[" &amp;Info!$B$4&amp;"]"&amp;Info!$B$5&amp;"'!$A$6:$A$1000"),1,0),"")</f>
        <v/>
      </c>
      <c r="B181" s="5" t="str">
        <f ca="1">IFERROR( IF(A181="","", VLOOKUP(A181,INDIRECT("'[" &amp;Info!$B$4&amp;"]"&amp;Info!$B$5&amp;"'!$A$6:$B$1000"),2,0)),"")</f>
        <v/>
      </c>
      <c r="C181" s="14" t="str">
        <f ca="1">IFERROR( IF(A181="","", VLOOKUP(A181,INDIRECT("'[" &amp;Info!$B$4&amp;"]"&amp;Info!$B$5&amp;"'!$A$6:$D$1000"),3,0)),"")</f>
        <v/>
      </c>
      <c r="D181" s="31" t="str">
        <f ca="1">IF(C181="","", VLOOKUP(A181,INDIRECT("'[" &amp;Info!$B$4&amp;"]"&amp;Info!$B$5&amp;"'!$A$6:$T$1000"),20,0))</f>
        <v/>
      </c>
      <c r="E181" s="6" t="str">
        <f ca="1">IF(D181="","", VLOOKUP(A181,INDIRECT("'[" &amp;Info!$B$4&amp;"]"&amp;Info!$B$5&amp;"'!$A$6:$U$1000"),21,0))</f>
        <v/>
      </c>
      <c r="F181" s="6" t="str">
        <f ca="1">IF(D181="","", VLOOKUP(A181,INDIRECT("'[" &amp;Info!$B$4&amp;"]"&amp;Info!$B$5&amp;"'!$A$6:$U$1000"),21,0))</f>
        <v/>
      </c>
      <c r="G181" s="6" t="str">
        <f ca="1">IF(D181="","", VLOOKUP(A181,INDIRECT("'[" &amp;Info!$B$4&amp;"]"&amp;Info!$B$5&amp;"'!$A$6:$V$1000"),22,0))</f>
        <v/>
      </c>
      <c r="H181" s="6" t="str">
        <f ca="1">IF(D181="","", VLOOKUP(A181,INDIRECT("'[" &amp;Info!$B$4&amp;"]"&amp;Info!$B$5&amp;"'!$A$6:$W$1000"),23,0))</f>
        <v/>
      </c>
      <c r="I181" s="6" t="str">
        <f ca="1">LOWER( IF(D181="","", VLOOKUP(A181,INDIRECT("'[" &amp;Info!$B$4&amp;"]"&amp;Info!$B$5&amp;"'!$A$6:$y$1000"),25,0)))</f>
        <v/>
      </c>
      <c r="J181" s="6" t="str">
        <f ca="1">IF(D181="","", VLOOKUP(A181,INDIRECT("'[" &amp;Info!$B$4&amp;"]"&amp;Info!$B$5&amp;"'!$A$6:$Z$1000"),26,0))</f>
        <v/>
      </c>
      <c r="K181" s="35" t="str">
        <f ca="1">IF(D181="","", VLOOKUP(A181,INDIRECT("'[" &amp;Info!$B$4&amp;"]"&amp;Info!$B$5&amp;"'!$A$6:$AA$1000"),27,0))</f>
        <v/>
      </c>
      <c r="L181" s="35" t="str">
        <f ca="1">IF(D181="","", VLOOKUP(A181,INDIRECT("'[" &amp;Info!$B$4&amp;"]"&amp;Info!$B$5&amp;"'!$A$6:$H$1000"),8,0))</f>
        <v/>
      </c>
      <c r="M181" s="35" t="str">
        <f ca="1">IF(D181="","", VLOOKUP(A181,INDIRECT("'[" &amp;Info!$B$4&amp;"]"&amp;Info!$B$5&amp;"'!$A$6:$F$1000"),6,0))</f>
        <v/>
      </c>
      <c r="N181" s="33" t="str">
        <f ca="1">IF(C181="","", VLOOKUP(A181,INDIRECT("'[" &amp;Info!$B$4&amp;"]"&amp;Info!$B$5&amp;"'!$A$6:$Au$1000"),47,0))</f>
        <v/>
      </c>
      <c r="O181" s="28" t="str">
        <f ca="1">IF(N181="","",IF(N181=0,0,VLOOKUP(A181,INDIRECT("'[" &amp;Info!$B$4&amp;"]"&amp;Info!$B$5&amp;"'!$A$6:$AH$1000"),34,0)))</f>
        <v/>
      </c>
      <c r="P181" s="9" t="str">
        <f ca="1">IF(N181="","",IF(N181=0,0,VLOOKUP(A181,INDIRECT("'[" &amp;Info!$B$4&amp;"]"&amp;Info!$B$5&amp;"'!$A$6:$AW$1000"),49,0)))</f>
        <v/>
      </c>
      <c r="Q181" s="9" t="str">
        <f ca="1">IF(N181="","",IF(N181=0,0, VLOOKUP(A181,INDIRECT("'[" &amp;Info!$B$4&amp;"]"&amp;Info!$B$5&amp;"'!$A$6:$AX$1000"),50,0)))</f>
        <v/>
      </c>
      <c r="R181" s="29" t="str">
        <f ca="1">IF(N181="","",IF(N181=0,0, VLOOKUP(A181,INDIRECT("'[" &amp;Info!$B$4&amp;"]"&amp;Info!$B$5&amp;"'!$A$6:$AY$1000"),51,0)))</f>
        <v/>
      </c>
      <c r="S181" s="15" t="str">
        <f ca="1">IF(N181="","",IF(N181=0,0,VLOOKUP(A181,INDIRECT("'[" &amp;Info!$B$4&amp;"]"&amp;Info!$B$5&amp;"'!$A$6:$Ai$1000"),35,0)))</f>
        <v/>
      </c>
      <c r="T181" s="7" t="str">
        <f ca="1">IF(N181="","",IF(N181=0,0, VLOOKUP(A181,INDIRECT("'[" &amp;Info!$B$4&amp;"]"&amp;Info!$B$5&amp;"'!$A$6:$Az$1000"),52,0)))</f>
        <v/>
      </c>
      <c r="U181" s="7" t="str">
        <f ca="1">IF(N181="","",IF(N181=0,0, VLOOKUP(A181,INDIRECT("'[" &amp;Info!$B$4&amp;"]"&amp;Info!$B$5&amp;"'!$A$6:$BA$1000"),53,0)))</f>
        <v/>
      </c>
      <c r="V181" s="16" t="str">
        <f ca="1">IF(N181="","",IF(N181=0,0, VLOOKUP(A181,INDIRECT("'[" &amp;Info!$B$4&amp;"]"&amp;Info!$B$5&amp;"'!$A$6:$BB$1000"),54,0)))</f>
        <v/>
      </c>
      <c r="W181" s="17" t="str">
        <f t="shared" ca="1" si="9"/>
        <v/>
      </c>
      <c r="X181" s="18" t="str">
        <f t="shared" ca="1" si="10"/>
        <v/>
      </c>
      <c r="Y181" s="19" t="str">
        <f t="shared" ca="1" si="11"/>
        <v/>
      </c>
      <c r="Z181" s="18" t="str">
        <f t="shared" ca="1" si="12"/>
        <v/>
      </c>
    </row>
    <row r="182" spans="1:26" x14ac:dyDescent="0.25">
      <c r="A182" s="8" t="str">
        <f ca="1">IFERROR( VLOOKUP(A181+1,INDIRECT("'[" &amp;Info!$B$4&amp;"]"&amp;Info!$B$5&amp;"'!$A$6:$A$1000"),1,0),"")</f>
        <v/>
      </c>
      <c r="B182" s="5" t="str">
        <f ca="1">IFERROR( IF(A182="","", VLOOKUP(A182,INDIRECT("'[" &amp;Info!$B$4&amp;"]"&amp;Info!$B$5&amp;"'!$A$6:$B$1000"),2,0)),"")</f>
        <v/>
      </c>
      <c r="C182" s="14" t="str">
        <f ca="1">IFERROR( IF(A182="","", VLOOKUP(A182,INDIRECT("'[" &amp;Info!$B$4&amp;"]"&amp;Info!$B$5&amp;"'!$A$6:$D$1000"),3,0)),"")</f>
        <v/>
      </c>
      <c r="D182" s="31" t="str">
        <f ca="1">IF(C182="","", VLOOKUP(A182,INDIRECT("'[" &amp;Info!$B$4&amp;"]"&amp;Info!$B$5&amp;"'!$A$6:$T$1000"),20,0))</f>
        <v/>
      </c>
      <c r="E182" s="6" t="str">
        <f ca="1">IF(D182="","", VLOOKUP(A182,INDIRECT("'[" &amp;Info!$B$4&amp;"]"&amp;Info!$B$5&amp;"'!$A$6:$U$1000"),21,0))</f>
        <v/>
      </c>
      <c r="F182" s="6" t="str">
        <f ca="1">IF(D182="","", VLOOKUP(A182,INDIRECT("'[" &amp;Info!$B$4&amp;"]"&amp;Info!$B$5&amp;"'!$A$6:$U$1000"),21,0))</f>
        <v/>
      </c>
      <c r="G182" s="6" t="str">
        <f ca="1">IF(D182="","", VLOOKUP(A182,INDIRECT("'[" &amp;Info!$B$4&amp;"]"&amp;Info!$B$5&amp;"'!$A$6:$V$1000"),22,0))</f>
        <v/>
      </c>
      <c r="H182" s="6" t="str">
        <f ca="1">IF(D182="","", VLOOKUP(A182,INDIRECT("'[" &amp;Info!$B$4&amp;"]"&amp;Info!$B$5&amp;"'!$A$6:$W$1000"),23,0))</f>
        <v/>
      </c>
      <c r="I182" s="6" t="str">
        <f ca="1">LOWER( IF(D182="","", VLOOKUP(A182,INDIRECT("'[" &amp;Info!$B$4&amp;"]"&amp;Info!$B$5&amp;"'!$A$6:$y$1000"),25,0)))</f>
        <v/>
      </c>
      <c r="J182" s="6" t="str">
        <f ca="1">IF(D182="","", VLOOKUP(A182,INDIRECT("'[" &amp;Info!$B$4&amp;"]"&amp;Info!$B$5&amp;"'!$A$6:$Z$1000"),26,0))</f>
        <v/>
      </c>
      <c r="K182" s="35" t="str">
        <f ca="1">IF(D182="","", VLOOKUP(A182,INDIRECT("'[" &amp;Info!$B$4&amp;"]"&amp;Info!$B$5&amp;"'!$A$6:$AA$1000"),27,0))</f>
        <v/>
      </c>
      <c r="L182" s="35" t="str">
        <f ca="1">IF(D182="","", VLOOKUP(A182,INDIRECT("'[" &amp;Info!$B$4&amp;"]"&amp;Info!$B$5&amp;"'!$A$6:$H$1000"),8,0))</f>
        <v/>
      </c>
      <c r="M182" s="35" t="str">
        <f ca="1">IF(D182="","", VLOOKUP(A182,INDIRECT("'[" &amp;Info!$B$4&amp;"]"&amp;Info!$B$5&amp;"'!$A$6:$F$1000"),6,0))</f>
        <v/>
      </c>
      <c r="N182" s="33" t="str">
        <f ca="1">IF(C182="","", VLOOKUP(A182,INDIRECT("'[" &amp;Info!$B$4&amp;"]"&amp;Info!$B$5&amp;"'!$A$6:$Au$1000"),47,0))</f>
        <v/>
      </c>
      <c r="O182" s="28" t="str">
        <f ca="1">IF(N182="","",IF(N182=0,0,VLOOKUP(A182,INDIRECT("'[" &amp;Info!$B$4&amp;"]"&amp;Info!$B$5&amp;"'!$A$6:$AH$1000"),34,0)))</f>
        <v/>
      </c>
      <c r="P182" s="9" t="str">
        <f ca="1">IF(N182="","",IF(N182=0,0,VLOOKUP(A182,INDIRECT("'[" &amp;Info!$B$4&amp;"]"&amp;Info!$B$5&amp;"'!$A$6:$AW$1000"),49,0)))</f>
        <v/>
      </c>
      <c r="Q182" s="9" t="str">
        <f ca="1">IF(N182="","",IF(N182=0,0, VLOOKUP(A182,INDIRECT("'[" &amp;Info!$B$4&amp;"]"&amp;Info!$B$5&amp;"'!$A$6:$AX$1000"),50,0)))</f>
        <v/>
      </c>
      <c r="R182" s="29" t="str">
        <f ca="1">IF(N182="","",IF(N182=0,0, VLOOKUP(A182,INDIRECT("'[" &amp;Info!$B$4&amp;"]"&amp;Info!$B$5&amp;"'!$A$6:$AY$1000"),51,0)))</f>
        <v/>
      </c>
      <c r="S182" s="15" t="str">
        <f ca="1">IF(N182="","",IF(N182=0,0,VLOOKUP(A182,INDIRECT("'[" &amp;Info!$B$4&amp;"]"&amp;Info!$B$5&amp;"'!$A$6:$Ai$1000"),35,0)))</f>
        <v/>
      </c>
      <c r="T182" s="7" t="str">
        <f ca="1">IF(N182="","",IF(N182=0,0, VLOOKUP(A182,INDIRECT("'[" &amp;Info!$B$4&amp;"]"&amp;Info!$B$5&amp;"'!$A$6:$Az$1000"),52,0)))</f>
        <v/>
      </c>
      <c r="U182" s="7" t="str">
        <f ca="1">IF(N182="","",IF(N182=0,0, VLOOKUP(A182,INDIRECT("'[" &amp;Info!$B$4&amp;"]"&amp;Info!$B$5&amp;"'!$A$6:$BA$1000"),53,0)))</f>
        <v/>
      </c>
      <c r="V182" s="16" t="str">
        <f ca="1">IF(N182="","",IF(N182=0,0, VLOOKUP(A182,INDIRECT("'[" &amp;Info!$B$4&amp;"]"&amp;Info!$B$5&amp;"'!$A$6:$BB$1000"),54,0)))</f>
        <v/>
      </c>
      <c r="W182" s="17" t="str">
        <f t="shared" ca="1" si="9"/>
        <v/>
      </c>
      <c r="X182" s="18" t="str">
        <f t="shared" ca="1" si="10"/>
        <v/>
      </c>
      <c r="Y182" s="19" t="str">
        <f t="shared" ca="1" si="11"/>
        <v/>
      </c>
      <c r="Z182" s="18" t="str">
        <f t="shared" ca="1" si="12"/>
        <v/>
      </c>
    </row>
    <row r="183" spans="1:26" x14ac:dyDescent="0.25">
      <c r="A183" s="8" t="str">
        <f ca="1">IFERROR( VLOOKUP(A182+1,INDIRECT("'[" &amp;Info!$B$4&amp;"]"&amp;Info!$B$5&amp;"'!$A$6:$A$1000"),1,0),"")</f>
        <v/>
      </c>
      <c r="B183" s="5" t="str">
        <f ca="1">IFERROR( IF(A183="","", VLOOKUP(A183,INDIRECT("'[" &amp;Info!$B$4&amp;"]"&amp;Info!$B$5&amp;"'!$A$6:$B$1000"),2,0)),"")</f>
        <v/>
      </c>
      <c r="C183" s="14" t="str">
        <f ca="1">IFERROR( IF(A183="","", VLOOKUP(A183,INDIRECT("'[" &amp;Info!$B$4&amp;"]"&amp;Info!$B$5&amp;"'!$A$6:$D$1000"),3,0)),"")</f>
        <v/>
      </c>
      <c r="D183" s="31" t="str">
        <f ca="1">IF(C183="","", VLOOKUP(A183,INDIRECT("'[" &amp;Info!$B$4&amp;"]"&amp;Info!$B$5&amp;"'!$A$6:$T$1000"),20,0))</f>
        <v/>
      </c>
      <c r="E183" s="6" t="str">
        <f ca="1">IF(D183="","", VLOOKUP(A183,INDIRECT("'[" &amp;Info!$B$4&amp;"]"&amp;Info!$B$5&amp;"'!$A$6:$U$1000"),21,0))</f>
        <v/>
      </c>
      <c r="F183" s="6" t="str">
        <f ca="1">IF(D183="","", VLOOKUP(A183,INDIRECT("'[" &amp;Info!$B$4&amp;"]"&amp;Info!$B$5&amp;"'!$A$6:$U$1000"),21,0))</f>
        <v/>
      </c>
      <c r="G183" s="6" t="str">
        <f ca="1">IF(D183="","", VLOOKUP(A183,INDIRECT("'[" &amp;Info!$B$4&amp;"]"&amp;Info!$B$5&amp;"'!$A$6:$V$1000"),22,0))</f>
        <v/>
      </c>
      <c r="H183" s="6" t="str">
        <f ca="1">IF(D183="","", VLOOKUP(A183,INDIRECT("'[" &amp;Info!$B$4&amp;"]"&amp;Info!$B$5&amp;"'!$A$6:$W$1000"),23,0))</f>
        <v/>
      </c>
      <c r="I183" s="6" t="str">
        <f ca="1">LOWER( IF(D183="","", VLOOKUP(A183,INDIRECT("'[" &amp;Info!$B$4&amp;"]"&amp;Info!$B$5&amp;"'!$A$6:$y$1000"),25,0)))</f>
        <v/>
      </c>
      <c r="J183" s="6" t="str">
        <f ca="1">IF(D183="","", VLOOKUP(A183,INDIRECT("'[" &amp;Info!$B$4&amp;"]"&amp;Info!$B$5&amp;"'!$A$6:$Z$1000"),26,0))</f>
        <v/>
      </c>
      <c r="K183" s="35" t="str">
        <f ca="1">IF(D183="","", VLOOKUP(A183,INDIRECT("'[" &amp;Info!$B$4&amp;"]"&amp;Info!$B$5&amp;"'!$A$6:$AA$1000"),27,0))</f>
        <v/>
      </c>
      <c r="L183" s="35" t="str">
        <f ca="1">IF(D183="","", VLOOKUP(A183,INDIRECT("'[" &amp;Info!$B$4&amp;"]"&amp;Info!$B$5&amp;"'!$A$6:$H$1000"),8,0))</f>
        <v/>
      </c>
      <c r="M183" s="35" t="str">
        <f ca="1">IF(D183="","", VLOOKUP(A183,INDIRECT("'[" &amp;Info!$B$4&amp;"]"&amp;Info!$B$5&amp;"'!$A$6:$F$1000"),6,0))</f>
        <v/>
      </c>
      <c r="N183" s="33" t="str">
        <f ca="1">IF(C183="","", VLOOKUP(A183,INDIRECT("'[" &amp;Info!$B$4&amp;"]"&amp;Info!$B$5&amp;"'!$A$6:$Au$1000"),47,0))</f>
        <v/>
      </c>
      <c r="O183" s="28" t="str">
        <f ca="1">IF(N183="","",IF(N183=0,0,VLOOKUP(A183,INDIRECT("'[" &amp;Info!$B$4&amp;"]"&amp;Info!$B$5&amp;"'!$A$6:$AH$1000"),34,0)))</f>
        <v/>
      </c>
      <c r="P183" s="9" t="str">
        <f ca="1">IF(N183="","",IF(N183=0,0,VLOOKUP(A183,INDIRECT("'[" &amp;Info!$B$4&amp;"]"&amp;Info!$B$5&amp;"'!$A$6:$AW$1000"),49,0)))</f>
        <v/>
      </c>
      <c r="Q183" s="9" t="str">
        <f ca="1">IF(N183="","",IF(N183=0,0, VLOOKUP(A183,INDIRECT("'[" &amp;Info!$B$4&amp;"]"&amp;Info!$B$5&amp;"'!$A$6:$AX$1000"),50,0)))</f>
        <v/>
      </c>
      <c r="R183" s="29" t="str">
        <f ca="1">IF(N183="","",IF(N183=0,0, VLOOKUP(A183,INDIRECT("'[" &amp;Info!$B$4&amp;"]"&amp;Info!$B$5&amp;"'!$A$6:$AY$1000"),51,0)))</f>
        <v/>
      </c>
      <c r="S183" s="15" t="str">
        <f ca="1">IF(N183="","",IF(N183=0,0,VLOOKUP(A183,INDIRECT("'[" &amp;Info!$B$4&amp;"]"&amp;Info!$B$5&amp;"'!$A$6:$Ai$1000"),35,0)))</f>
        <v/>
      </c>
      <c r="T183" s="7" t="str">
        <f ca="1">IF(N183="","",IF(N183=0,0, VLOOKUP(A183,INDIRECT("'[" &amp;Info!$B$4&amp;"]"&amp;Info!$B$5&amp;"'!$A$6:$Az$1000"),52,0)))</f>
        <v/>
      </c>
      <c r="U183" s="7" t="str">
        <f ca="1">IF(N183="","",IF(N183=0,0, VLOOKUP(A183,INDIRECT("'[" &amp;Info!$B$4&amp;"]"&amp;Info!$B$5&amp;"'!$A$6:$BA$1000"),53,0)))</f>
        <v/>
      </c>
      <c r="V183" s="16" t="str">
        <f ca="1">IF(N183="","",IF(N183=0,0, VLOOKUP(A183,INDIRECT("'[" &amp;Info!$B$4&amp;"]"&amp;Info!$B$5&amp;"'!$A$6:$BB$1000"),54,0)))</f>
        <v/>
      </c>
      <c r="W183" s="17" t="str">
        <f t="shared" ca="1" si="9"/>
        <v/>
      </c>
      <c r="X183" s="18" t="str">
        <f t="shared" ca="1" si="10"/>
        <v/>
      </c>
      <c r="Y183" s="19" t="str">
        <f t="shared" ca="1" si="11"/>
        <v/>
      </c>
      <c r="Z183" s="18" t="str">
        <f t="shared" ca="1" si="12"/>
        <v/>
      </c>
    </row>
    <row r="184" spans="1:26" x14ac:dyDescent="0.25">
      <c r="A184" s="8" t="str">
        <f ca="1">IFERROR( VLOOKUP(A183+1,INDIRECT("'[" &amp;Info!$B$4&amp;"]"&amp;Info!$B$5&amp;"'!$A$6:$A$1000"),1,0),"")</f>
        <v/>
      </c>
      <c r="B184" s="5" t="str">
        <f ca="1">IFERROR( IF(A184="","", VLOOKUP(A184,INDIRECT("'[" &amp;Info!$B$4&amp;"]"&amp;Info!$B$5&amp;"'!$A$6:$B$1000"),2,0)),"")</f>
        <v/>
      </c>
      <c r="C184" s="14" t="str">
        <f ca="1">IFERROR( IF(A184="","", VLOOKUP(A184,INDIRECT("'[" &amp;Info!$B$4&amp;"]"&amp;Info!$B$5&amp;"'!$A$6:$D$1000"),3,0)),"")</f>
        <v/>
      </c>
      <c r="D184" s="31" t="str">
        <f ca="1">IF(C184="","", VLOOKUP(A184,INDIRECT("'[" &amp;Info!$B$4&amp;"]"&amp;Info!$B$5&amp;"'!$A$6:$T$1000"),20,0))</f>
        <v/>
      </c>
      <c r="E184" s="6" t="str">
        <f ca="1">IF(D184="","", VLOOKUP(A184,INDIRECT("'[" &amp;Info!$B$4&amp;"]"&amp;Info!$B$5&amp;"'!$A$6:$U$1000"),21,0))</f>
        <v/>
      </c>
      <c r="F184" s="6" t="str">
        <f ca="1">IF(D184="","", VLOOKUP(A184,INDIRECT("'[" &amp;Info!$B$4&amp;"]"&amp;Info!$B$5&amp;"'!$A$6:$U$1000"),21,0))</f>
        <v/>
      </c>
      <c r="G184" s="6" t="str">
        <f ca="1">IF(D184="","", VLOOKUP(A184,INDIRECT("'[" &amp;Info!$B$4&amp;"]"&amp;Info!$B$5&amp;"'!$A$6:$V$1000"),22,0))</f>
        <v/>
      </c>
      <c r="H184" s="6" t="str">
        <f ca="1">IF(D184="","", VLOOKUP(A184,INDIRECT("'[" &amp;Info!$B$4&amp;"]"&amp;Info!$B$5&amp;"'!$A$6:$W$1000"),23,0))</f>
        <v/>
      </c>
      <c r="I184" s="6" t="str">
        <f ca="1">LOWER( IF(D184="","", VLOOKUP(A184,INDIRECT("'[" &amp;Info!$B$4&amp;"]"&amp;Info!$B$5&amp;"'!$A$6:$y$1000"),25,0)))</f>
        <v/>
      </c>
      <c r="J184" s="6" t="str">
        <f ca="1">IF(D184="","", VLOOKUP(A184,INDIRECT("'[" &amp;Info!$B$4&amp;"]"&amp;Info!$B$5&amp;"'!$A$6:$Z$1000"),26,0))</f>
        <v/>
      </c>
      <c r="K184" s="35" t="str">
        <f ca="1">IF(D184="","", VLOOKUP(A184,INDIRECT("'[" &amp;Info!$B$4&amp;"]"&amp;Info!$B$5&amp;"'!$A$6:$AA$1000"),27,0))</f>
        <v/>
      </c>
      <c r="L184" s="35" t="str">
        <f ca="1">IF(D184="","", VLOOKUP(A184,INDIRECT("'[" &amp;Info!$B$4&amp;"]"&amp;Info!$B$5&amp;"'!$A$6:$H$1000"),8,0))</f>
        <v/>
      </c>
      <c r="M184" s="35" t="str">
        <f ca="1">IF(D184="","", VLOOKUP(A184,INDIRECT("'[" &amp;Info!$B$4&amp;"]"&amp;Info!$B$5&amp;"'!$A$6:$F$1000"),6,0))</f>
        <v/>
      </c>
      <c r="N184" s="33" t="str">
        <f ca="1">IF(C184="","", VLOOKUP(A184,INDIRECT("'[" &amp;Info!$B$4&amp;"]"&amp;Info!$B$5&amp;"'!$A$6:$Au$1000"),47,0))</f>
        <v/>
      </c>
      <c r="O184" s="28" t="str">
        <f ca="1">IF(N184="","",IF(N184=0,0,VLOOKUP(A184,INDIRECT("'[" &amp;Info!$B$4&amp;"]"&amp;Info!$B$5&amp;"'!$A$6:$AH$1000"),34,0)))</f>
        <v/>
      </c>
      <c r="P184" s="9" t="str">
        <f ca="1">IF(N184="","",IF(N184=0,0,VLOOKUP(A184,INDIRECT("'[" &amp;Info!$B$4&amp;"]"&amp;Info!$B$5&amp;"'!$A$6:$AW$1000"),49,0)))</f>
        <v/>
      </c>
      <c r="Q184" s="9" t="str">
        <f ca="1">IF(N184="","",IF(N184=0,0, VLOOKUP(A184,INDIRECT("'[" &amp;Info!$B$4&amp;"]"&amp;Info!$B$5&amp;"'!$A$6:$AX$1000"),50,0)))</f>
        <v/>
      </c>
      <c r="R184" s="29" t="str">
        <f ca="1">IF(N184="","",IF(N184=0,0, VLOOKUP(A184,INDIRECT("'[" &amp;Info!$B$4&amp;"]"&amp;Info!$B$5&amp;"'!$A$6:$AY$1000"),51,0)))</f>
        <v/>
      </c>
      <c r="S184" s="15" t="str">
        <f ca="1">IF(N184="","",IF(N184=0,0,VLOOKUP(A184,INDIRECT("'[" &amp;Info!$B$4&amp;"]"&amp;Info!$B$5&amp;"'!$A$6:$Ai$1000"),35,0)))</f>
        <v/>
      </c>
      <c r="T184" s="7" t="str">
        <f ca="1">IF(N184="","",IF(N184=0,0, VLOOKUP(A184,INDIRECT("'[" &amp;Info!$B$4&amp;"]"&amp;Info!$B$5&amp;"'!$A$6:$Az$1000"),52,0)))</f>
        <v/>
      </c>
      <c r="U184" s="7" t="str">
        <f ca="1">IF(N184="","",IF(N184=0,0, VLOOKUP(A184,INDIRECT("'[" &amp;Info!$B$4&amp;"]"&amp;Info!$B$5&amp;"'!$A$6:$BA$1000"),53,0)))</f>
        <v/>
      </c>
      <c r="V184" s="16" t="str">
        <f ca="1">IF(N184="","",IF(N184=0,0, VLOOKUP(A184,INDIRECT("'[" &amp;Info!$B$4&amp;"]"&amp;Info!$B$5&amp;"'!$A$6:$BB$1000"),54,0)))</f>
        <v/>
      </c>
      <c r="W184" s="17" t="str">
        <f t="shared" ca="1" si="9"/>
        <v/>
      </c>
      <c r="X184" s="18" t="str">
        <f t="shared" ca="1" si="10"/>
        <v/>
      </c>
      <c r="Y184" s="19" t="str">
        <f t="shared" ca="1" si="11"/>
        <v/>
      </c>
      <c r="Z184" s="18" t="str">
        <f t="shared" ca="1" si="12"/>
        <v/>
      </c>
    </row>
    <row r="185" spans="1:26" x14ac:dyDescent="0.25">
      <c r="A185" s="8" t="str">
        <f ca="1">IFERROR( VLOOKUP(A184+1,INDIRECT("'[" &amp;Info!$B$4&amp;"]"&amp;Info!$B$5&amp;"'!$A$6:$A$1000"),1,0),"")</f>
        <v/>
      </c>
      <c r="B185" s="5" t="str">
        <f ca="1">IFERROR( IF(A185="","", VLOOKUP(A185,INDIRECT("'[" &amp;Info!$B$4&amp;"]"&amp;Info!$B$5&amp;"'!$A$6:$B$1000"),2,0)),"")</f>
        <v/>
      </c>
      <c r="C185" s="14" t="str">
        <f ca="1">IFERROR( IF(A185="","", VLOOKUP(A185,INDIRECT("'[" &amp;Info!$B$4&amp;"]"&amp;Info!$B$5&amp;"'!$A$6:$D$1000"),3,0)),"")</f>
        <v/>
      </c>
      <c r="D185" s="31" t="str">
        <f ca="1">IF(C185="","", VLOOKUP(A185,INDIRECT("'[" &amp;Info!$B$4&amp;"]"&amp;Info!$B$5&amp;"'!$A$6:$T$1000"),20,0))</f>
        <v/>
      </c>
      <c r="E185" s="6" t="str">
        <f ca="1">IF(D185="","", VLOOKUP(A185,INDIRECT("'[" &amp;Info!$B$4&amp;"]"&amp;Info!$B$5&amp;"'!$A$6:$U$1000"),21,0))</f>
        <v/>
      </c>
      <c r="F185" s="6" t="str">
        <f ca="1">IF(D185="","", VLOOKUP(A185,INDIRECT("'[" &amp;Info!$B$4&amp;"]"&amp;Info!$B$5&amp;"'!$A$6:$U$1000"),21,0))</f>
        <v/>
      </c>
      <c r="G185" s="6" t="str">
        <f ca="1">IF(D185="","", VLOOKUP(A185,INDIRECT("'[" &amp;Info!$B$4&amp;"]"&amp;Info!$B$5&amp;"'!$A$6:$V$1000"),22,0))</f>
        <v/>
      </c>
      <c r="H185" s="6" t="str">
        <f ca="1">IF(D185="","", VLOOKUP(A185,INDIRECT("'[" &amp;Info!$B$4&amp;"]"&amp;Info!$B$5&amp;"'!$A$6:$W$1000"),23,0))</f>
        <v/>
      </c>
      <c r="I185" s="6" t="str">
        <f ca="1">LOWER( IF(D185="","", VLOOKUP(A185,INDIRECT("'[" &amp;Info!$B$4&amp;"]"&amp;Info!$B$5&amp;"'!$A$6:$y$1000"),25,0)))</f>
        <v/>
      </c>
      <c r="J185" s="6" t="str">
        <f ca="1">IF(D185="","", VLOOKUP(A185,INDIRECT("'[" &amp;Info!$B$4&amp;"]"&amp;Info!$B$5&amp;"'!$A$6:$Z$1000"),26,0))</f>
        <v/>
      </c>
      <c r="K185" s="35" t="str">
        <f ca="1">IF(D185="","", VLOOKUP(A185,INDIRECT("'[" &amp;Info!$B$4&amp;"]"&amp;Info!$B$5&amp;"'!$A$6:$AA$1000"),27,0))</f>
        <v/>
      </c>
      <c r="L185" s="35" t="str">
        <f ca="1">IF(D185="","", VLOOKUP(A185,INDIRECT("'[" &amp;Info!$B$4&amp;"]"&amp;Info!$B$5&amp;"'!$A$6:$H$1000"),8,0))</f>
        <v/>
      </c>
      <c r="M185" s="35" t="str">
        <f ca="1">IF(D185="","", VLOOKUP(A185,INDIRECT("'[" &amp;Info!$B$4&amp;"]"&amp;Info!$B$5&amp;"'!$A$6:$F$1000"),6,0))</f>
        <v/>
      </c>
      <c r="N185" s="33" t="str">
        <f ca="1">IF(C185="","", VLOOKUP(A185,INDIRECT("'[" &amp;Info!$B$4&amp;"]"&amp;Info!$B$5&amp;"'!$A$6:$Au$1000"),47,0))</f>
        <v/>
      </c>
      <c r="O185" s="28" t="str">
        <f ca="1">IF(N185="","",IF(N185=0,0,VLOOKUP(A185,INDIRECT("'[" &amp;Info!$B$4&amp;"]"&amp;Info!$B$5&amp;"'!$A$6:$AH$1000"),34,0)))</f>
        <v/>
      </c>
      <c r="P185" s="9" t="str">
        <f ca="1">IF(N185="","",IF(N185=0,0,VLOOKUP(A185,INDIRECT("'[" &amp;Info!$B$4&amp;"]"&amp;Info!$B$5&amp;"'!$A$6:$AW$1000"),49,0)))</f>
        <v/>
      </c>
      <c r="Q185" s="9" t="str">
        <f ca="1">IF(N185="","",IF(N185=0,0, VLOOKUP(A185,INDIRECT("'[" &amp;Info!$B$4&amp;"]"&amp;Info!$B$5&amp;"'!$A$6:$AX$1000"),50,0)))</f>
        <v/>
      </c>
      <c r="R185" s="29" t="str">
        <f ca="1">IF(N185="","",IF(N185=0,0, VLOOKUP(A185,INDIRECT("'[" &amp;Info!$B$4&amp;"]"&amp;Info!$B$5&amp;"'!$A$6:$AY$1000"),51,0)))</f>
        <v/>
      </c>
      <c r="S185" s="15" t="str">
        <f ca="1">IF(N185="","",IF(N185=0,0,VLOOKUP(A185,INDIRECT("'[" &amp;Info!$B$4&amp;"]"&amp;Info!$B$5&amp;"'!$A$6:$Ai$1000"),35,0)))</f>
        <v/>
      </c>
      <c r="T185" s="7" t="str">
        <f ca="1">IF(N185="","",IF(N185=0,0, VLOOKUP(A185,INDIRECT("'[" &amp;Info!$B$4&amp;"]"&amp;Info!$B$5&amp;"'!$A$6:$Az$1000"),52,0)))</f>
        <v/>
      </c>
      <c r="U185" s="7" t="str">
        <f ca="1">IF(N185="","",IF(N185=0,0, VLOOKUP(A185,INDIRECT("'[" &amp;Info!$B$4&amp;"]"&amp;Info!$B$5&amp;"'!$A$6:$BA$1000"),53,0)))</f>
        <v/>
      </c>
      <c r="V185" s="16" t="str">
        <f ca="1">IF(N185="","",IF(N185=0,0, VLOOKUP(A185,INDIRECT("'[" &amp;Info!$B$4&amp;"]"&amp;Info!$B$5&amp;"'!$A$6:$BB$1000"),54,0)))</f>
        <v/>
      </c>
      <c r="W185" s="17" t="str">
        <f t="shared" ca="1" si="9"/>
        <v/>
      </c>
      <c r="X185" s="18" t="str">
        <f t="shared" ca="1" si="10"/>
        <v/>
      </c>
      <c r="Y185" s="19" t="str">
        <f t="shared" ca="1" si="11"/>
        <v/>
      </c>
      <c r="Z185" s="18" t="str">
        <f t="shared" ca="1" si="12"/>
        <v/>
      </c>
    </row>
    <row r="186" spans="1:26" x14ac:dyDescent="0.25">
      <c r="A186" s="8" t="str">
        <f ca="1">IFERROR( VLOOKUP(A185+1,INDIRECT("'[" &amp;Info!$B$4&amp;"]"&amp;Info!$B$5&amp;"'!$A$6:$A$1000"),1,0),"")</f>
        <v/>
      </c>
      <c r="B186" s="5" t="str">
        <f ca="1">IFERROR( IF(A186="","", VLOOKUP(A186,INDIRECT("'[" &amp;Info!$B$4&amp;"]"&amp;Info!$B$5&amp;"'!$A$6:$B$1000"),2,0)),"")</f>
        <v/>
      </c>
      <c r="C186" s="14" t="str">
        <f ca="1">IFERROR( IF(A186="","", VLOOKUP(A186,INDIRECT("'[" &amp;Info!$B$4&amp;"]"&amp;Info!$B$5&amp;"'!$A$6:$D$1000"),3,0)),"")</f>
        <v/>
      </c>
      <c r="D186" s="31" t="str">
        <f ca="1">IF(C186="","", VLOOKUP(A186,INDIRECT("'[" &amp;Info!$B$4&amp;"]"&amp;Info!$B$5&amp;"'!$A$6:$T$1000"),20,0))</f>
        <v/>
      </c>
      <c r="E186" s="6" t="str">
        <f ca="1">IF(D186="","", VLOOKUP(A186,INDIRECT("'[" &amp;Info!$B$4&amp;"]"&amp;Info!$B$5&amp;"'!$A$6:$U$1000"),21,0))</f>
        <v/>
      </c>
      <c r="F186" s="6" t="str">
        <f ca="1">IF(D186="","", VLOOKUP(A186,INDIRECT("'[" &amp;Info!$B$4&amp;"]"&amp;Info!$B$5&amp;"'!$A$6:$U$1000"),21,0))</f>
        <v/>
      </c>
      <c r="G186" s="6" t="str">
        <f ca="1">IF(D186="","", VLOOKUP(A186,INDIRECT("'[" &amp;Info!$B$4&amp;"]"&amp;Info!$B$5&amp;"'!$A$6:$V$1000"),22,0))</f>
        <v/>
      </c>
      <c r="H186" s="6" t="str">
        <f ca="1">IF(D186="","", VLOOKUP(A186,INDIRECT("'[" &amp;Info!$B$4&amp;"]"&amp;Info!$B$5&amp;"'!$A$6:$W$1000"),23,0))</f>
        <v/>
      </c>
      <c r="I186" s="6" t="str">
        <f ca="1">LOWER( IF(D186="","", VLOOKUP(A186,INDIRECT("'[" &amp;Info!$B$4&amp;"]"&amp;Info!$B$5&amp;"'!$A$6:$y$1000"),25,0)))</f>
        <v/>
      </c>
      <c r="J186" s="6" t="str">
        <f ca="1">IF(D186="","", VLOOKUP(A186,INDIRECT("'[" &amp;Info!$B$4&amp;"]"&amp;Info!$B$5&amp;"'!$A$6:$Z$1000"),26,0))</f>
        <v/>
      </c>
      <c r="K186" s="35" t="str">
        <f ca="1">IF(D186="","", VLOOKUP(A186,INDIRECT("'[" &amp;Info!$B$4&amp;"]"&amp;Info!$B$5&amp;"'!$A$6:$AA$1000"),27,0))</f>
        <v/>
      </c>
      <c r="L186" s="35" t="str">
        <f ca="1">IF(D186="","", VLOOKUP(A186,INDIRECT("'[" &amp;Info!$B$4&amp;"]"&amp;Info!$B$5&amp;"'!$A$6:$H$1000"),8,0))</f>
        <v/>
      </c>
      <c r="M186" s="35" t="str">
        <f ca="1">IF(D186="","", VLOOKUP(A186,INDIRECT("'[" &amp;Info!$B$4&amp;"]"&amp;Info!$B$5&amp;"'!$A$6:$F$1000"),6,0))</f>
        <v/>
      </c>
      <c r="N186" s="33" t="str">
        <f ca="1">IF(C186="","", VLOOKUP(A186,INDIRECT("'[" &amp;Info!$B$4&amp;"]"&amp;Info!$B$5&amp;"'!$A$6:$Au$1000"),47,0))</f>
        <v/>
      </c>
      <c r="O186" s="28" t="str">
        <f ca="1">IF(N186="","",IF(N186=0,0,VLOOKUP(A186,INDIRECT("'[" &amp;Info!$B$4&amp;"]"&amp;Info!$B$5&amp;"'!$A$6:$AH$1000"),34,0)))</f>
        <v/>
      </c>
      <c r="P186" s="9" t="str">
        <f ca="1">IF(N186="","",IF(N186=0,0,VLOOKUP(A186,INDIRECT("'[" &amp;Info!$B$4&amp;"]"&amp;Info!$B$5&amp;"'!$A$6:$AW$1000"),49,0)))</f>
        <v/>
      </c>
      <c r="Q186" s="9" t="str">
        <f ca="1">IF(N186="","",IF(N186=0,0, VLOOKUP(A186,INDIRECT("'[" &amp;Info!$B$4&amp;"]"&amp;Info!$B$5&amp;"'!$A$6:$AX$1000"),50,0)))</f>
        <v/>
      </c>
      <c r="R186" s="29" t="str">
        <f ca="1">IF(N186="","",IF(N186=0,0, VLOOKUP(A186,INDIRECT("'[" &amp;Info!$B$4&amp;"]"&amp;Info!$B$5&amp;"'!$A$6:$AY$1000"),51,0)))</f>
        <v/>
      </c>
      <c r="S186" s="15" t="str">
        <f ca="1">IF(N186="","",IF(N186=0,0,VLOOKUP(A186,INDIRECT("'[" &amp;Info!$B$4&amp;"]"&amp;Info!$B$5&amp;"'!$A$6:$Ai$1000"),35,0)))</f>
        <v/>
      </c>
      <c r="T186" s="7" t="str">
        <f ca="1">IF(N186="","",IF(N186=0,0, VLOOKUP(A186,INDIRECT("'[" &amp;Info!$B$4&amp;"]"&amp;Info!$B$5&amp;"'!$A$6:$Az$1000"),52,0)))</f>
        <v/>
      </c>
      <c r="U186" s="7" t="str">
        <f ca="1">IF(N186="","",IF(N186=0,0, VLOOKUP(A186,INDIRECT("'[" &amp;Info!$B$4&amp;"]"&amp;Info!$B$5&amp;"'!$A$6:$BA$1000"),53,0)))</f>
        <v/>
      </c>
      <c r="V186" s="16" t="str">
        <f ca="1">IF(N186="","",IF(N186=0,0, VLOOKUP(A186,INDIRECT("'[" &amp;Info!$B$4&amp;"]"&amp;Info!$B$5&amp;"'!$A$6:$BB$1000"),54,0)))</f>
        <v/>
      </c>
      <c r="W186" s="17" t="str">
        <f t="shared" ca="1" si="9"/>
        <v/>
      </c>
      <c r="X186" s="18" t="str">
        <f t="shared" ca="1" si="10"/>
        <v/>
      </c>
      <c r="Y186" s="19" t="str">
        <f t="shared" ca="1" si="11"/>
        <v/>
      </c>
      <c r="Z186" s="18" t="str">
        <f t="shared" ca="1" si="12"/>
        <v/>
      </c>
    </row>
    <row r="187" spans="1:26" x14ac:dyDescent="0.25">
      <c r="A187" s="8" t="str">
        <f ca="1">IFERROR( VLOOKUP(A186+1,INDIRECT("'[" &amp;Info!$B$4&amp;"]"&amp;Info!$B$5&amp;"'!$A$6:$A$1000"),1,0),"")</f>
        <v/>
      </c>
      <c r="C187" s="14" t="str">
        <f ca="1">IFERROR( IF(A187="","", VLOOKUP(A187,INDIRECT("'[" &amp;Info!$B$4&amp;"]"&amp;Info!$B$5&amp;"'!$A$6:$D$1000"),3,0)),"")</f>
        <v/>
      </c>
      <c r="D187" s="31" t="str">
        <f ca="1">IF(C187="","", VLOOKUP(A187,INDIRECT("'[" &amp;Info!$B$4&amp;"]"&amp;Info!$B$5&amp;"'!$A$6:$T$1000"),20,0))</f>
        <v/>
      </c>
      <c r="E187" s="6" t="str">
        <f ca="1">IF(D187="","", VLOOKUP(A187,INDIRECT("'[" &amp;Info!$B$4&amp;"]"&amp;Info!$B$5&amp;"'!$A$6:$U$1000"),21,0))</f>
        <v/>
      </c>
      <c r="F187" s="6" t="str">
        <f ca="1">IF(D187="","", VLOOKUP(A187,INDIRECT("'[" &amp;Info!$B$4&amp;"]"&amp;Info!$B$5&amp;"'!$A$6:$U$1000"),21,0))</f>
        <v/>
      </c>
      <c r="G187" s="6" t="str">
        <f ca="1">IF(D187="","", VLOOKUP(A187,INDIRECT("'[" &amp;Info!$B$4&amp;"]"&amp;Info!$B$5&amp;"'!$A$6:$V$1000"),22,0))</f>
        <v/>
      </c>
      <c r="H187" s="6" t="str">
        <f ca="1">IF(D187="","", VLOOKUP(A187,INDIRECT("'[" &amp;Info!$B$4&amp;"]"&amp;Info!$B$5&amp;"'!$A$6:$W$1000"),23,0))</f>
        <v/>
      </c>
      <c r="I187" s="6" t="str">
        <f ca="1">LOWER( IF(D187="","", VLOOKUP(A187,INDIRECT("'[" &amp;Info!$B$4&amp;"]"&amp;Info!$B$5&amp;"'!$A$6:$y$1000"),25,0)))</f>
        <v/>
      </c>
      <c r="J187" s="6" t="str">
        <f ca="1">IF(D187="","", VLOOKUP(A187,INDIRECT("'[" &amp;Info!$B$4&amp;"]"&amp;Info!$B$5&amp;"'!$A$6:$Z$1000"),26,0))</f>
        <v/>
      </c>
      <c r="K187" s="35" t="str">
        <f ca="1">IF(D187="","", VLOOKUP(A187,INDIRECT("'[" &amp;Info!$B$4&amp;"]"&amp;Info!$B$5&amp;"'!$A$6:$AA$1000"),27,0))</f>
        <v/>
      </c>
      <c r="L187" s="35" t="str">
        <f ca="1">IF(D187="","", VLOOKUP(A187,INDIRECT("'[" &amp;Info!$B$4&amp;"]"&amp;Info!$B$5&amp;"'!$A$6:$H$1000"),8,0))</f>
        <v/>
      </c>
      <c r="M187" s="35" t="str">
        <f ca="1">IF(D187="","", VLOOKUP(A187,INDIRECT("'[" &amp;Info!$B$4&amp;"]"&amp;Info!$B$5&amp;"'!$A$6:$F$1000"),6,0))</f>
        <v/>
      </c>
      <c r="N187" s="33" t="str">
        <f ca="1">IF(C187="","", VLOOKUP(A187,INDIRECT("'[" &amp;Info!$B$4&amp;"]"&amp;Info!$B$5&amp;"'!$A$6:$Au$1000"),47,0))</f>
        <v/>
      </c>
      <c r="O187" s="28" t="str">
        <f ca="1">IF(N187="","",IF(N187=0,0,VLOOKUP(A187,INDIRECT("'[" &amp;Info!$B$4&amp;"]"&amp;Info!$B$5&amp;"'!$A$6:$AH$1000"),34,0)))</f>
        <v/>
      </c>
      <c r="P187" s="9" t="str">
        <f ca="1">IF(N187="","",IF(N187=0,0,VLOOKUP(A187,INDIRECT("'[" &amp;Info!$B$4&amp;"]"&amp;Info!$B$5&amp;"'!$A$6:$AW$1000"),49,0)))</f>
        <v/>
      </c>
      <c r="Q187" s="9" t="str">
        <f ca="1">IF(N187="","",IF(N187=0,0, VLOOKUP(A187,INDIRECT("'[" &amp;Info!$B$4&amp;"]"&amp;Info!$B$5&amp;"'!$A$6:$AX$1000"),50,0)))</f>
        <v/>
      </c>
      <c r="R187" s="29" t="str">
        <f ca="1">IF(N187="","",IF(N187=0,0, VLOOKUP(A187,INDIRECT("'[" &amp;Info!$B$4&amp;"]"&amp;Info!$B$5&amp;"'!$A$6:$AY$1000"),51,0)))</f>
        <v/>
      </c>
      <c r="S187" s="15" t="str">
        <f ca="1">IF(N187="","",IF(N187=0,0,VLOOKUP(A187,INDIRECT("'[" &amp;Info!$B$4&amp;"]"&amp;Info!$B$5&amp;"'!$A$6:$Ai$1000"),35,0)))</f>
        <v/>
      </c>
      <c r="T187" s="7" t="str">
        <f ca="1">IF(N187="","",IF(N187=0,0, VLOOKUP(A187,INDIRECT("'[" &amp;Info!$B$4&amp;"]"&amp;Info!$B$5&amp;"'!$A$6:$Az$1000"),52,0)))</f>
        <v/>
      </c>
      <c r="U187" s="7" t="str">
        <f ca="1">IF(N187="","",IF(N187=0,0, VLOOKUP(A187,INDIRECT("'[" &amp;Info!$B$4&amp;"]"&amp;Info!$B$5&amp;"'!$A$6:$BA$1000"),53,0)))</f>
        <v/>
      </c>
      <c r="V187" s="16" t="str">
        <f ca="1">IF(N187="","",IF(N187=0,0, VLOOKUP(A187,INDIRECT("'[" &amp;Info!$B$4&amp;"]"&amp;Info!$B$5&amp;"'!$A$6:$BB$1000"),54,0)))</f>
        <v/>
      </c>
      <c r="W187" s="17" t="str">
        <f t="shared" ref="W187:W198" ca="1" si="13">IF(N187="","",O187+S187)</f>
        <v/>
      </c>
      <c r="X187" s="18" t="str">
        <f t="shared" ref="X187:X198" ca="1" si="14">IF(N187="","",P187+T187)</f>
        <v/>
      </c>
      <c r="Y187" s="19" t="str">
        <f t="shared" ref="Y187:Y198" ca="1" si="15">IF(N187="","",Q187+U187)</f>
        <v/>
      </c>
      <c r="Z187" s="18" t="str">
        <f t="shared" ref="Z187:Z198" ca="1" si="16">IF(N187="","",R187+V187)</f>
        <v/>
      </c>
    </row>
    <row r="188" spans="1:26" x14ac:dyDescent="0.25">
      <c r="A188" s="8" t="str">
        <f ca="1">IFERROR( VLOOKUP(A187+1,INDIRECT("'[" &amp;Info!$B$4&amp;"]"&amp;Info!$B$5&amp;"'!$A$6:$A$1000"),1,0),"")</f>
        <v/>
      </c>
      <c r="C188" s="14" t="str">
        <f ca="1">IFERROR( IF(A188="","", VLOOKUP(A188,INDIRECT("'[" &amp;Info!$B$4&amp;"]"&amp;Info!$B$5&amp;"'!$A$6:$D$1000"),3,0)),"")</f>
        <v/>
      </c>
      <c r="D188" s="31" t="str">
        <f ca="1">IF(C188="","", VLOOKUP(A188,INDIRECT("'[" &amp;Info!$B$4&amp;"]"&amp;Info!$B$5&amp;"'!$A$6:$T$1000"),20,0))</f>
        <v/>
      </c>
      <c r="E188" s="6" t="str">
        <f ca="1">IF(D188="","", VLOOKUP(A188,INDIRECT("'[" &amp;Info!$B$4&amp;"]"&amp;Info!$B$5&amp;"'!$A$6:$U$1000"),21,0))</f>
        <v/>
      </c>
      <c r="F188" s="6" t="str">
        <f ca="1">IF(D188="","", VLOOKUP(A188,INDIRECT("'[" &amp;Info!$B$4&amp;"]"&amp;Info!$B$5&amp;"'!$A$6:$U$1000"),21,0))</f>
        <v/>
      </c>
      <c r="G188" s="6" t="str">
        <f ca="1">IF(D188="","", VLOOKUP(A188,INDIRECT("'[" &amp;Info!$B$4&amp;"]"&amp;Info!$B$5&amp;"'!$A$6:$V$1000"),22,0))</f>
        <v/>
      </c>
      <c r="H188" s="6" t="str">
        <f ca="1">IF(D188="","", VLOOKUP(A188,INDIRECT("'[" &amp;Info!$B$4&amp;"]"&amp;Info!$B$5&amp;"'!$A$6:$W$1000"),23,0))</f>
        <v/>
      </c>
      <c r="I188" s="6" t="str">
        <f ca="1">LOWER( IF(D188="","", VLOOKUP(A188,INDIRECT("'[" &amp;Info!$B$4&amp;"]"&amp;Info!$B$5&amp;"'!$A$6:$y$1000"),25,0)))</f>
        <v/>
      </c>
      <c r="J188" s="6" t="str">
        <f ca="1">IF(D188="","", VLOOKUP(A188,INDIRECT("'[" &amp;Info!$B$4&amp;"]"&amp;Info!$B$5&amp;"'!$A$6:$Z$1000"),26,0))</f>
        <v/>
      </c>
      <c r="K188" s="35" t="str">
        <f ca="1">IF(D188="","", VLOOKUP(A188,INDIRECT("'[" &amp;Info!$B$4&amp;"]"&amp;Info!$B$5&amp;"'!$A$6:$AA$1000"),27,0))</f>
        <v/>
      </c>
      <c r="L188" s="35" t="str">
        <f ca="1">IF(D188="","", VLOOKUP(A188,INDIRECT("'[" &amp;Info!$B$4&amp;"]"&amp;Info!$B$5&amp;"'!$A$6:$H$1000"),8,0))</f>
        <v/>
      </c>
      <c r="M188" s="35" t="str">
        <f ca="1">IF(D188="","", VLOOKUP(A188,INDIRECT("'[" &amp;Info!$B$4&amp;"]"&amp;Info!$B$5&amp;"'!$A$6:$F$1000"),6,0))</f>
        <v/>
      </c>
      <c r="N188" s="33" t="str">
        <f ca="1">IF(C188="","", VLOOKUP(A188,INDIRECT("'[" &amp;Info!$B$4&amp;"]"&amp;Info!$B$5&amp;"'!$A$6:$Au$1000"),47,0))</f>
        <v/>
      </c>
      <c r="O188" s="28" t="str">
        <f ca="1">IF(N188="","",IF(N188=0,0,VLOOKUP(A188,INDIRECT("'[" &amp;Info!$B$4&amp;"]"&amp;Info!$B$5&amp;"'!$A$6:$AH$1000"),34,0)))</f>
        <v/>
      </c>
      <c r="P188" s="9" t="str">
        <f ca="1">IF(N188="","",IF(N188=0,0,VLOOKUP(A188,INDIRECT("'[" &amp;Info!$B$4&amp;"]"&amp;Info!$B$5&amp;"'!$A$6:$AW$1000"),49,0)))</f>
        <v/>
      </c>
      <c r="Q188" s="9" t="str">
        <f ca="1">IF(N188="","",IF(N188=0,0, VLOOKUP(A188,INDIRECT("'[" &amp;Info!$B$4&amp;"]"&amp;Info!$B$5&amp;"'!$A$6:$AX$1000"),50,0)))</f>
        <v/>
      </c>
      <c r="R188" s="29" t="str">
        <f ca="1">IF(N188="","",IF(N188=0,0, VLOOKUP(A188,INDIRECT("'[" &amp;Info!$B$4&amp;"]"&amp;Info!$B$5&amp;"'!$A$6:$AY$1000"),51,0)))</f>
        <v/>
      </c>
      <c r="S188" s="15" t="str">
        <f ca="1">IF(N188="","",IF(N188=0,0,VLOOKUP(A188,INDIRECT("'[" &amp;Info!$B$4&amp;"]"&amp;Info!$B$5&amp;"'!$A$6:$Ai$1000"),35,0)))</f>
        <v/>
      </c>
      <c r="T188" s="7" t="str">
        <f ca="1">IF(N188="","",IF(N188=0,0, VLOOKUP(A188,INDIRECT("'[" &amp;Info!$B$4&amp;"]"&amp;Info!$B$5&amp;"'!$A$6:$Az$1000"),52,0)))</f>
        <v/>
      </c>
      <c r="U188" s="7" t="str">
        <f ca="1">IF(N188="","",IF(N188=0,0, VLOOKUP(A188,INDIRECT("'[" &amp;Info!$B$4&amp;"]"&amp;Info!$B$5&amp;"'!$A$6:$BA$1000"),53,0)))</f>
        <v/>
      </c>
      <c r="V188" s="16" t="str">
        <f ca="1">IF(N188="","",IF(N188=0,0, VLOOKUP(A188,INDIRECT("'[" &amp;Info!$B$4&amp;"]"&amp;Info!$B$5&amp;"'!$A$6:$BB$1000"),54,0)))</f>
        <v/>
      </c>
      <c r="W188" s="17" t="str">
        <f t="shared" ca="1" si="13"/>
        <v/>
      </c>
      <c r="X188" s="18" t="str">
        <f t="shared" ca="1" si="14"/>
        <v/>
      </c>
      <c r="Y188" s="19" t="str">
        <f t="shared" ca="1" si="15"/>
        <v/>
      </c>
      <c r="Z188" s="18" t="str">
        <f t="shared" ca="1" si="16"/>
        <v/>
      </c>
    </row>
    <row r="189" spans="1:26" x14ac:dyDescent="0.25">
      <c r="A189" s="8" t="str">
        <f ca="1">IFERROR( VLOOKUP(A188+1,INDIRECT("'[" &amp;Info!$B$4&amp;"]"&amp;Info!$B$5&amp;"'!$A$6:$A$1000"),1,0),"")</f>
        <v/>
      </c>
      <c r="C189" s="14" t="str">
        <f ca="1">IFERROR( IF(A189="","", VLOOKUP(A189,INDIRECT("'[" &amp;Info!$B$4&amp;"]"&amp;Info!$B$5&amp;"'!$A$6:$D$1000"),3,0)),"")</f>
        <v/>
      </c>
      <c r="D189" s="31" t="str">
        <f ca="1">IF(C189="","", VLOOKUP(A189,INDIRECT("'[" &amp;Info!$B$4&amp;"]"&amp;Info!$B$5&amp;"'!$A$6:$T$1000"),20,0))</f>
        <v/>
      </c>
      <c r="E189" s="6" t="str">
        <f ca="1">IF(D189="","", VLOOKUP(A189,INDIRECT("'[" &amp;Info!$B$4&amp;"]"&amp;Info!$B$5&amp;"'!$A$6:$U$1000"),21,0))</f>
        <v/>
      </c>
      <c r="F189" s="6" t="str">
        <f ca="1">IF(D189="","", VLOOKUP(A189,INDIRECT("'[" &amp;Info!$B$4&amp;"]"&amp;Info!$B$5&amp;"'!$A$6:$U$1000"),21,0))</f>
        <v/>
      </c>
      <c r="G189" s="6" t="str">
        <f ca="1">IF(D189="","", VLOOKUP(A189,INDIRECT("'[" &amp;Info!$B$4&amp;"]"&amp;Info!$B$5&amp;"'!$A$6:$V$1000"),22,0))</f>
        <v/>
      </c>
      <c r="H189" s="6" t="str">
        <f ca="1">IF(D189="","", VLOOKUP(A189,INDIRECT("'[" &amp;Info!$B$4&amp;"]"&amp;Info!$B$5&amp;"'!$A$6:$W$1000"),23,0))</f>
        <v/>
      </c>
      <c r="I189" s="6" t="str">
        <f ca="1">LOWER( IF(D189="","", VLOOKUP(A189,INDIRECT("'[" &amp;Info!$B$4&amp;"]"&amp;Info!$B$5&amp;"'!$A$6:$y$1000"),25,0)))</f>
        <v/>
      </c>
      <c r="J189" s="6" t="str">
        <f ca="1">IF(D189="","", VLOOKUP(A189,INDIRECT("'[" &amp;Info!$B$4&amp;"]"&amp;Info!$B$5&amp;"'!$A$6:$Z$1000"),26,0))</f>
        <v/>
      </c>
      <c r="K189" s="35" t="str">
        <f ca="1">IF(D189="","", VLOOKUP(A189,INDIRECT("'[" &amp;Info!$B$4&amp;"]"&amp;Info!$B$5&amp;"'!$A$6:$AA$1000"),27,0))</f>
        <v/>
      </c>
      <c r="L189" s="35" t="str">
        <f ca="1">IF(D189="","", VLOOKUP(A189,INDIRECT("'[" &amp;Info!$B$4&amp;"]"&amp;Info!$B$5&amp;"'!$A$6:$H$1000"),8,0))</f>
        <v/>
      </c>
      <c r="M189" s="35" t="str">
        <f ca="1">IF(D189="","", VLOOKUP(A189,INDIRECT("'[" &amp;Info!$B$4&amp;"]"&amp;Info!$B$5&amp;"'!$A$6:$F$1000"),6,0))</f>
        <v/>
      </c>
      <c r="N189" s="33" t="str">
        <f ca="1">IF(C189="","", VLOOKUP(A189,INDIRECT("'[" &amp;Info!$B$4&amp;"]"&amp;Info!$B$5&amp;"'!$A$6:$Au$1000"),47,0))</f>
        <v/>
      </c>
      <c r="O189" s="28" t="str">
        <f ca="1">IF(N189="","",IF(N189=0,0,VLOOKUP(A189,INDIRECT("'[" &amp;Info!$B$4&amp;"]"&amp;Info!$B$5&amp;"'!$A$6:$AH$1000"),34,0)))</f>
        <v/>
      </c>
      <c r="P189" s="9" t="str">
        <f ca="1">IF(N189="","",IF(N189=0,0,VLOOKUP(A189,INDIRECT("'[" &amp;Info!$B$4&amp;"]"&amp;Info!$B$5&amp;"'!$A$6:$AW$1000"),49,0)))</f>
        <v/>
      </c>
      <c r="Q189" s="9" t="str">
        <f ca="1">IF(N189="","",IF(N189=0,0, VLOOKUP(A189,INDIRECT("'[" &amp;Info!$B$4&amp;"]"&amp;Info!$B$5&amp;"'!$A$6:$AX$1000"),50,0)))</f>
        <v/>
      </c>
      <c r="R189" s="29" t="str">
        <f ca="1">IF(N189="","",IF(N189=0,0, VLOOKUP(A189,INDIRECT("'[" &amp;Info!$B$4&amp;"]"&amp;Info!$B$5&amp;"'!$A$6:$AY$1000"),51,0)))</f>
        <v/>
      </c>
      <c r="S189" s="15" t="str">
        <f ca="1">IF(N189="","",IF(N189=0,0,VLOOKUP(A189,INDIRECT("'[" &amp;Info!$B$4&amp;"]"&amp;Info!$B$5&amp;"'!$A$6:$Ai$1000"),35,0)))</f>
        <v/>
      </c>
      <c r="T189" s="7" t="str">
        <f ca="1">IF(N189="","",IF(N189=0,0, VLOOKUP(A189,INDIRECT("'[" &amp;Info!$B$4&amp;"]"&amp;Info!$B$5&amp;"'!$A$6:$Az$1000"),52,0)))</f>
        <v/>
      </c>
      <c r="U189" s="7" t="str">
        <f ca="1">IF(N189="","",IF(N189=0,0, VLOOKUP(A189,INDIRECT("'[" &amp;Info!$B$4&amp;"]"&amp;Info!$B$5&amp;"'!$A$6:$BA$1000"),53,0)))</f>
        <v/>
      </c>
      <c r="V189" s="16" t="str">
        <f ca="1">IF(N189="","",IF(N189=0,0, VLOOKUP(A189,INDIRECT("'[" &amp;Info!$B$4&amp;"]"&amp;Info!$B$5&amp;"'!$A$6:$BB$1000"),54,0)))</f>
        <v/>
      </c>
      <c r="W189" s="17" t="str">
        <f t="shared" ca="1" si="13"/>
        <v/>
      </c>
      <c r="X189" s="18" t="str">
        <f t="shared" ca="1" si="14"/>
        <v/>
      </c>
      <c r="Y189" s="19" t="str">
        <f t="shared" ca="1" si="15"/>
        <v/>
      </c>
      <c r="Z189" s="18" t="str">
        <f t="shared" ca="1" si="16"/>
        <v/>
      </c>
    </row>
    <row r="190" spans="1:26" x14ac:dyDescent="0.25">
      <c r="A190" s="8" t="str">
        <f ca="1">IFERROR( VLOOKUP(A189+1,INDIRECT("'[" &amp;Info!$B$4&amp;"]"&amp;Info!$B$5&amp;"'!$A$6:$A$1000"),1,0),"")</f>
        <v/>
      </c>
      <c r="C190" s="14" t="str">
        <f ca="1">IFERROR( IF(A190="","", VLOOKUP(A190,INDIRECT("'[" &amp;Info!$B$4&amp;"]"&amp;Info!$B$5&amp;"'!$A$6:$D$1000"),3,0)),"")</f>
        <v/>
      </c>
      <c r="D190" s="31" t="str">
        <f ca="1">IF(C190="","", VLOOKUP(A190,INDIRECT("'[" &amp;Info!$B$4&amp;"]"&amp;Info!$B$5&amp;"'!$A$6:$T$1000"),20,0))</f>
        <v/>
      </c>
      <c r="E190" s="6" t="str">
        <f ca="1">IF(D190="","", VLOOKUP(A190,INDIRECT("'[" &amp;Info!$B$4&amp;"]"&amp;Info!$B$5&amp;"'!$A$6:$U$1000"),21,0))</f>
        <v/>
      </c>
      <c r="F190" s="6" t="str">
        <f ca="1">IF(D190="","", VLOOKUP(A190,INDIRECT("'[" &amp;Info!$B$4&amp;"]"&amp;Info!$B$5&amp;"'!$A$6:$U$1000"),21,0))</f>
        <v/>
      </c>
      <c r="G190" s="6" t="str">
        <f ca="1">IF(D190="","", VLOOKUP(A190,INDIRECT("'[" &amp;Info!$B$4&amp;"]"&amp;Info!$B$5&amp;"'!$A$6:$V$1000"),22,0))</f>
        <v/>
      </c>
      <c r="H190" s="6" t="str">
        <f ca="1">IF(D190="","", VLOOKUP(A190,INDIRECT("'[" &amp;Info!$B$4&amp;"]"&amp;Info!$B$5&amp;"'!$A$6:$W$1000"),23,0))</f>
        <v/>
      </c>
      <c r="I190" s="6" t="str">
        <f ca="1">LOWER( IF(D190="","", VLOOKUP(A190,INDIRECT("'[" &amp;Info!$B$4&amp;"]"&amp;Info!$B$5&amp;"'!$A$6:$y$1000"),25,0)))</f>
        <v/>
      </c>
      <c r="J190" s="6" t="str">
        <f ca="1">IF(D190="","", VLOOKUP(A190,INDIRECT("'[" &amp;Info!$B$4&amp;"]"&amp;Info!$B$5&amp;"'!$A$6:$Z$1000"),26,0))</f>
        <v/>
      </c>
      <c r="K190" s="35" t="str">
        <f ca="1">IF(D190="","", VLOOKUP(A190,INDIRECT("'[" &amp;Info!$B$4&amp;"]"&amp;Info!$B$5&amp;"'!$A$6:$AA$1000"),27,0))</f>
        <v/>
      </c>
      <c r="L190" s="35" t="str">
        <f ca="1">IF(D190="","", VLOOKUP(A190,INDIRECT("'[" &amp;Info!$B$4&amp;"]"&amp;Info!$B$5&amp;"'!$A$6:$H$1000"),8,0))</f>
        <v/>
      </c>
      <c r="M190" s="35" t="str">
        <f ca="1">IF(D190="","", VLOOKUP(A190,INDIRECT("'[" &amp;Info!$B$4&amp;"]"&amp;Info!$B$5&amp;"'!$A$6:$F$1000"),6,0))</f>
        <v/>
      </c>
      <c r="N190" s="33" t="str">
        <f ca="1">IF(C190="","", VLOOKUP(A190,INDIRECT("'[" &amp;Info!$B$4&amp;"]"&amp;Info!$B$5&amp;"'!$A$6:$Au$1000"),47,0))</f>
        <v/>
      </c>
      <c r="O190" s="28" t="str">
        <f ca="1">IF(N190="","",IF(N190=0,0,VLOOKUP(A190,INDIRECT("'[" &amp;Info!$B$4&amp;"]"&amp;Info!$B$5&amp;"'!$A$6:$AH$1000"),34,0)))</f>
        <v/>
      </c>
      <c r="P190" s="9" t="str">
        <f ca="1">IF(N190="","",IF(N190=0,0,VLOOKUP(A190,INDIRECT("'[" &amp;Info!$B$4&amp;"]"&amp;Info!$B$5&amp;"'!$A$6:$AW$1000"),49,0)))</f>
        <v/>
      </c>
      <c r="Q190" s="9" t="str">
        <f ca="1">IF(N190="","",IF(N190=0,0, VLOOKUP(A190,INDIRECT("'[" &amp;Info!$B$4&amp;"]"&amp;Info!$B$5&amp;"'!$A$6:$AX$1000"),50,0)))</f>
        <v/>
      </c>
      <c r="R190" s="29" t="str">
        <f ca="1">IF(N190="","",IF(N190=0,0, VLOOKUP(A190,INDIRECT("'[" &amp;Info!$B$4&amp;"]"&amp;Info!$B$5&amp;"'!$A$6:$AY$1000"),51,0)))</f>
        <v/>
      </c>
      <c r="S190" s="15" t="str">
        <f ca="1">IF(N190="","",IF(N190=0,0,VLOOKUP(A190,INDIRECT("'[" &amp;Info!$B$4&amp;"]"&amp;Info!$B$5&amp;"'!$A$6:$Ai$1000"),35,0)))</f>
        <v/>
      </c>
      <c r="T190" s="7" t="str">
        <f ca="1">IF(N190="","",IF(N190=0,0, VLOOKUP(A190,INDIRECT("'[" &amp;Info!$B$4&amp;"]"&amp;Info!$B$5&amp;"'!$A$6:$Az$1000"),52,0)))</f>
        <v/>
      </c>
      <c r="U190" s="7" t="str">
        <f ca="1">IF(N190="","",IF(N190=0,0, VLOOKUP(A190,INDIRECT("'[" &amp;Info!$B$4&amp;"]"&amp;Info!$B$5&amp;"'!$A$6:$BA$1000"),53,0)))</f>
        <v/>
      </c>
      <c r="V190" s="16" t="str">
        <f ca="1">IF(N190="","",IF(N190=0,0, VLOOKUP(A190,INDIRECT("'[" &amp;Info!$B$4&amp;"]"&amp;Info!$B$5&amp;"'!$A$6:$BB$1000"),54,0)))</f>
        <v/>
      </c>
      <c r="W190" s="17" t="str">
        <f t="shared" ca="1" si="13"/>
        <v/>
      </c>
      <c r="X190" s="18" t="str">
        <f t="shared" ca="1" si="14"/>
        <v/>
      </c>
      <c r="Y190" s="19" t="str">
        <f t="shared" ca="1" si="15"/>
        <v/>
      </c>
      <c r="Z190" s="18" t="str">
        <f t="shared" ca="1" si="16"/>
        <v/>
      </c>
    </row>
    <row r="191" spans="1:26" x14ac:dyDescent="0.25">
      <c r="A191" s="8" t="str">
        <f ca="1">IFERROR( VLOOKUP(A190+1,INDIRECT("'[" &amp;Info!$B$4&amp;"]"&amp;Info!$B$5&amp;"'!$A$6:$A$1000"),1,0),"")</f>
        <v/>
      </c>
      <c r="C191" s="14" t="str">
        <f ca="1">IFERROR( IF(A191="","", VLOOKUP(A191,INDIRECT("'[" &amp;Info!$B$4&amp;"]"&amp;Info!$B$5&amp;"'!$A$6:$D$1000"),3,0)),"")</f>
        <v/>
      </c>
      <c r="D191" s="31" t="str">
        <f ca="1">IF(C191="","", VLOOKUP(A191,INDIRECT("'[" &amp;Info!$B$4&amp;"]"&amp;Info!$B$5&amp;"'!$A$6:$T$1000"),20,0))</f>
        <v/>
      </c>
      <c r="E191" s="6" t="str">
        <f ca="1">IF(D191="","", VLOOKUP(A191,INDIRECT("'[" &amp;Info!$B$4&amp;"]"&amp;Info!$B$5&amp;"'!$A$6:$U$1000"),21,0))</f>
        <v/>
      </c>
      <c r="F191" s="6" t="str">
        <f ca="1">IF(D191="","", VLOOKUP(A191,INDIRECT("'[" &amp;Info!$B$4&amp;"]"&amp;Info!$B$5&amp;"'!$A$6:$U$1000"),21,0))</f>
        <v/>
      </c>
      <c r="G191" s="6" t="str">
        <f ca="1">IF(D191="","", VLOOKUP(A191,INDIRECT("'[" &amp;Info!$B$4&amp;"]"&amp;Info!$B$5&amp;"'!$A$6:$V$1000"),22,0))</f>
        <v/>
      </c>
      <c r="H191" s="6" t="str">
        <f ca="1">IF(D191="","", VLOOKUP(A191,INDIRECT("'[" &amp;Info!$B$4&amp;"]"&amp;Info!$B$5&amp;"'!$A$6:$W$1000"),23,0))</f>
        <v/>
      </c>
      <c r="I191" s="6" t="str">
        <f ca="1">LOWER( IF(D191="","", VLOOKUP(A191,INDIRECT("'[" &amp;Info!$B$4&amp;"]"&amp;Info!$B$5&amp;"'!$A$6:$y$1000"),25,0)))</f>
        <v/>
      </c>
      <c r="J191" s="6" t="str">
        <f ca="1">IF(D191="","", VLOOKUP(A191,INDIRECT("'[" &amp;Info!$B$4&amp;"]"&amp;Info!$B$5&amp;"'!$A$6:$Z$1000"),26,0))</f>
        <v/>
      </c>
      <c r="K191" s="35" t="str">
        <f ca="1">IF(D191="","", VLOOKUP(A191,INDIRECT("'[" &amp;Info!$B$4&amp;"]"&amp;Info!$B$5&amp;"'!$A$6:$AA$1000"),27,0))</f>
        <v/>
      </c>
      <c r="L191" s="35" t="str">
        <f ca="1">IF(D191="","", VLOOKUP(A191,INDIRECT("'[" &amp;Info!$B$4&amp;"]"&amp;Info!$B$5&amp;"'!$A$6:$H$1000"),8,0))</f>
        <v/>
      </c>
      <c r="M191" s="35" t="str">
        <f ca="1">IF(D191="","", VLOOKUP(A191,INDIRECT("'[" &amp;Info!$B$4&amp;"]"&amp;Info!$B$5&amp;"'!$A$6:$F$1000"),6,0))</f>
        <v/>
      </c>
      <c r="N191" s="33" t="str">
        <f ca="1">IF(C191="","", VLOOKUP(A191,INDIRECT("'[" &amp;Info!$B$4&amp;"]"&amp;Info!$B$5&amp;"'!$A$6:$Au$1000"),47,0))</f>
        <v/>
      </c>
      <c r="O191" s="28" t="str">
        <f ca="1">IF(N191="","",IF(N191=0,0,VLOOKUP(A191,INDIRECT("'[" &amp;Info!$B$4&amp;"]"&amp;Info!$B$5&amp;"'!$A$6:$AH$1000"),34,0)))</f>
        <v/>
      </c>
      <c r="P191" s="9" t="str">
        <f ca="1">IF(N191="","",IF(N191=0,0,VLOOKUP(A191,INDIRECT("'[" &amp;Info!$B$4&amp;"]"&amp;Info!$B$5&amp;"'!$A$6:$AW$1000"),49,0)))</f>
        <v/>
      </c>
      <c r="Q191" s="9" t="str">
        <f ca="1">IF(N191="","",IF(N191=0,0, VLOOKUP(A191,INDIRECT("'[" &amp;Info!$B$4&amp;"]"&amp;Info!$B$5&amp;"'!$A$6:$AX$1000"),50,0)))</f>
        <v/>
      </c>
      <c r="R191" s="29" t="str">
        <f ca="1">IF(N191="","",IF(N191=0,0, VLOOKUP(A191,INDIRECT("'[" &amp;Info!$B$4&amp;"]"&amp;Info!$B$5&amp;"'!$A$6:$AY$1000"),51,0)))</f>
        <v/>
      </c>
      <c r="S191" s="15" t="str">
        <f ca="1">IF(N191="","",IF(N191=0,0,VLOOKUP(A191,INDIRECT("'[" &amp;Info!$B$4&amp;"]"&amp;Info!$B$5&amp;"'!$A$6:$Ai$1000"),35,0)))</f>
        <v/>
      </c>
      <c r="T191" s="7" t="str">
        <f ca="1">IF(N191="","",IF(N191=0,0, VLOOKUP(A191,INDIRECT("'[" &amp;Info!$B$4&amp;"]"&amp;Info!$B$5&amp;"'!$A$6:$Az$1000"),52,0)))</f>
        <v/>
      </c>
      <c r="U191" s="7" t="str">
        <f ca="1">IF(N191="","",IF(N191=0,0, VLOOKUP(A191,INDIRECT("'[" &amp;Info!$B$4&amp;"]"&amp;Info!$B$5&amp;"'!$A$6:$BA$1000"),53,0)))</f>
        <v/>
      </c>
      <c r="V191" s="16" t="str">
        <f ca="1">IF(N191="","",IF(N191=0,0, VLOOKUP(A191,INDIRECT("'[" &amp;Info!$B$4&amp;"]"&amp;Info!$B$5&amp;"'!$A$6:$BB$1000"),54,0)))</f>
        <v/>
      </c>
      <c r="W191" s="17" t="str">
        <f t="shared" ca="1" si="13"/>
        <v/>
      </c>
      <c r="X191" s="18" t="str">
        <f t="shared" ca="1" si="14"/>
        <v/>
      </c>
      <c r="Y191" s="19" t="str">
        <f t="shared" ca="1" si="15"/>
        <v/>
      </c>
      <c r="Z191" s="18" t="str">
        <f t="shared" ca="1" si="16"/>
        <v/>
      </c>
    </row>
    <row r="192" spans="1:26" x14ac:dyDescent="0.25">
      <c r="A192" s="8" t="str">
        <f ca="1">IFERROR( VLOOKUP(A191+1,INDIRECT("'[" &amp;Info!$B$4&amp;"]"&amp;Info!$B$5&amp;"'!$A$6:$A$1000"),1,0),"")</f>
        <v/>
      </c>
      <c r="C192" s="14" t="str">
        <f ca="1">IFERROR( IF(A192="","", VLOOKUP(A192,INDIRECT("'[" &amp;Info!$B$4&amp;"]"&amp;Info!$B$5&amp;"'!$A$6:$D$1000"),3,0)),"")</f>
        <v/>
      </c>
      <c r="D192" s="31" t="str">
        <f ca="1">IF(C192="","", VLOOKUP(A192,INDIRECT("'[" &amp;Info!$B$4&amp;"]"&amp;Info!$B$5&amp;"'!$A$6:$T$1000"),20,0))</f>
        <v/>
      </c>
      <c r="E192" s="6" t="str">
        <f ca="1">IF(D192="","", VLOOKUP(A192,INDIRECT("'[" &amp;Info!$B$4&amp;"]"&amp;Info!$B$5&amp;"'!$A$6:$U$1000"),21,0))</f>
        <v/>
      </c>
      <c r="F192" s="6" t="str">
        <f ca="1">IF(D192="","", VLOOKUP(A192,INDIRECT("'[" &amp;Info!$B$4&amp;"]"&amp;Info!$B$5&amp;"'!$A$6:$U$1000"),21,0))</f>
        <v/>
      </c>
      <c r="G192" s="6" t="str">
        <f ca="1">IF(D192="","", VLOOKUP(A192,INDIRECT("'[" &amp;Info!$B$4&amp;"]"&amp;Info!$B$5&amp;"'!$A$6:$V$1000"),22,0))</f>
        <v/>
      </c>
      <c r="H192" s="6" t="str">
        <f ca="1">IF(D192="","", VLOOKUP(A192,INDIRECT("'[" &amp;Info!$B$4&amp;"]"&amp;Info!$B$5&amp;"'!$A$6:$W$1000"),23,0))</f>
        <v/>
      </c>
      <c r="I192" s="6" t="str">
        <f ca="1">LOWER( IF(D192="","", VLOOKUP(A192,INDIRECT("'[" &amp;Info!$B$4&amp;"]"&amp;Info!$B$5&amp;"'!$A$6:$y$1000"),25,0)))</f>
        <v/>
      </c>
      <c r="J192" s="6" t="str">
        <f ca="1">IF(D192="","", VLOOKUP(A192,INDIRECT("'[" &amp;Info!$B$4&amp;"]"&amp;Info!$B$5&amp;"'!$A$6:$Z$1000"),26,0))</f>
        <v/>
      </c>
      <c r="K192" s="35" t="str">
        <f ca="1">IF(D192="","", VLOOKUP(A192,INDIRECT("'[" &amp;Info!$B$4&amp;"]"&amp;Info!$B$5&amp;"'!$A$6:$AA$1000"),27,0))</f>
        <v/>
      </c>
      <c r="L192" s="35" t="str">
        <f ca="1">IF(D192="","", VLOOKUP(A192,INDIRECT("'[" &amp;Info!$B$4&amp;"]"&amp;Info!$B$5&amp;"'!$A$6:$H$1000"),8,0))</f>
        <v/>
      </c>
      <c r="M192" s="35" t="str">
        <f ca="1">IF(D192="","", VLOOKUP(A192,INDIRECT("'[" &amp;Info!$B$4&amp;"]"&amp;Info!$B$5&amp;"'!$A$6:$F$1000"),6,0))</f>
        <v/>
      </c>
      <c r="N192" s="33" t="str">
        <f ca="1">IF(C192="","", VLOOKUP(A192,INDIRECT("'[" &amp;Info!$B$4&amp;"]"&amp;Info!$B$5&amp;"'!$A$6:$Au$1000"),47,0))</f>
        <v/>
      </c>
      <c r="O192" s="28" t="str">
        <f ca="1">IF(N192="","",IF(N192=0,0,VLOOKUP(A192,INDIRECT("'[" &amp;Info!$B$4&amp;"]"&amp;Info!$B$5&amp;"'!$A$6:$AH$1000"),34,0)))</f>
        <v/>
      </c>
      <c r="P192" s="9" t="str">
        <f ca="1">IF(N192="","",IF(N192=0,0,VLOOKUP(A192,INDIRECT("'[" &amp;Info!$B$4&amp;"]"&amp;Info!$B$5&amp;"'!$A$6:$AW$1000"),49,0)))</f>
        <v/>
      </c>
      <c r="Q192" s="9" t="str">
        <f ca="1">IF(N192="","",IF(N192=0,0, VLOOKUP(A192,INDIRECT("'[" &amp;Info!$B$4&amp;"]"&amp;Info!$B$5&amp;"'!$A$6:$AX$1000"),50,0)))</f>
        <v/>
      </c>
      <c r="R192" s="29" t="str">
        <f ca="1">IF(N192="","",IF(N192=0,0, VLOOKUP(A192,INDIRECT("'[" &amp;Info!$B$4&amp;"]"&amp;Info!$B$5&amp;"'!$A$6:$AY$1000"),51,0)))</f>
        <v/>
      </c>
      <c r="S192" s="15" t="str">
        <f ca="1">IF(N192="","",IF(N192=0,0,VLOOKUP(A192,INDIRECT("'[" &amp;Info!$B$4&amp;"]"&amp;Info!$B$5&amp;"'!$A$6:$Ai$1000"),35,0)))</f>
        <v/>
      </c>
      <c r="T192" s="7" t="str">
        <f ca="1">IF(N192="","",IF(N192=0,0, VLOOKUP(A192,INDIRECT("'[" &amp;Info!$B$4&amp;"]"&amp;Info!$B$5&amp;"'!$A$6:$Az$1000"),52,0)))</f>
        <v/>
      </c>
      <c r="U192" s="7" t="str">
        <f ca="1">IF(N192="","",IF(N192=0,0, VLOOKUP(A192,INDIRECT("'[" &amp;Info!$B$4&amp;"]"&amp;Info!$B$5&amp;"'!$A$6:$BA$1000"),53,0)))</f>
        <v/>
      </c>
      <c r="V192" s="16" t="str">
        <f ca="1">IF(N192="","",IF(N192=0,0, VLOOKUP(A192,INDIRECT("'[" &amp;Info!$B$4&amp;"]"&amp;Info!$B$5&amp;"'!$A$6:$BB$1000"),54,0)))</f>
        <v/>
      </c>
      <c r="W192" s="17" t="str">
        <f t="shared" ca="1" si="13"/>
        <v/>
      </c>
      <c r="X192" s="18" t="str">
        <f t="shared" ca="1" si="14"/>
        <v/>
      </c>
      <c r="Y192" s="19" t="str">
        <f t="shared" ca="1" si="15"/>
        <v/>
      </c>
      <c r="Z192" s="18" t="str">
        <f t="shared" ca="1" si="16"/>
        <v/>
      </c>
    </row>
    <row r="193" spans="1:26" x14ac:dyDescent="0.25">
      <c r="A193" s="8" t="str">
        <f ca="1">IFERROR( VLOOKUP(A192+1,INDIRECT("'[" &amp;Info!$B$4&amp;"]"&amp;Info!$B$5&amp;"'!$A$6:$A$1000"),1,0),"")</f>
        <v/>
      </c>
      <c r="C193" s="14" t="str">
        <f ca="1">IFERROR( IF(A193="","", VLOOKUP(A193,INDIRECT("'[" &amp;Info!$B$4&amp;"]"&amp;Info!$B$5&amp;"'!$A$6:$D$1000"),3,0)),"")</f>
        <v/>
      </c>
      <c r="D193" s="31" t="str">
        <f ca="1">IF(C193="","", VLOOKUP(A193,INDIRECT("'[" &amp;Info!$B$4&amp;"]"&amp;Info!$B$5&amp;"'!$A$6:$T$1000"),20,0))</f>
        <v/>
      </c>
      <c r="E193" s="6" t="str">
        <f ca="1">IF(D193="","", VLOOKUP(A193,INDIRECT("'[" &amp;Info!$B$4&amp;"]"&amp;Info!$B$5&amp;"'!$A$6:$U$1000"),21,0))</f>
        <v/>
      </c>
      <c r="F193" s="6" t="str">
        <f ca="1">IF(D193="","", VLOOKUP(A193,INDIRECT("'[" &amp;Info!$B$4&amp;"]"&amp;Info!$B$5&amp;"'!$A$6:$U$1000"),21,0))</f>
        <v/>
      </c>
      <c r="G193" s="6" t="str">
        <f ca="1">IF(D193="","", VLOOKUP(A193,INDIRECT("'[" &amp;Info!$B$4&amp;"]"&amp;Info!$B$5&amp;"'!$A$6:$V$1000"),22,0))</f>
        <v/>
      </c>
      <c r="H193" s="6" t="str">
        <f ca="1">IF(D193="","", VLOOKUP(A193,INDIRECT("'[" &amp;Info!$B$4&amp;"]"&amp;Info!$B$5&amp;"'!$A$6:$W$1000"),23,0))</f>
        <v/>
      </c>
      <c r="I193" s="6" t="str">
        <f ca="1">LOWER( IF(D193="","", VLOOKUP(A193,INDIRECT("'[" &amp;Info!$B$4&amp;"]"&amp;Info!$B$5&amp;"'!$A$6:$y$1000"),25,0)))</f>
        <v/>
      </c>
      <c r="J193" s="6" t="str">
        <f ca="1">IF(D193="","", VLOOKUP(A193,INDIRECT("'[" &amp;Info!$B$4&amp;"]"&amp;Info!$B$5&amp;"'!$A$6:$Z$1000"),26,0))</f>
        <v/>
      </c>
      <c r="K193" s="35" t="str">
        <f ca="1">IF(D193="","", VLOOKUP(A193,INDIRECT("'[" &amp;Info!$B$4&amp;"]"&amp;Info!$B$5&amp;"'!$A$6:$AA$1000"),27,0))</f>
        <v/>
      </c>
      <c r="L193" s="35" t="str">
        <f ca="1">IF(D193="","", VLOOKUP(A193,INDIRECT("'[" &amp;Info!$B$4&amp;"]"&amp;Info!$B$5&amp;"'!$A$6:$H$1000"),8,0))</f>
        <v/>
      </c>
      <c r="M193" s="35" t="str">
        <f ca="1">IF(D193="","", VLOOKUP(A193,INDIRECT("'[" &amp;Info!$B$4&amp;"]"&amp;Info!$B$5&amp;"'!$A$6:$F$1000"),6,0))</f>
        <v/>
      </c>
      <c r="N193" s="33" t="str">
        <f ca="1">IF(C193="","", VLOOKUP(A193,INDIRECT("'[" &amp;Info!$B$4&amp;"]"&amp;Info!$B$5&amp;"'!$A$6:$Au$1000"),47,0))</f>
        <v/>
      </c>
      <c r="O193" s="28" t="str">
        <f ca="1">IF(N193="","",IF(N193=0,0,VLOOKUP(A193,INDIRECT("'[" &amp;Info!$B$4&amp;"]"&amp;Info!$B$5&amp;"'!$A$6:$AH$1000"),34,0)))</f>
        <v/>
      </c>
      <c r="P193" s="9" t="str">
        <f ca="1">IF(N193="","",IF(N193=0,0,VLOOKUP(A193,INDIRECT("'[" &amp;Info!$B$4&amp;"]"&amp;Info!$B$5&amp;"'!$A$6:$AW$1000"),49,0)))</f>
        <v/>
      </c>
      <c r="Q193" s="9" t="str">
        <f ca="1">IF(N193="","",IF(N193=0,0, VLOOKUP(A193,INDIRECT("'[" &amp;Info!$B$4&amp;"]"&amp;Info!$B$5&amp;"'!$A$6:$AX$1000"),50,0)))</f>
        <v/>
      </c>
      <c r="R193" s="29" t="str">
        <f ca="1">IF(N193="","",IF(N193=0,0, VLOOKUP(A193,INDIRECT("'[" &amp;Info!$B$4&amp;"]"&amp;Info!$B$5&amp;"'!$A$6:$AY$1000"),51,0)))</f>
        <v/>
      </c>
      <c r="S193" s="15" t="str">
        <f ca="1">IF(N193="","",IF(N193=0,0,VLOOKUP(A193,INDIRECT("'[" &amp;Info!$B$4&amp;"]"&amp;Info!$B$5&amp;"'!$A$6:$Ai$1000"),35,0)))</f>
        <v/>
      </c>
      <c r="T193" s="7" t="str">
        <f ca="1">IF(N193="","",IF(N193=0,0, VLOOKUP(A193,INDIRECT("'[" &amp;Info!$B$4&amp;"]"&amp;Info!$B$5&amp;"'!$A$6:$Az$1000"),52,0)))</f>
        <v/>
      </c>
      <c r="U193" s="7" t="str">
        <f ca="1">IF(N193="","",IF(N193=0,0, VLOOKUP(A193,INDIRECT("'[" &amp;Info!$B$4&amp;"]"&amp;Info!$B$5&amp;"'!$A$6:$BA$1000"),53,0)))</f>
        <v/>
      </c>
      <c r="V193" s="16" t="str">
        <f ca="1">IF(N193="","",IF(N193=0,0, VLOOKUP(A193,INDIRECT("'[" &amp;Info!$B$4&amp;"]"&amp;Info!$B$5&amp;"'!$A$6:$BB$1000"),54,0)))</f>
        <v/>
      </c>
      <c r="W193" s="17" t="str">
        <f t="shared" ca="1" si="13"/>
        <v/>
      </c>
      <c r="X193" s="18" t="str">
        <f t="shared" ca="1" si="14"/>
        <v/>
      </c>
      <c r="Y193" s="19" t="str">
        <f t="shared" ca="1" si="15"/>
        <v/>
      </c>
      <c r="Z193" s="18" t="str">
        <f t="shared" ca="1" si="16"/>
        <v/>
      </c>
    </row>
    <row r="194" spans="1:26" x14ac:dyDescent="0.25">
      <c r="A194" s="8" t="str">
        <f ca="1">IFERROR( VLOOKUP(A193+1,INDIRECT("'[" &amp;Info!$B$4&amp;"]"&amp;Info!$B$5&amp;"'!$A$6:$A$1000"),1,0),"")</f>
        <v/>
      </c>
      <c r="C194" s="14" t="str">
        <f ca="1">IFERROR( IF(A194="","", VLOOKUP(A194,INDIRECT("'[" &amp;Info!$B$4&amp;"]"&amp;Info!$B$5&amp;"'!$A$6:$D$1000"),3,0)),"")</f>
        <v/>
      </c>
      <c r="D194" s="31" t="str">
        <f ca="1">IF(C194="","", VLOOKUP(A194,INDIRECT("'[" &amp;Info!$B$4&amp;"]"&amp;Info!$B$5&amp;"'!$A$6:$T$1000"),20,0))</f>
        <v/>
      </c>
      <c r="E194" s="6" t="str">
        <f ca="1">IF(D194="","", VLOOKUP(A194,INDIRECT("'[" &amp;Info!$B$4&amp;"]"&amp;Info!$B$5&amp;"'!$A$6:$U$1000"),21,0))</f>
        <v/>
      </c>
      <c r="F194" s="6" t="str">
        <f ca="1">IF(D194="","", VLOOKUP(A194,INDIRECT("'[" &amp;Info!$B$4&amp;"]"&amp;Info!$B$5&amp;"'!$A$6:$U$1000"),21,0))</f>
        <v/>
      </c>
      <c r="G194" s="6" t="str">
        <f ca="1">IF(D194="","", VLOOKUP(A194,INDIRECT("'[" &amp;Info!$B$4&amp;"]"&amp;Info!$B$5&amp;"'!$A$6:$V$1000"),22,0))</f>
        <v/>
      </c>
      <c r="H194" s="6" t="str">
        <f ca="1">IF(D194="","", VLOOKUP(A194,INDIRECT("'[" &amp;Info!$B$4&amp;"]"&amp;Info!$B$5&amp;"'!$A$6:$W$1000"),23,0))</f>
        <v/>
      </c>
      <c r="I194" s="6" t="str">
        <f ca="1">LOWER( IF(D194="","", VLOOKUP(A194,INDIRECT("'[" &amp;Info!$B$4&amp;"]"&amp;Info!$B$5&amp;"'!$A$6:$y$1000"),25,0)))</f>
        <v/>
      </c>
      <c r="J194" s="6" t="str">
        <f ca="1">IF(D194="","", VLOOKUP(A194,INDIRECT("'[" &amp;Info!$B$4&amp;"]"&amp;Info!$B$5&amp;"'!$A$6:$Z$1000"),26,0))</f>
        <v/>
      </c>
      <c r="K194" s="35" t="str">
        <f ca="1">IF(D194="","", VLOOKUP(A194,INDIRECT("'[" &amp;Info!$B$4&amp;"]"&amp;Info!$B$5&amp;"'!$A$6:$AA$1000"),27,0))</f>
        <v/>
      </c>
      <c r="L194" s="35" t="str">
        <f ca="1">IF(D194="","", VLOOKUP(A194,INDIRECT("'[" &amp;Info!$B$4&amp;"]"&amp;Info!$B$5&amp;"'!$A$6:$H$1000"),8,0))</f>
        <v/>
      </c>
      <c r="M194" s="35" t="str">
        <f ca="1">IF(D194="","", VLOOKUP(A194,INDIRECT("'[" &amp;Info!$B$4&amp;"]"&amp;Info!$B$5&amp;"'!$A$6:$F$1000"),6,0))</f>
        <v/>
      </c>
      <c r="N194" s="33" t="str">
        <f ca="1">IF(C194="","", VLOOKUP(A194,INDIRECT("'[" &amp;Info!$B$4&amp;"]"&amp;Info!$B$5&amp;"'!$A$6:$Au$1000"),47,0))</f>
        <v/>
      </c>
      <c r="O194" s="28" t="str">
        <f ca="1">IF(N194="","",IF(N194=0,0,VLOOKUP(A194,INDIRECT("'[" &amp;Info!$B$4&amp;"]"&amp;Info!$B$5&amp;"'!$A$6:$AH$1000"),34,0)))</f>
        <v/>
      </c>
      <c r="P194" s="9" t="str">
        <f ca="1">IF(N194="","",IF(N194=0,0,VLOOKUP(A194,INDIRECT("'[" &amp;Info!$B$4&amp;"]"&amp;Info!$B$5&amp;"'!$A$6:$AW$1000"),49,0)))</f>
        <v/>
      </c>
      <c r="Q194" s="9" t="str">
        <f ca="1">IF(N194="","",IF(N194=0,0, VLOOKUP(A194,INDIRECT("'[" &amp;Info!$B$4&amp;"]"&amp;Info!$B$5&amp;"'!$A$6:$AX$1000"),50,0)))</f>
        <v/>
      </c>
      <c r="R194" s="29" t="str">
        <f ca="1">IF(N194="","",IF(N194=0,0, VLOOKUP(A194,INDIRECT("'[" &amp;Info!$B$4&amp;"]"&amp;Info!$B$5&amp;"'!$A$6:$AY$1000"),51,0)))</f>
        <v/>
      </c>
      <c r="S194" s="15" t="str">
        <f ca="1">IF(N194="","",IF(N194=0,0,VLOOKUP(A194,INDIRECT("'[" &amp;Info!$B$4&amp;"]"&amp;Info!$B$5&amp;"'!$A$6:$Ai$1000"),35,0)))</f>
        <v/>
      </c>
      <c r="T194" s="7" t="str">
        <f ca="1">IF(N194="","",IF(N194=0,0, VLOOKUP(A194,INDIRECT("'[" &amp;Info!$B$4&amp;"]"&amp;Info!$B$5&amp;"'!$A$6:$Az$1000"),52,0)))</f>
        <v/>
      </c>
      <c r="U194" s="7" t="str">
        <f ca="1">IF(N194="","",IF(N194=0,0, VLOOKUP(A194,INDIRECT("'[" &amp;Info!$B$4&amp;"]"&amp;Info!$B$5&amp;"'!$A$6:$BA$1000"),53,0)))</f>
        <v/>
      </c>
      <c r="V194" s="16" t="str">
        <f ca="1">IF(N194="","",IF(N194=0,0, VLOOKUP(A194,INDIRECT("'[" &amp;Info!$B$4&amp;"]"&amp;Info!$B$5&amp;"'!$A$6:$BB$1000"),54,0)))</f>
        <v/>
      </c>
      <c r="W194" s="17" t="str">
        <f t="shared" ca="1" si="13"/>
        <v/>
      </c>
      <c r="X194" s="18" t="str">
        <f t="shared" ca="1" si="14"/>
        <v/>
      </c>
      <c r="Y194" s="19" t="str">
        <f t="shared" ca="1" si="15"/>
        <v/>
      </c>
      <c r="Z194" s="18" t="str">
        <f t="shared" ca="1" si="16"/>
        <v/>
      </c>
    </row>
    <row r="195" spans="1:26" x14ac:dyDescent="0.25">
      <c r="A195" s="8" t="str">
        <f ca="1">IFERROR( VLOOKUP(A194+1,INDIRECT("'[" &amp;Info!$B$4&amp;"]"&amp;Info!$B$5&amp;"'!$A$6:$A$1000"),1,0),"")</f>
        <v/>
      </c>
      <c r="C195" s="14" t="str">
        <f ca="1">IFERROR( IF(A195="","", VLOOKUP(A195,INDIRECT("'[" &amp;Info!$B$4&amp;"]"&amp;Info!$B$5&amp;"'!$A$6:$D$1000"),3,0)),"")</f>
        <v/>
      </c>
      <c r="D195" s="31" t="str">
        <f ca="1">IF(C195="","", VLOOKUP(A195,INDIRECT("'[" &amp;Info!$B$4&amp;"]"&amp;Info!$B$5&amp;"'!$A$6:$T$1000"),20,0))</f>
        <v/>
      </c>
      <c r="E195" s="6" t="str">
        <f ca="1">IF(D195="","", VLOOKUP(A195,INDIRECT("'[" &amp;Info!$B$4&amp;"]"&amp;Info!$B$5&amp;"'!$A$6:$U$1000"),21,0))</f>
        <v/>
      </c>
      <c r="F195" s="6" t="str">
        <f ca="1">IF(D195="","", VLOOKUP(A195,INDIRECT("'[" &amp;Info!$B$4&amp;"]"&amp;Info!$B$5&amp;"'!$A$6:$U$1000"),21,0))</f>
        <v/>
      </c>
      <c r="G195" s="6" t="str">
        <f ca="1">IF(D195="","", VLOOKUP(A195,INDIRECT("'[" &amp;Info!$B$4&amp;"]"&amp;Info!$B$5&amp;"'!$A$6:$V$1000"),22,0))</f>
        <v/>
      </c>
      <c r="H195" s="6" t="str">
        <f ca="1">IF(D195="","", VLOOKUP(A195,INDIRECT("'[" &amp;Info!$B$4&amp;"]"&amp;Info!$B$5&amp;"'!$A$6:$W$1000"),23,0))</f>
        <v/>
      </c>
      <c r="I195" s="6" t="str">
        <f ca="1">LOWER( IF(D195="","", VLOOKUP(A195,INDIRECT("'[" &amp;Info!$B$4&amp;"]"&amp;Info!$B$5&amp;"'!$A$6:$y$1000"),25,0)))</f>
        <v/>
      </c>
      <c r="J195" s="6" t="str">
        <f ca="1">IF(D195="","", VLOOKUP(A195,INDIRECT("'[" &amp;Info!$B$4&amp;"]"&amp;Info!$B$5&amp;"'!$A$6:$Z$1000"),26,0))</f>
        <v/>
      </c>
      <c r="K195" s="35" t="str">
        <f ca="1">IF(D195="","", VLOOKUP(A195,INDIRECT("'[" &amp;Info!$B$4&amp;"]"&amp;Info!$B$5&amp;"'!$A$6:$AA$1000"),27,0))</f>
        <v/>
      </c>
      <c r="L195" s="35" t="str">
        <f ca="1">IF(D195="","", VLOOKUP(A195,INDIRECT("'[" &amp;Info!$B$4&amp;"]"&amp;Info!$B$5&amp;"'!$A$6:$H$1000"),8,0))</f>
        <v/>
      </c>
      <c r="M195" s="35" t="str">
        <f ca="1">IF(D195="","", VLOOKUP(A195,INDIRECT("'[" &amp;Info!$B$4&amp;"]"&amp;Info!$B$5&amp;"'!$A$6:$F$1000"),6,0))</f>
        <v/>
      </c>
      <c r="N195" s="33" t="str">
        <f ca="1">IF(C195="","", VLOOKUP(A195,INDIRECT("'[" &amp;Info!$B$4&amp;"]"&amp;Info!$B$5&amp;"'!$A$6:$Au$1000"),47,0))</f>
        <v/>
      </c>
      <c r="O195" s="28" t="str">
        <f ca="1">IF(N195="","",IF(N195=0,0,VLOOKUP(A195,INDIRECT("'[" &amp;Info!$B$4&amp;"]"&amp;Info!$B$5&amp;"'!$A$6:$AH$1000"),34,0)))</f>
        <v/>
      </c>
      <c r="P195" s="9" t="str">
        <f ca="1">IF(N195="","",IF(N195=0,0,VLOOKUP(A195,INDIRECT("'[" &amp;Info!$B$4&amp;"]"&amp;Info!$B$5&amp;"'!$A$6:$AW$1000"),49,0)))</f>
        <v/>
      </c>
      <c r="Q195" s="9" t="str">
        <f ca="1">IF(N195="","",IF(N195=0,0, VLOOKUP(A195,INDIRECT("'[" &amp;Info!$B$4&amp;"]"&amp;Info!$B$5&amp;"'!$A$6:$AX$1000"),50,0)))</f>
        <v/>
      </c>
      <c r="R195" s="29" t="str">
        <f ca="1">IF(N195="","",IF(N195=0,0, VLOOKUP(A195,INDIRECT("'[" &amp;Info!$B$4&amp;"]"&amp;Info!$B$5&amp;"'!$A$6:$AY$1000"),51,0)))</f>
        <v/>
      </c>
      <c r="S195" s="15" t="str">
        <f ca="1">IF(N195="","",IF(N195=0,0,VLOOKUP(A195,INDIRECT("'[" &amp;Info!$B$4&amp;"]"&amp;Info!$B$5&amp;"'!$A$6:$Ai$1000"),35,0)))</f>
        <v/>
      </c>
      <c r="T195" s="7" t="str">
        <f ca="1">IF(N195="","",IF(N195=0,0, VLOOKUP(A195,INDIRECT("'[" &amp;Info!$B$4&amp;"]"&amp;Info!$B$5&amp;"'!$A$6:$Az$1000"),52,0)))</f>
        <v/>
      </c>
      <c r="U195" s="7" t="str">
        <f ca="1">IF(N195="","",IF(N195=0,0, VLOOKUP(A195,INDIRECT("'[" &amp;Info!$B$4&amp;"]"&amp;Info!$B$5&amp;"'!$A$6:$BA$1000"),53,0)))</f>
        <v/>
      </c>
      <c r="V195" s="16" t="str">
        <f ca="1">IF(N195="","",IF(N195=0,0, VLOOKUP(A195,INDIRECT("'[" &amp;Info!$B$4&amp;"]"&amp;Info!$B$5&amp;"'!$A$6:$BB$1000"),54,0)))</f>
        <v/>
      </c>
      <c r="W195" s="17" t="str">
        <f t="shared" ca="1" si="13"/>
        <v/>
      </c>
      <c r="X195" s="18" t="str">
        <f t="shared" ca="1" si="14"/>
        <v/>
      </c>
      <c r="Y195" s="19" t="str">
        <f t="shared" ca="1" si="15"/>
        <v/>
      </c>
      <c r="Z195" s="18" t="str">
        <f t="shared" ca="1" si="16"/>
        <v/>
      </c>
    </row>
    <row r="196" spans="1:26" x14ac:dyDescent="0.25">
      <c r="A196" s="8" t="str">
        <f ca="1">IFERROR( VLOOKUP(A195+1,INDIRECT("'[" &amp;Info!$B$4&amp;"]"&amp;Info!$B$5&amp;"'!$A$6:$A$1000"),1,0),"")</f>
        <v/>
      </c>
      <c r="C196" s="14" t="str">
        <f ca="1">IFERROR( IF(A196="","", VLOOKUP(A196,INDIRECT("'[" &amp;Info!$B$4&amp;"]"&amp;Info!$B$5&amp;"'!$A$6:$D$1000"),3,0)),"")</f>
        <v/>
      </c>
      <c r="D196" s="31" t="str">
        <f ca="1">IF(C196="","", VLOOKUP(A196,INDIRECT("'[" &amp;Info!$B$4&amp;"]"&amp;Info!$B$5&amp;"'!$A$6:$T$1000"),20,0))</f>
        <v/>
      </c>
      <c r="E196" s="6" t="str">
        <f ca="1">IF(D196="","", VLOOKUP(A196,INDIRECT("'[" &amp;Info!$B$4&amp;"]"&amp;Info!$B$5&amp;"'!$A$6:$U$1000"),21,0))</f>
        <v/>
      </c>
      <c r="F196" s="6" t="str">
        <f ca="1">IF(D196="","", VLOOKUP(A196,INDIRECT("'[" &amp;Info!$B$4&amp;"]"&amp;Info!$B$5&amp;"'!$A$6:$U$1000"),21,0))</f>
        <v/>
      </c>
      <c r="G196" s="6" t="str">
        <f ca="1">IF(D196="","", VLOOKUP(A196,INDIRECT("'[" &amp;Info!$B$4&amp;"]"&amp;Info!$B$5&amp;"'!$A$6:$V$1000"),22,0))</f>
        <v/>
      </c>
      <c r="H196" s="6" t="str">
        <f ca="1">IF(D196="","", VLOOKUP(A196,INDIRECT("'[" &amp;Info!$B$4&amp;"]"&amp;Info!$B$5&amp;"'!$A$6:$W$1000"),23,0))</f>
        <v/>
      </c>
      <c r="I196" s="6" t="str">
        <f ca="1">LOWER( IF(D196="","", VLOOKUP(A196,INDIRECT("'[" &amp;Info!$B$4&amp;"]"&amp;Info!$B$5&amp;"'!$A$6:$y$1000"),25,0)))</f>
        <v/>
      </c>
      <c r="J196" s="6" t="str">
        <f ca="1">IF(D196="","", VLOOKUP(A196,INDIRECT("'[" &amp;Info!$B$4&amp;"]"&amp;Info!$B$5&amp;"'!$A$6:$Z$1000"),26,0))</f>
        <v/>
      </c>
      <c r="K196" s="35" t="str">
        <f ca="1">IF(D196="","", VLOOKUP(A196,INDIRECT("'[" &amp;Info!$B$4&amp;"]"&amp;Info!$B$5&amp;"'!$A$6:$AA$1000"),27,0))</f>
        <v/>
      </c>
      <c r="L196" s="35" t="str">
        <f ca="1">IF(D196="","", VLOOKUP(A196,INDIRECT("'[" &amp;Info!$B$4&amp;"]"&amp;Info!$B$5&amp;"'!$A$6:$H$1000"),8,0))</f>
        <v/>
      </c>
      <c r="M196" s="35" t="str">
        <f ca="1">IF(D196="","", VLOOKUP(A196,INDIRECT("'[" &amp;Info!$B$4&amp;"]"&amp;Info!$B$5&amp;"'!$A$6:$F$1000"),6,0))</f>
        <v/>
      </c>
      <c r="N196" s="33" t="str">
        <f ca="1">IF(C196="","", VLOOKUP(A196,INDIRECT("'[" &amp;Info!$B$4&amp;"]"&amp;Info!$B$5&amp;"'!$A$6:$Au$1000"),47,0))</f>
        <v/>
      </c>
      <c r="O196" s="28" t="str">
        <f ca="1">IF(N196="","",IF(N196=0,0,VLOOKUP(A196,INDIRECT("'[" &amp;Info!$B$4&amp;"]"&amp;Info!$B$5&amp;"'!$A$6:$AH$1000"),34,0)))</f>
        <v/>
      </c>
      <c r="P196" s="9" t="str">
        <f ca="1">IF(N196="","",IF(N196=0,0,VLOOKUP(A196,INDIRECT("'[" &amp;Info!$B$4&amp;"]"&amp;Info!$B$5&amp;"'!$A$6:$AW$1000"),49,0)))</f>
        <v/>
      </c>
      <c r="Q196" s="9" t="str">
        <f ca="1">IF(N196="","",IF(N196=0,0, VLOOKUP(A196,INDIRECT("'[" &amp;Info!$B$4&amp;"]"&amp;Info!$B$5&amp;"'!$A$6:$AX$1000"),50,0)))</f>
        <v/>
      </c>
      <c r="R196" s="29" t="str">
        <f ca="1">IF(N196="","",IF(N196=0,0, VLOOKUP(A196,INDIRECT("'[" &amp;Info!$B$4&amp;"]"&amp;Info!$B$5&amp;"'!$A$6:$AY$1000"),51,0)))</f>
        <v/>
      </c>
      <c r="S196" s="15" t="str">
        <f ca="1">IF(N196="","",IF(N196=0,0,VLOOKUP(A196,INDIRECT("'[" &amp;Info!$B$4&amp;"]"&amp;Info!$B$5&amp;"'!$A$6:$Ai$1000"),35,0)))</f>
        <v/>
      </c>
      <c r="T196" s="7" t="str">
        <f ca="1">IF(N196="","",IF(N196=0,0, VLOOKUP(A196,INDIRECT("'[" &amp;Info!$B$4&amp;"]"&amp;Info!$B$5&amp;"'!$A$6:$Az$1000"),52,0)))</f>
        <v/>
      </c>
      <c r="U196" s="7" t="str">
        <f ca="1">IF(N196="","",IF(N196=0,0, VLOOKUP(A196,INDIRECT("'[" &amp;Info!$B$4&amp;"]"&amp;Info!$B$5&amp;"'!$A$6:$BA$1000"),53,0)))</f>
        <v/>
      </c>
      <c r="V196" s="16" t="str">
        <f ca="1">IF(N196="","",IF(N196=0,0, VLOOKUP(A196,INDIRECT("'[" &amp;Info!$B$4&amp;"]"&amp;Info!$B$5&amp;"'!$A$6:$BB$1000"),54,0)))</f>
        <v/>
      </c>
      <c r="W196" s="17" t="str">
        <f t="shared" ca="1" si="13"/>
        <v/>
      </c>
      <c r="X196" s="18" t="str">
        <f t="shared" ca="1" si="14"/>
        <v/>
      </c>
      <c r="Y196" s="19" t="str">
        <f t="shared" ca="1" si="15"/>
        <v/>
      </c>
      <c r="Z196" s="18" t="str">
        <f t="shared" ca="1" si="16"/>
        <v/>
      </c>
    </row>
    <row r="197" spans="1:26" x14ac:dyDescent="0.25">
      <c r="A197" s="8" t="str">
        <f ca="1">IFERROR( VLOOKUP(A196+1,INDIRECT("'[" &amp;Info!$B$4&amp;"]"&amp;Info!$B$5&amp;"'!$A$6:$A$1000"),1,0),"")</f>
        <v/>
      </c>
      <c r="C197" s="14" t="str">
        <f ca="1">IFERROR( IF(A197="","", VLOOKUP(A197,INDIRECT("'[" &amp;Info!$B$4&amp;"]"&amp;Info!$B$5&amp;"'!$A$6:$D$1000"),3,0)),"")</f>
        <v/>
      </c>
      <c r="D197" s="31" t="str">
        <f ca="1">IF(C197="","", VLOOKUP(A197,INDIRECT("'[" &amp;Info!$B$4&amp;"]"&amp;Info!$B$5&amp;"'!$A$6:$T$1000"),20,0))</f>
        <v/>
      </c>
      <c r="E197" s="6" t="str">
        <f ca="1">IF(D197="","", VLOOKUP(A197,INDIRECT("'[" &amp;Info!$B$4&amp;"]"&amp;Info!$B$5&amp;"'!$A$6:$U$1000"),21,0))</f>
        <v/>
      </c>
      <c r="F197" s="6" t="str">
        <f ca="1">IF(D197="","", VLOOKUP(A197,INDIRECT("'[" &amp;Info!$B$4&amp;"]"&amp;Info!$B$5&amp;"'!$A$6:$U$1000"),21,0))</f>
        <v/>
      </c>
      <c r="G197" s="6" t="str">
        <f ca="1">IF(D197="","", VLOOKUP(A197,INDIRECT("'[" &amp;Info!$B$4&amp;"]"&amp;Info!$B$5&amp;"'!$A$6:$V$1000"),22,0))</f>
        <v/>
      </c>
      <c r="H197" s="6" t="str">
        <f ca="1">IF(D197="","", VLOOKUP(A197,INDIRECT("'[" &amp;Info!$B$4&amp;"]"&amp;Info!$B$5&amp;"'!$A$6:$W$1000"),23,0))</f>
        <v/>
      </c>
      <c r="I197" s="6" t="str">
        <f ca="1">LOWER( IF(D197="","", VLOOKUP(A197,INDIRECT("'[" &amp;Info!$B$4&amp;"]"&amp;Info!$B$5&amp;"'!$A$6:$y$1000"),25,0)))</f>
        <v/>
      </c>
      <c r="J197" s="6" t="str">
        <f ca="1">IF(D197="","", VLOOKUP(A197,INDIRECT("'[" &amp;Info!$B$4&amp;"]"&amp;Info!$B$5&amp;"'!$A$6:$Z$1000"),26,0))</f>
        <v/>
      </c>
      <c r="K197" s="35" t="str">
        <f ca="1">IF(D197="","", VLOOKUP(A197,INDIRECT("'[" &amp;Info!$B$4&amp;"]"&amp;Info!$B$5&amp;"'!$A$6:$AA$1000"),27,0))</f>
        <v/>
      </c>
      <c r="L197" s="35" t="str">
        <f ca="1">IF(D197="","", VLOOKUP(A197,INDIRECT("'[" &amp;Info!$B$4&amp;"]"&amp;Info!$B$5&amp;"'!$A$6:$H$1000"),8,0))</f>
        <v/>
      </c>
      <c r="M197" s="35" t="str">
        <f ca="1">IF(D197="","", VLOOKUP(A197,INDIRECT("'[" &amp;Info!$B$4&amp;"]"&amp;Info!$B$5&amp;"'!$A$6:$F$1000"),6,0))</f>
        <v/>
      </c>
      <c r="N197" s="33" t="str">
        <f ca="1">IF(C197="","", VLOOKUP(A197,INDIRECT("'[" &amp;Info!$B$4&amp;"]"&amp;Info!$B$5&amp;"'!$A$6:$Au$1000"),47,0))</f>
        <v/>
      </c>
      <c r="O197" s="28" t="str">
        <f ca="1">IF(N197="","",IF(N197=0,0,VLOOKUP(A197,INDIRECT("'[" &amp;Info!$B$4&amp;"]"&amp;Info!$B$5&amp;"'!$A$6:$AH$1000"),34,0)))</f>
        <v/>
      </c>
      <c r="P197" s="9" t="str">
        <f ca="1">IF(N197="","",IF(N197=0,0,VLOOKUP(A197,INDIRECT("'[" &amp;Info!$B$4&amp;"]"&amp;Info!$B$5&amp;"'!$A$6:$AW$1000"),49,0)))</f>
        <v/>
      </c>
      <c r="Q197" s="9" t="str">
        <f ca="1">IF(N197="","",IF(N197=0,0, VLOOKUP(A197,INDIRECT("'[" &amp;Info!$B$4&amp;"]"&amp;Info!$B$5&amp;"'!$A$6:$AX$1000"),50,0)))</f>
        <v/>
      </c>
      <c r="R197" s="29" t="str">
        <f ca="1">IF(N197="","",IF(N197=0,0, VLOOKUP(A197,INDIRECT("'[" &amp;Info!$B$4&amp;"]"&amp;Info!$B$5&amp;"'!$A$6:$AY$1000"),51,0)))</f>
        <v/>
      </c>
      <c r="S197" s="15" t="str">
        <f ca="1">IF(N197="","",IF(N197=0,0,VLOOKUP(A197,INDIRECT("'[" &amp;Info!$B$4&amp;"]"&amp;Info!$B$5&amp;"'!$A$6:$Ai$1000"),35,0)))</f>
        <v/>
      </c>
      <c r="T197" s="7" t="str">
        <f ca="1">IF(N197="","",IF(N197=0,0, VLOOKUP(A197,INDIRECT("'[" &amp;Info!$B$4&amp;"]"&amp;Info!$B$5&amp;"'!$A$6:$Az$1000"),52,0)))</f>
        <v/>
      </c>
      <c r="U197" s="7" t="str">
        <f ca="1">IF(N197="","",IF(N197=0,0, VLOOKUP(A197,INDIRECT("'[" &amp;Info!$B$4&amp;"]"&amp;Info!$B$5&amp;"'!$A$6:$BA$1000"),53,0)))</f>
        <v/>
      </c>
      <c r="V197" s="16" t="str">
        <f ca="1">IF(N197="","",IF(N197=0,0, VLOOKUP(A197,INDIRECT("'[" &amp;Info!$B$4&amp;"]"&amp;Info!$B$5&amp;"'!$A$6:$BB$1000"),54,0)))</f>
        <v/>
      </c>
      <c r="W197" s="17" t="str">
        <f t="shared" ca="1" si="13"/>
        <v/>
      </c>
      <c r="X197" s="18" t="str">
        <f t="shared" ca="1" si="14"/>
        <v/>
      </c>
      <c r="Y197" s="19" t="str">
        <f t="shared" ca="1" si="15"/>
        <v/>
      </c>
      <c r="Z197" s="18" t="str">
        <f t="shared" ca="1" si="16"/>
        <v/>
      </c>
    </row>
    <row r="198" spans="1:26" x14ac:dyDescent="0.25">
      <c r="A198" s="8" t="str">
        <f ca="1">IFERROR( VLOOKUP(A197+1,INDIRECT("'[" &amp;Info!$B$4&amp;"]"&amp;Info!$B$5&amp;"'!$A$6:$A$1000"),1,0),"")</f>
        <v/>
      </c>
      <c r="C198" s="14" t="str">
        <f ca="1">IFERROR( IF(A198="","", VLOOKUP(A198,INDIRECT("'[" &amp;Info!$B$4&amp;"]"&amp;Info!$B$5&amp;"'!$A$6:$D$1000"),3,0)),"")</f>
        <v/>
      </c>
      <c r="D198" s="31" t="str">
        <f ca="1">IF(C198="","", VLOOKUP(A198,INDIRECT("'[" &amp;Info!$B$4&amp;"]"&amp;Info!$B$5&amp;"'!$A$6:$T$1000"),20,0))</f>
        <v/>
      </c>
      <c r="E198" s="6" t="str">
        <f ca="1">IF(D198="","", VLOOKUP(A198,INDIRECT("'[" &amp;Info!$B$4&amp;"]"&amp;Info!$B$5&amp;"'!$A$6:$U$1000"),21,0))</f>
        <v/>
      </c>
      <c r="F198" s="6" t="str">
        <f ca="1">IF(D198="","", VLOOKUP(A198,INDIRECT("'[" &amp;Info!$B$4&amp;"]"&amp;Info!$B$5&amp;"'!$A$6:$U$1000"),21,0))</f>
        <v/>
      </c>
      <c r="G198" s="6" t="str">
        <f ca="1">IF(D198="","", VLOOKUP(A198,INDIRECT("'[" &amp;Info!$B$4&amp;"]"&amp;Info!$B$5&amp;"'!$A$6:$V$1000"),22,0))</f>
        <v/>
      </c>
      <c r="H198" s="6" t="str">
        <f ca="1">IF(D198="","", VLOOKUP(A198,INDIRECT("'[" &amp;Info!$B$4&amp;"]"&amp;Info!$B$5&amp;"'!$A$6:$W$1000"),23,0))</f>
        <v/>
      </c>
      <c r="I198" s="6" t="str">
        <f ca="1">LOWER( IF(D198="","", VLOOKUP(A198,INDIRECT("'[" &amp;Info!$B$4&amp;"]"&amp;Info!$B$5&amp;"'!$A$6:$y$1000"),25,0)))</f>
        <v/>
      </c>
      <c r="J198" s="6" t="str">
        <f ca="1">IF(D198="","", VLOOKUP(A198,INDIRECT("'[" &amp;Info!$B$4&amp;"]"&amp;Info!$B$5&amp;"'!$A$6:$Z$1000"),26,0))</f>
        <v/>
      </c>
      <c r="K198" s="35" t="str">
        <f ca="1">IF(D198="","", VLOOKUP(A198,INDIRECT("'[" &amp;Info!$B$4&amp;"]"&amp;Info!$B$5&amp;"'!$A$6:$AA$1000"),27,0))</f>
        <v/>
      </c>
      <c r="L198" s="35" t="str">
        <f ca="1">IF(D198="","", VLOOKUP(A198,INDIRECT("'[" &amp;Info!$B$4&amp;"]"&amp;Info!$B$5&amp;"'!$A$6:$H$1000"),8,0))</f>
        <v/>
      </c>
      <c r="M198" s="35" t="str">
        <f ca="1">IF(D198="","", VLOOKUP(A198,INDIRECT("'[" &amp;Info!$B$4&amp;"]"&amp;Info!$B$5&amp;"'!$A$6:$F$1000"),6,0))</f>
        <v/>
      </c>
      <c r="N198" s="33" t="str">
        <f ca="1">IF(C198="","", VLOOKUP(A198,INDIRECT("'[" &amp;Info!$B$4&amp;"]"&amp;Info!$B$5&amp;"'!$A$6:$Au$1000"),47,0))</f>
        <v/>
      </c>
      <c r="O198" s="28" t="str">
        <f ca="1">IF(N198="","",IF(N198=0,0,VLOOKUP(A198,INDIRECT("'[" &amp;Info!$B$4&amp;"]"&amp;Info!$B$5&amp;"'!$A$6:$AH$1000"),34,0)))</f>
        <v/>
      </c>
      <c r="P198" s="9" t="str">
        <f ca="1">IF(N198="","",IF(N198=0,0,VLOOKUP(A198,INDIRECT("'[" &amp;Info!$B$4&amp;"]"&amp;Info!$B$5&amp;"'!$A$6:$AW$1000"),49,0)))</f>
        <v/>
      </c>
      <c r="Q198" s="9" t="str">
        <f ca="1">IF(N198="","",IF(N198=0,0, VLOOKUP(A198,INDIRECT("'[" &amp;Info!$B$4&amp;"]"&amp;Info!$B$5&amp;"'!$A$6:$AX$1000"),50,0)))</f>
        <v/>
      </c>
      <c r="R198" s="29" t="str">
        <f ca="1">IF(N198="","",IF(N198=0,0, VLOOKUP(A198,INDIRECT("'[" &amp;Info!$B$4&amp;"]"&amp;Info!$B$5&amp;"'!$A$6:$AY$1000"),51,0)))</f>
        <v/>
      </c>
      <c r="S198" s="15" t="str">
        <f ca="1">IF(N198="","",IF(N198=0,0,VLOOKUP(A198,INDIRECT("'[" &amp;Info!$B$4&amp;"]"&amp;Info!$B$5&amp;"'!$A$6:$Ai$1000"),35,0)))</f>
        <v/>
      </c>
      <c r="T198" s="7" t="str">
        <f ca="1">IF(N198="","",IF(N198=0,0, VLOOKUP(A198,INDIRECT("'[" &amp;Info!$B$4&amp;"]"&amp;Info!$B$5&amp;"'!$A$6:$Az$1000"),52,0)))</f>
        <v/>
      </c>
      <c r="U198" s="7" t="str">
        <f ca="1">IF(N198="","",IF(N198=0,0, VLOOKUP(A198,INDIRECT("'[" &amp;Info!$B$4&amp;"]"&amp;Info!$B$5&amp;"'!$A$6:$BA$1000"),53,0)))</f>
        <v/>
      </c>
      <c r="V198" s="16" t="str">
        <f ca="1">IF(N198="","",IF(N198=0,0, VLOOKUP(A198,INDIRECT("'[" &amp;Info!$B$4&amp;"]"&amp;Info!$B$5&amp;"'!$A$6:$BB$1000"),54,0)))</f>
        <v/>
      </c>
      <c r="W198" s="17" t="str">
        <f t="shared" ca="1" si="13"/>
        <v/>
      </c>
      <c r="X198" s="18" t="str">
        <f t="shared" ca="1" si="14"/>
        <v/>
      </c>
      <c r="Y198" s="19" t="str">
        <f t="shared" ca="1" si="15"/>
        <v/>
      </c>
      <c r="Z198" s="18" t="str">
        <f t="shared" ca="1" si="16"/>
        <v/>
      </c>
    </row>
  </sheetData>
  <autoFilter ref="A4:Z19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6"/>
  <sheetViews>
    <sheetView workbookViewId="0">
      <selection activeCell="B6" sqref="B6"/>
    </sheetView>
  </sheetViews>
  <sheetFormatPr defaultRowHeight="15" x14ac:dyDescent="0.25"/>
  <cols>
    <col min="1" max="1" width="27.28515625" style="3" customWidth="1"/>
    <col min="2" max="2" width="23.85546875" style="1" customWidth="1"/>
  </cols>
  <sheetData>
    <row r="2" spans="1:2" x14ac:dyDescent="0.25">
      <c r="A2" s="3" t="s">
        <v>19</v>
      </c>
      <c r="B2" t="s">
        <v>27</v>
      </c>
    </row>
    <row r="3" spans="1:2" x14ac:dyDescent="0.25">
      <c r="A3" s="3" t="s">
        <v>20</v>
      </c>
      <c r="B3" s="10" t="s">
        <v>28</v>
      </c>
    </row>
    <row r="4" spans="1:2" x14ac:dyDescent="0.25">
      <c r="A4" s="3" t="s">
        <v>21</v>
      </c>
      <c r="B4" s="1" t="str">
        <f>CONCATENATE(B2,".",B3)</f>
        <v>sx1 new.xlsm</v>
      </c>
    </row>
    <row r="5" spans="1:2" x14ac:dyDescent="0.25">
      <c r="A5" s="3" t="s">
        <v>22</v>
      </c>
      <c r="B5" s="49" t="s">
        <v>29</v>
      </c>
    </row>
    <row r="6" spans="1:2" x14ac:dyDescent="0.25">
      <c r="A6" s="3" t="s">
        <v>23</v>
      </c>
      <c r="B6" s="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198"/>
  <sheetViews>
    <sheetView zoomScaleNormal="100" workbookViewId="0">
      <selection activeCell="I5" sqref="I5"/>
    </sheetView>
  </sheetViews>
  <sheetFormatPr defaultRowHeight="15" x14ac:dyDescent="0.25"/>
  <cols>
    <col min="1" max="1" width="4" bestFit="1" customWidth="1"/>
    <col min="2" max="2" width="7.85546875" bestFit="1" customWidth="1"/>
    <col min="3" max="3" width="13" style="2" customWidth="1"/>
    <col min="4" max="4" width="10.7109375" style="32" customWidth="1"/>
    <col min="5" max="5" width="8.140625" customWidth="1"/>
    <col min="6" max="6" width="6" customWidth="1"/>
    <col min="7" max="7" width="5" customWidth="1"/>
    <col min="8" max="8" width="5.5703125" customWidth="1"/>
    <col min="9" max="9" width="6.7109375" customWidth="1"/>
    <col min="10" max="10" width="4" customWidth="1"/>
    <col min="11" max="11" width="4.28515625" style="36" customWidth="1"/>
    <col min="12" max="13" width="6.7109375" style="36" customWidth="1"/>
    <col min="14" max="14" width="5.28515625" customWidth="1"/>
    <col min="15" max="15" width="9.5703125" style="11" customWidth="1"/>
    <col min="16" max="16" width="9.7109375" style="4" customWidth="1"/>
    <col min="17" max="17" width="8.42578125" style="4" customWidth="1"/>
    <col min="18" max="18" width="9.5703125" style="4" customWidth="1"/>
    <col min="19" max="19" width="8.7109375" style="11" customWidth="1"/>
    <col min="20" max="21" width="8.7109375" style="12" customWidth="1"/>
    <col min="22" max="22" width="8.7109375" style="13" customWidth="1"/>
    <col min="23" max="23" width="9.5703125" bestFit="1" customWidth="1"/>
    <col min="25" max="25" width="7.5703125" customWidth="1"/>
  </cols>
  <sheetData>
    <row r="1" spans="1:26" s="37" customFormat="1" ht="19.5" x14ac:dyDescent="0.3">
      <c r="A1" s="66" t="s">
        <v>30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s="38" customFormat="1" ht="15.75" customHeight="1" x14ac:dyDescent="0.25">
      <c r="A2" s="55" t="s">
        <v>0</v>
      </c>
      <c r="B2" s="55" t="s">
        <v>1</v>
      </c>
      <c r="C2" s="58" t="s">
        <v>2</v>
      </c>
      <c r="D2" s="54" t="s">
        <v>3</v>
      </c>
      <c r="E2" s="55"/>
      <c r="F2" s="55"/>
      <c r="G2" s="55"/>
      <c r="H2" s="55"/>
      <c r="I2" s="55"/>
      <c r="J2" s="55"/>
      <c r="K2" s="56"/>
      <c r="L2" s="56"/>
      <c r="M2" s="57"/>
      <c r="N2" s="59"/>
      <c r="O2" s="60" t="s">
        <v>11</v>
      </c>
      <c r="P2" s="61"/>
      <c r="Q2" s="62"/>
      <c r="R2" s="62"/>
      <c r="S2" s="60" t="s">
        <v>16</v>
      </c>
      <c r="T2" s="61"/>
      <c r="U2" s="62"/>
      <c r="V2" s="63"/>
      <c r="W2" s="64" t="s">
        <v>24</v>
      </c>
      <c r="X2" s="67"/>
      <c r="Y2" s="68"/>
      <c r="Z2" s="69"/>
    </row>
    <row r="3" spans="1:26" s="38" customFormat="1" ht="39.75" customHeight="1" x14ac:dyDescent="0.25">
      <c r="A3" s="55"/>
      <c r="B3" s="55"/>
      <c r="C3" s="58"/>
      <c r="D3" s="39" t="s">
        <v>4</v>
      </c>
      <c r="E3" s="40" t="s">
        <v>17</v>
      </c>
      <c r="F3" s="40" t="s">
        <v>5</v>
      </c>
      <c r="G3" s="40" t="s">
        <v>6</v>
      </c>
      <c r="H3" s="41" t="s">
        <v>7</v>
      </c>
      <c r="I3" s="41" t="s">
        <v>8</v>
      </c>
      <c r="J3" s="40" t="s">
        <v>9</v>
      </c>
      <c r="K3" s="42" t="s">
        <v>10</v>
      </c>
      <c r="L3" s="42" t="s">
        <v>25</v>
      </c>
      <c r="M3" s="50" t="s">
        <v>26</v>
      </c>
      <c r="N3" s="59" t="s">
        <v>18</v>
      </c>
      <c r="O3" s="43" t="s">
        <v>12</v>
      </c>
      <c r="P3" s="40" t="s">
        <v>13</v>
      </c>
      <c r="Q3" s="40" t="s">
        <v>14</v>
      </c>
      <c r="R3" s="44" t="s">
        <v>15</v>
      </c>
      <c r="S3" s="43" t="s">
        <v>12</v>
      </c>
      <c r="T3" s="40" t="s">
        <v>13</v>
      </c>
      <c r="U3" s="40" t="s">
        <v>14</v>
      </c>
      <c r="V3" s="42" t="s">
        <v>15</v>
      </c>
      <c r="W3" s="45" t="s">
        <v>12</v>
      </c>
      <c r="X3" s="40" t="s">
        <v>13</v>
      </c>
      <c r="Y3" s="40" t="s">
        <v>14</v>
      </c>
      <c r="Z3" s="40" t="s">
        <v>15</v>
      </c>
    </row>
    <row r="4" spans="1:26" s="27" customFormat="1" ht="30.75" customHeight="1" x14ac:dyDescent="0.25">
      <c r="A4" s="21"/>
      <c r="B4" s="22"/>
      <c r="C4" s="25"/>
      <c r="D4" s="30"/>
      <c r="E4" s="24"/>
      <c r="F4" s="24"/>
      <c r="G4" s="24"/>
      <c r="H4" s="23"/>
      <c r="I4" s="23"/>
      <c r="J4" s="24"/>
      <c r="K4" s="34"/>
      <c r="L4" s="34"/>
      <c r="M4" s="34"/>
      <c r="N4" s="46">
        <v>72</v>
      </c>
      <c r="O4" s="26">
        <v>532.5</v>
      </c>
      <c r="P4" s="47">
        <v>82866</v>
      </c>
      <c r="Q4" s="47">
        <v>5155</v>
      </c>
      <c r="R4" s="48">
        <v>2264</v>
      </c>
      <c r="S4" s="26">
        <v>454.5</v>
      </c>
      <c r="T4" s="47">
        <v>69947</v>
      </c>
      <c r="U4" s="47">
        <v>7457</v>
      </c>
      <c r="V4" s="48">
        <v>645</v>
      </c>
      <c r="W4" s="26">
        <v>987</v>
      </c>
      <c r="X4" s="47">
        <v>152813</v>
      </c>
      <c r="Y4" s="47">
        <v>12612</v>
      </c>
      <c r="Z4" s="47">
        <v>2909</v>
      </c>
    </row>
    <row r="5" spans="1:26" x14ac:dyDescent="0.25">
      <c r="A5" s="20">
        <v>1</v>
      </c>
      <c r="B5" s="5" t="s">
        <v>31</v>
      </c>
      <c r="C5" s="14" t="s">
        <v>32</v>
      </c>
      <c r="D5" s="31" t="s">
        <v>33</v>
      </c>
      <c r="E5" s="6" t="s">
        <v>34</v>
      </c>
      <c r="F5" s="6">
        <v>17</v>
      </c>
      <c r="G5" s="6">
        <v>0</v>
      </c>
      <c r="H5" s="6" t="s">
        <v>226</v>
      </c>
      <c r="I5" s="6" t="s">
        <v>35</v>
      </c>
      <c r="J5" s="6">
        <v>3</v>
      </c>
      <c r="K5" s="35" t="s">
        <v>227</v>
      </c>
      <c r="L5" s="35">
        <v>10.1</v>
      </c>
      <c r="M5" s="35">
        <v>70</v>
      </c>
      <c r="N5" s="33">
        <v>12</v>
      </c>
      <c r="O5" s="28">
        <v>13</v>
      </c>
      <c r="P5" s="9">
        <v>910</v>
      </c>
      <c r="Q5" s="9">
        <v>0</v>
      </c>
      <c r="R5" s="29">
        <v>0</v>
      </c>
      <c r="S5" s="15">
        <v>10</v>
      </c>
      <c r="T5" s="7">
        <v>683</v>
      </c>
      <c r="U5" s="7">
        <v>0</v>
      </c>
      <c r="V5" s="16">
        <v>0</v>
      </c>
      <c r="W5" s="17">
        <v>23</v>
      </c>
      <c r="X5" s="18">
        <v>1593</v>
      </c>
      <c r="Y5" s="19">
        <v>0</v>
      </c>
      <c r="Z5" s="18">
        <v>0</v>
      </c>
    </row>
    <row r="6" spans="1:26" x14ac:dyDescent="0.25">
      <c r="A6" s="8">
        <v>2</v>
      </c>
      <c r="B6" s="5" t="s">
        <v>36</v>
      </c>
      <c r="C6" s="14" t="s">
        <v>37</v>
      </c>
      <c r="D6" s="31" t="s">
        <v>38</v>
      </c>
      <c r="E6" s="6" t="s">
        <v>39</v>
      </c>
      <c r="F6" s="6" t="s">
        <v>39</v>
      </c>
      <c r="G6" s="6">
        <v>5.5</v>
      </c>
      <c r="H6" s="6">
        <v>0</v>
      </c>
      <c r="I6" s="6" t="s">
        <v>35</v>
      </c>
      <c r="J6" s="6">
        <v>3</v>
      </c>
      <c r="K6" s="35" t="s">
        <v>228</v>
      </c>
      <c r="L6" s="35">
        <v>1.0760000000000001</v>
      </c>
      <c r="M6" s="35">
        <v>167</v>
      </c>
      <c r="N6" s="33">
        <v>12</v>
      </c>
      <c r="O6" s="28">
        <v>5</v>
      </c>
      <c r="P6" s="9">
        <v>747</v>
      </c>
      <c r="Q6" s="9">
        <v>0</v>
      </c>
      <c r="R6" s="29">
        <v>0</v>
      </c>
      <c r="S6" s="15">
        <v>5</v>
      </c>
      <c r="T6" s="7">
        <v>284</v>
      </c>
      <c r="U6" s="7">
        <v>0</v>
      </c>
      <c r="V6" s="16">
        <v>0</v>
      </c>
      <c r="W6" s="17">
        <v>10</v>
      </c>
      <c r="X6" s="18">
        <v>1031</v>
      </c>
      <c r="Y6" s="19">
        <v>0</v>
      </c>
      <c r="Z6" s="18">
        <v>0</v>
      </c>
    </row>
    <row r="7" spans="1:26" x14ac:dyDescent="0.25">
      <c r="A7" s="8">
        <v>3</v>
      </c>
      <c r="B7" s="5" t="s">
        <v>40</v>
      </c>
      <c r="C7" s="14" t="s">
        <v>32</v>
      </c>
      <c r="D7" s="31" t="s">
        <v>33</v>
      </c>
      <c r="E7" s="6" t="s">
        <v>34</v>
      </c>
      <c r="F7" s="6" t="s">
        <v>34</v>
      </c>
      <c r="G7" s="6">
        <v>17</v>
      </c>
      <c r="H7" s="6">
        <v>0</v>
      </c>
      <c r="I7" s="6" t="s">
        <v>35</v>
      </c>
      <c r="J7" s="6">
        <v>3</v>
      </c>
      <c r="K7" s="35" t="s">
        <v>227</v>
      </c>
      <c r="L7" s="35">
        <v>10.1</v>
      </c>
      <c r="M7" s="35">
        <v>70</v>
      </c>
      <c r="N7" s="33">
        <v>12</v>
      </c>
      <c r="O7" s="28">
        <v>14</v>
      </c>
      <c r="P7" s="9">
        <v>831</v>
      </c>
      <c r="Q7" s="9">
        <v>0</v>
      </c>
      <c r="R7" s="29">
        <v>0</v>
      </c>
      <c r="S7" s="15">
        <v>0</v>
      </c>
      <c r="T7" s="7">
        <v>0</v>
      </c>
      <c r="U7" s="7">
        <v>0</v>
      </c>
      <c r="V7" s="16">
        <v>0</v>
      </c>
      <c r="W7" s="17">
        <v>14</v>
      </c>
      <c r="X7" s="18">
        <v>831</v>
      </c>
      <c r="Y7" s="19">
        <v>0</v>
      </c>
      <c r="Z7" s="18">
        <v>0</v>
      </c>
    </row>
    <row r="8" spans="1:26" x14ac:dyDescent="0.25">
      <c r="A8" s="8">
        <v>4</v>
      </c>
      <c r="B8" s="5" t="s">
        <v>41</v>
      </c>
      <c r="C8" s="14">
        <v>1501</v>
      </c>
      <c r="D8" s="31" t="s">
        <v>42</v>
      </c>
      <c r="E8" s="6" t="s">
        <v>43</v>
      </c>
      <c r="F8" s="6" t="s">
        <v>43</v>
      </c>
      <c r="G8" s="6">
        <v>11</v>
      </c>
      <c r="H8" s="6">
        <v>0</v>
      </c>
      <c r="I8" s="6" t="s">
        <v>35</v>
      </c>
      <c r="J8" s="6">
        <v>3</v>
      </c>
      <c r="K8" s="35" t="s">
        <v>228</v>
      </c>
      <c r="L8" s="35">
        <v>2.02</v>
      </c>
      <c r="M8" s="35">
        <v>0</v>
      </c>
      <c r="N8" s="33">
        <v>0</v>
      </c>
      <c r="O8" s="28">
        <v>0</v>
      </c>
      <c r="P8" s="9">
        <v>0</v>
      </c>
      <c r="Q8" s="9">
        <v>0</v>
      </c>
      <c r="R8" s="29">
        <v>0</v>
      </c>
      <c r="S8" s="15">
        <v>0</v>
      </c>
      <c r="T8" s="7">
        <v>0</v>
      </c>
      <c r="U8" s="7">
        <v>0</v>
      </c>
      <c r="V8" s="16">
        <v>0</v>
      </c>
      <c r="W8" s="17">
        <v>0</v>
      </c>
      <c r="X8" s="18">
        <v>0</v>
      </c>
      <c r="Y8" s="19">
        <v>0</v>
      </c>
      <c r="Z8" s="18">
        <v>0</v>
      </c>
    </row>
    <row r="9" spans="1:26" x14ac:dyDescent="0.25">
      <c r="A9" s="8">
        <v>5</v>
      </c>
      <c r="B9" s="5" t="s">
        <v>44</v>
      </c>
      <c r="C9" s="14" t="s">
        <v>45</v>
      </c>
      <c r="D9" s="31" t="s">
        <v>42</v>
      </c>
      <c r="E9" s="6" t="s">
        <v>46</v>
      </c>
      <c r="F9" s="6" t="s">
        <v>46</v>
      </c>
      <c r="G9" s="6">
        <v>5.97</v>
      </c>
      <c r="H9" s="6">
        <v>0</v>
      </c>
      <c r="I9" s="6" t="s">
        <v>35</v>
      </c>
      <c r="J9" s="6">
        <v>3</v>
      </c>
      <c r="K9" s="35" t="s">
        <v>228</v>
      </c>
      <c r="L9" s="35">
        <v>4.6500000000000004</v>
      </c>
      <c r="M9" s="35">
        <v>38</v>
      </c>
      <c r="N9" s="33">
        <v>12</v>
      </c>
      <c r="O9" s="28">
        <v>1</v>
      </c>
      <c r="P9" s="9">
        <v>0</v>
      </c>
      <c r="Q9" s="9">
        <v>0</v>
      </c>
      <c r="R9" s="29">
        <v>204</v>
      </c>
      <c r="S9" s="15">
        <v>0</v>
      </c>
      <c r="T9" s="7">
        <v>0</v>
      </c>
      <c r="U9" s="7">
        <v>0</v>
      </c>
      <c r="V9" s="16">
        <v>0</v>
      </c>
      <c r="W9" s="17">
        <v>1</v>
      </c>
      <c r="X9" s="18">
        <v>0</v>
      </c>
      <c r="Y9" s="19">
        <v>0</v>
      </c>
      <c r="Z9" s="18">
        <v>204</v>
      </c>
    </row>
    <row r="10" spans="1:26" x14ac:dyDescent="0.25">
      <c r="A10" s="8">
        <v>6</v>
      </c>
      <c r="B10" s="5" t="s">
        <v>47</v>
      </c>
      <c r="C10" s="14">
        <v>10620</v>
      </c>
      <c r="D10" s="31" t="s">
        <v>48</v>
      </c>
      <c r="E10" s="6" t="s">
        <v>49</v>
      </c>
      <c r="F10" s="6" t="s">
        <v>49</v>
      </c>
      <c r="G10" s="6">
        <v>10</v>
      </c>
      <c r="H10" s="6">
        <v>0</v>
      </c>
      <c r="I10" s="6" t="s">
        <v>35</v>
      </c>
      <c r="J10" s="6">
        <v>2.5</v>
      </c>
      <c r="K10" s="35" t="s">
        <v>229</v>
      </c>
      <c r="L10" s="35">
        <v>7.4</v>
      </c>
      <c r="M10" s="35">
        <v>104</v>
      </c>
      <c r="N10" s="33">
        <v>0</v>
      </c>
      <c r="O10" s="28">
        <v>0</v>
      </c>
      <c r="P10" s="9">
        <v>0</v>
      </c>
      <c r="Q10" s="9">
        <v>0</v>
      </c>
      <c r="R10" s="29">
        <v>0</v>
      </c>
      <c r="S10" s="15">
        <v>0</v>
      </c>
      <c r="T10" s="7">
        <v>0</v>
      </c>
      <c r="U10" s="7">
        <v>0</v>
      </c>
      <c r="V10" s="16">
        <v>0</v>
      </c>
      <c r="W10" s="17">
        <v>0</v>
      </c>
      <c r="X10" s="18">
        <v>0</v>
      </c>
      <c r="Y10" s="19">
        <v>0</v>
      </c>
      <c r="Z10" s="18">
        <v>0</v>
      </c>
    </row>
    <row r="11" spans="1:26" x14ac:dyDescent="0.25">
      <c r="A11" s="8">
        <v>7</v>
      </c>
      <c r="B11" s="5" t="s">
        <v>50</v>
      </c>
      <c r="C11" s="14" t="s">
        <v>51</v>
      </c>
      <c r="D11" s="31" t="s">
        <v>42</v>
      </c>
      <c r="E11" s="6" t="s">
        <v>43</v>
      </c>
      <c r="F11" s="6" t="s">
        <v>43</v>
      </c>
      <c r="G11" s="6">
        <v>6</v>
      </c>
      <c r="H11" s="6">
        <v>0</v>
      </c>
      <c r="I11" s="6" t="s">
        <v>35</v>
      </c>
      <c r="J11" s="6">
        <v>3</v>
      </c>
      <c r="K11" s="35" t="s">
        <v>228</v>
      </c>
      <c r="L11" s="35">
        <v>4.55</v>
      </c>
      <c r="M11" s="35">
        <v>48</v>
      </c>
      <c r="N11" s="33">
        <v>0</v>
      </c>
      <c r="O11" s="28">
        <v>0</v>
      </c>
      <c r="P11" s="9">
        <v>0</v>
      </c>
      <c r="Q11" s="9">
        <v>0</v>
      </c>
      <c r="R11" s="29">
        <v>0</v>
      </c>
      <c r="S11" s="15">
        <v>0</v>
      </c>
      <c r="T11" s="7">
        <v>0</v>
      </c>
      <c r="U11" s="7">
        <v>0</v>
      </c>
      <c r="V11" s="16">
        <v>0</v>
      </c>
      <c r="W11" s="17">
        <v>0</v>
      </c>
      <c r="X11" s="18">
        <v>0</v>
      </c>
      <c r="Y11" s="19">
        <v>0</v>
      </c>
      <c r="Z11" s="18">
        <v>0</v>
      </c>
    </row>
    <row r="12" spans="1:26" x14ac:dyDescent="0.25">
      <c r="A12" s="8">
        <v>8</v>
      </c>
      <c r="B12" s="5" t="s">
        <v>52</v>
      </c>
      <c r="C12" s="14">
        <v>15106</v>
      </c>
      <c r="D12" s="31" t="s">
        <v>48</v>
      </c>
      <c r="E12" s="6" t="s">
        <v>39</v>
      </c>
      <c r="F12" s="6" t="s">
        <v>39</v>
      </c>
      <c r="G12" s="6">
        <v>14</v>
      </c>
      <c r="H12" s="6">
        <v>0</v>
      </c>
      <c r="I12" s="6" t="s">
        <v>35</v>
      </c>
      <c r="J12" s="6">
        <v>3</v>
      </c>
      <c r="K12" s="35" t="s">
        <v>230</v>
      </c>
      <c r="L12" s="35">
        <v>2.84</v>
      </c>
      <c r="M12" s="35">
        <v>491</v>
      </c>
      <c r="N12" s="33">
        <v>7</v>
      </c>
      <c r="O12" s="28">
        <v>3</v>
      </c>
      <c r="P12" s="9">
        <v>1098</v>
      </c>
      <c r="Q12" s="9">
        <v>200</v>
      </c>
      <c r="R12" s="29">
        <v>0</v>
      </c>
      <c r="S12" s="15">
        <v>3</v>
      </c>
      <c r="T12" s="7">
        <v>1241</v>
      </c>
      <c r="U12" s="7">
        <v>68</v>
      </c>
      <c r="V12" s="16">
        <v>425</v>
      </c>
      <c r="W12" s="17">
        <v>6</v>
      </c>
      <c r="X12" s="18">
        <v>2339</v>
      </c>
      <c r="Y12" s="19">
        <v>268</v>
      </c>
      <c r="Z12" s="18">
        <v>425</v>
      </c>
    </row>
    <row r="13" spans="1:26" x14ac:dyDescent="0.25">
      <c r="A13" s="8">
        <v>9</v>
      </c>
      <c r="B13" s="5" t="s">
        <v>53</v>
      </c>
      <c r="C13" s="14" t="s">
        <v>54</v>
      </c>
      <c r="D13" s="31" t="s">
        <v>55</v>
      </c>
      <c r="E13" s="6" t="s">
        <v>34</v>
      </c>
      <c r="F13" s="6" t="s">
        <v>34</v>
      </c>
      <c r="G13" s="6">
        <v>18.149999999999999</v>
      </c>
      <c r="H13" s="6">
        <v>8.6</v>
      </c>
      <c r="I13" s="6" t="s">
        <v>35</v>
      </c>
      <c r="J13" s="6">
        <v>3</v>
      </c>
      <c r="K13" s="35" t="s">
        <v>231</v>
      </c>
      <c r="L13" s="35">
        <v>9.9</v>
      </c>
      <c r="M13" s="35">
        <v>70</v>
      </c>
      <c r="N13" s="33">
        <v>12</v>
      </c>
      <c r="O13" s="28">
        <v>2</v>
      </c>
      <c r="P13" s="9">
        <v>323</v>
      </c>
      <c r="Q13" s="9">
        <v>92</v>
      </c>
      <c r="R13" s="29">
        <v>0</v>
      </c>
      <c r="S13" s="15">
        <v>0</v>
      </c>
      <c r="T13" s="7">
        <v>0</v>
      </c>
      <c r="U13" s="7">
        <v>0</v>
      </c>
      <c r="V13" s="16">
        <v>0</v>
      </c>
      <c r="W13" s="17">
        <v>2</v>
      </c>
      <c r="X13" s="18">
        <v>323</v>
      </c>
      <c r="Y13" s="19">
        <v>92</v>
      </c>
      <c r="Z13" s="18">
        <v>0</v>
      </c>
    </row>
    <row r="14" spans="1:26" x14ac:dyDescent="0.25">
      <c r="A14" s="8">
        <v>10</v>
      </c>
      <c r="B14" s="5" t="s">
        <v>56</v>
      </c>
      <c r="C14" s="14" t="s">
        <v>54</v>
      </c>
      <c r="D14" s="31" t="s">
        <v>55</v>
      </c>
      <c r="E14" s="6" t="s">
        <v>34</v>
      </c>
      <c r="F14" s="6" t="s">
        <v>34</v>
      </c>
      <c r="G14" s="6">
        <v>18.149999999999999</v>
      </c>
      <c r="H14" s="6">
        <v>8.6</v>
      </c>
      <c r="I14" s="6" t="s">
        <v>35</v>
      </c>
      <c r="J14" s="6">
        <v>3</v>
      </c>
      <c r="K14" s="35" t="s">
        <v>231</v>
      </c>
      <c r="L14" s="35">
        <v>9.9</v>
      </c>
      <c r="M14" s="35">
        <v>70</v>
      </c>
      <c r="N14" s="33">
        <v>12</v>
      </c>
      <c r="O14" s="28">
        <v>8</v>
      </c>
      <c r="P14" s="9">
        <v>515</v>
      </c>
      <c r="Q14" s="9">
        <v>0</v>
      </c>
      <c r="R14" s="29">
        <v>119</v>
      </c>
      <c r="S14" s="15">
        <v>7</v>
      </c>
      <c r="T14" s="7">
        <v>414</v>
      </c>
      <c r="U14" s="7">
        <v>0</v>
      </c>
      <c r="V14" s="16">
        <v>49</v>
      </c>
      <c r="W14" s="17">
        <v>15</v>
      </c>
      <c r="X14" s="18">
        <v>929</v>
      </c>
      <c r="Y14" s="19">
        <v>0</v>
      </c>
      <c r="Z14" s="18">
        <v>168</v>
      </c>
    </row>
    <row r="15" spans="1:26" x14ac:dyDescent="0.25">
      <c r="A15" s="8">
        <v>11</v>
      </c>
      <c r="B15" s="5" t="s">
        <v>57</v>
      </c>
      <c r="C15" s="14">
        <v>31100</v>
      </c>
      <c r="D15" s="31" t="s">
        <v>55</v>
      </c>
      <c r="E15" s="6" t="s">
        <v>34</v>
      </c>
      <c r="F15" s="6" t="s">
        <v>34</v>
      </c>
      <c r="G15" s="6">
        <v>18.149999999999999</v>
      </c>
      <c r="H15" s="6">
        <v>8.6</v>
      </c>
      <c r="I15" s="6" t="s">
        <v>35</v>
      </c>
      <c r="J15" s="6">
        <v>3</v>
      </c>
      <c r="K15" s="35" t="s">
        <v>231</v>
      </c>
      <c r="L15" s="35">
        <v>7.7</v>
      </c>
      <c r="M15" s="35">
        <v>91</v>
      </c>
      <c r="N15" s="33">
        <v>12</v>
      </c>
      <c r="O15" s="28">
        <v>7</v>
      </c>
      <c r="P15" s="9">
        <v>662</v>
      </c>
      <c r="Q15" s="9">
        <v>0</v>
      </c>
      <c r="R15" s="29">
        <v>0</v>
      </c>
      <c r="S15" s="15">
        <v>6</v>
      </c>
      <c r="T15" s="7">
        <v>545</v>
      </c>
      <c r="U15" s="7">
        <v>0</v>
      </c>
      <c r="V15" s="16">
        <v>0</v>
      </c>
      <c r="W15" s="17">
        <v>13</v>
      </c>
      <c r="X15" s="18">
        <v>1207</v>
      </c>
      <c r="Y15" s="19">
        <v>0</v>
      </c>
      <c r="Z15" s="18">
        <v>0</v>
      </c>
    </row>
    <row r="16" spans="1:26" x14ac:dyDescent="0.25">
      <c r="A16" s="8">
        <v>12</v>
      </c>
      <c r="B16" s="5" t="s">
        <v>58</v>
      </c>
      <c r="C16" s="14" t="s">
        <v>59</v>
      </c>
      <c r="D16" s="31" t="s">
        <v>42</v>
      </c>
      <c r="E16" s="6" t="s">
        <v>43</v>
      </c>
      <c r="F16" s="6" t="s">
        <v>43</v>
      </c>
      <c r="G16" s="6">
        <v>12</v>
      </c>
      <c r="H16" s="6">
        <v>0</v>
      </c>
      <c r="I16" s="6" t="s">
        <v>35</v>
      </c>
      <c r="J16" s="6">
        <v>3</v>
      </c>
      <c r="K16" s="35" t="s">
        <v>229</v>
      </c>
      <c r="L16" s="35">
        <v>9.4130000000000003</v>
      </c>
      <c r="M16" s="35">
        <v>118</v>
      </c>
      <c r="N16" s="33">
        <v>12</v>
      </c>
      <c r="O16" s="28">
        <v>10</v>
      </c>
      <c r="P16" s="9">
        <v>1026</v>
      </c>
      <c r="Q16" s="9">
        <v>53</v>
      </c>
      <c r="R16" s="29">
        <v>0</v>
      </c>
      <c r="S16" s="15">
        <v>8</v>
      </c>
      <c r="T16" s="7">
        <v>934</v>
      </c>
      <c r="U16" s="7">
        <v>0</v>
      </c>
      <c r="V16" s="16">
        <v>0</v>
      </c>
      <c r="W16" s="17">
        <v>18</v>
      </c>
      <c r="X16" s="18">
        <v>1960</v>
      </c>
      <c r="Y16" s="19">
        <v>53</v>
      </c>
      <c r="Z16" s="18">
        <v>0</v>
      </c>
    </row>
    <row r="17" spans="1:26" x14ac:dyDescent="0.25">
      <c r="A17" s="8">
        <v>13</v>
      </c>
      <c r="B17" s="5" t="s">
        <v>60</v>
      </c>
      <c r="C17" s="14" t="s">
        <v>61</v>
      </c>
      <c r="D17" s="31" t="s">
        <v>55</v>
      </c>
      <c r="E17" s="6" t="s">
        <v>34</v>
      </c>
      <c r="F17" s="6" t="s">
        <v>34</v>
      </c>
      <c r="G17" s="6">
        <v>15</v>
      </c>
      <c r="H17" s="6">
        <v>8.6</v>
      </c>
      <c r="I17" s="6" t="s">
        <v>35</v>
      </c>
      <c r="J17" s="6">
        <v>3</v>
      </c>
      <c r="K17" s="35" t="s">
        <v>232</v>
      </c>
      <c r="L17" s="35">
        <v>3.03</v>
      </c>
      <c r="M17" s="35">
        <v>168</v>
      </c>
      <c r="N17" s="33">
        <v>12</v>
      </c>
      <c r="O17" s="28">
        <v>14</v>
      </c>
      <c r="P17" s="9">
        <v>2112</v>
      </c>
      <c r="Q17" s="9">
        <v>0</v>
      </c>
      <c r="R17" s="29">
        <v>0</v>
      </c>
      <c r="S17" s="15">
        <v>14</v>
      </c>
      <c r="T17" s="7">
        <v>2244</v>
      </c>
      <c r="U17" s="7">
        <v>0</v>
      </c>
      <c r="V17" s="16">
        <v>0</v>
      </c>
      <c r="W17" s="17">
        <v>28</v>
      </c>
      <c r="X17" s="18">
        <v>4356</v>
      </c>
      <c r="Y17" s="19">
        <v>0</v>
      </c>
      <c r="Z17" s="18">
        <v>0</v>
      </c>
    </row>
    <row r="18" spans="1:26" x14ac:dyDescent="0.25">
      <c r="A18" s="8">
        <v>14</v>
      </c>
      <c r="B18" s="5" t="s">
        <v>62</v>
      </c>
      <c r="C18" s="14" t="s">
        <v>63</v>
      </c>
      <c r="D18" s="31" t="s">
        <v>48</v>
      </c>
      <c r="E18" s="6" t="s">
        <v>49</v>
      </c>
      <c r="F18" s="6" t="s">
        <v>49</v>
      </c>
      <c r="G18" s="6">
        <v>10</v>
      </c>
      <c r="H18" s="6">
        <v>0</v>
      </c>
      <c r="I18" s="6" t="s">
        <v>64</v>
      </c>
      <c r="J18" s="6">
        <v>2.5</v>
      </c>
      <c r="K18" s="35" t="s">
        <v>227</v>
      </c>
      <c r="L18" s="35">
        <v>5.86</v>
      </c>
      <c r="M18" s="35">
        <v>80</v>
      </c>
      <c r="N18" s="33">
        <v>12</v>
      </c>
      <c r="O18" s="28">
        <v>8</v>
      </c>
      <c r="P18" s="9">
        <v>615</v>
      </c>
      <c r="Q18" s="9">
        <v>0</v>
      </c>
      <c r="R18" s="29">
        <v>0</v>
      </c>
      <c r="S18" s="15">
        <v>14</v>
      </c>
      <c r="T18" s="7">
        <v>1133</v>
      </c>
      <c r="U18" s="7">
        <v>0</v>
      </c>
      <c r="V18" s="16">
        <v>0</v>
      </c>
      <c r="W18" s="17">
        <v>22</v>
      </c>
      <c r="X18" s="18">
        <v>1748</v>
      </c>
      <c r="Y18" s="19">
        <v>0</v>
      </c>
      <c r="Z18" s="18">
        <v>0</v>
      </c>
    </row>
    <row r="19" spans="1:26" x14ac:dyDescent="0.25">
      <c r="A19" s="8">
        <v>15</v>
      </c>
      <c r="B19" s="5" t="s">
        <v>65</v>
      </c>
      <c r="C19" s="14" t="s">
        <v>66</v>
      </c>
      <c r="D19" s="31" t="s">
        <v>67</v>
      </c>
      <c r="E19" s="6" t="s">
        <v>68</v>
      </c>
      <c r="F19" s="6" t="s">
        <v>68</v>
      </c>
      <c r="G19" s="6">
        <v>6</v>
      </c>
      <c r="H19" s="6">
        <v>0</v>
      </c>
      <c r="I19" s="6" t="s">
        <v>35</v>
      </c>
      <c r="J19" s="6">
        <v>3</v>
      </c>
      <c r="K19" s="35" t="s">
        <v>228</v>
      </c>
      <c r="L19" s="35">
        <v>6.9</v>
      </c>
      <c r="M19" s="35">
        <v>51</v>
      </c>
      <c r="N19" s="33">
        <v>0</v>
      </c>
      <c r="O19" s="28">
        <v>0</v>
      </c>
      <c r="P19" s="9">
        <v>0</v>
      </c>
      <c r="Q19" s="9">
        <v>0</v>
      </c>
      <c r="R19" s="29">
        <v>0</v>
      </c>
      <c r="S19" s="15">
        <v>0</v>
      </c>
      <c r="T19" s="7">
        <v>0</v>
      </c>
      <c r="U19" s="7">
        <v>0</v>
      </c>
      <c r="V19" s="16">
        <v>0</v>
      </c>
      <c r="W19" s="17">
        <v>0</v>
      </c>
      <c r="X19" s="18">
        <v>0</v>
      </c>
      <c r="Y19" s="19">
        <v>0</v>
      </c>
      <c r="Z19" s="18">
        <v>0</v>
      </c>
    </row>
    <row r="20" spans="1:26" x14ac:dyDescent="0.25">
      <c r="A20" s="8">
        <v>16</v>
      </c>
      <c r="B20" s="5" t="s">
        <v>69</v>
      </c>
      <c r="C20" s="14" t="s">
        <v>70</v>
      </c>
      <c r="D20" s="31" t="s">
        <v>48</v>
      </c>
      <c r="E20" s="6" t="s">
        <v>49</v>
      </c>
      <c r="F20" s="6" t="s">
        <v>49</v>
      </c>
      <c r="G20" s="6">
        <v>10</v>
      </c>
      <c r="H20" s="6">
        <v>0</v>
      </c>
      <c r="I20" s="6" t="s">
        <v>35</v>
      </c>
      <c r="J20" s="6">
        <v>2.5</v>
      </c>
      <c r="K20" s="35" t="s">
        <v>227</v>
      </c>
      <c r="L20" s="35">
        <v>4.07</v>
      </c>
      <c r="M20" s="35">
        <v>129</v>
      </c>
      <c r="N20" s="33">
        <v>0</v>
      </c>
      <c r="O20" s="28">
        <v>0</v>
      </c>
      <c r="P20" s="9">
        <v>0</v>
      </c>
      <c r="Q20" s="9">
        <v>0</v>
      </c>
      <c r="R20" s="29">
        <v>0</v>
      </c>
      <c r="S20" s="15">
        <v>0</v>
      </c>
      <c r="T20" s="7">
        <v>0</v>
      </c>
      <c r="U20" s="7">
        <v>0</v>
      </c>
      <c r="V20" s="16">
        <v>0</v>
      </c>
      <c r="W20" s="17">
        <v>0</v>
      </c>
      <c r="X20" s="18">
        <v>0</v>
      </c>
      <c r="Y20" s="19">
        <v>0</v>
      </c>
      <c r="Z20" s="18">
        <v>0</v>
      </c>
    </row>
    <row r="21" spans="1:26" x14ac:dyDescent="0.25">
      <c r="A21" s="8">
        <v>17</v>
      </c>
      <c r="B21" s="5" t="s">
        <v>71</v>
      </c>
      <c r="C21" s="14" t="s">
        <v>54</v>
      </c>
      <c r="D21" s="31" t="s">
        <v>55</v>
      </c>
      <c r="E21" s="6" t="s">
        <v>34</v>
      </c>
      <c r="F21" s="6" t="s">
        <v>34</v>
      </c>
      <c r="G21" s="6">
        <v>18.149999999999999</v>
      </c>
      <c r="H21" s="6">
        <v>8.6</v>
      </c>
      <c r="I21" s="6" t="s">
        <v>35</v>
      </c>
      <c r="J21" s="6">
        <v>3</v>
      </c>
      <c r="K21" s="35" t="s">
        <v>231</v>
      </c>
      <c r="L21" s="35">
        <v>9.9</v>
      </c>
      <c r="M21" s="35">
        <v>70</v>
      </c>
      <c r="N21" s="33">
        <v>12</v>
      </c>
      <c r="O21" s="28">
        <v>0</v>
      </c>
      <c r="P21" s="9">
        <v>0</v>
      </c>
      <c r="Q21" s="9">
        <v>0</v>
      </c>
      <c r="R21" s="29">
        <v>0</v>
      </c>
      <c r="S21" s="15">
        <v>6</v>
      </c>
      <c r="T21" s="7">
        <v>474</v>
      </c>
      <c r="U21" s="7">
        <v>0</v>
      </c>
      <c r="V21" s="16">
        <v>0</v>
      </c>
      <c r="W21" s="17">
        <v>6</v>
      </c>
      <c r="X21" s="18">
        <v>474</v>
      </c>
      <c r="Y21" s="19">
        <v>0</v>
      </c>
      <c r="Z21" s="18">
        <v>0</v>
      </c>
    </row>
    <row r="22" spans="1:26" x14ac:dyDescent="0.25">
      <c r="A22" s="8">
        <v>18</v>
      </c>
      <c r="B22" s="5" t="s">
        <v>72</v>
      </c>
      <c r="C22" s="14" t="s">
        <v>63</v>
      </c>
      <c r="D22" s="31" t="s">
        <v>48</v>
      </c>
      <c r="E22" s="6" t="s">
        <v>49</v>
      </c>
      <c r="F22" s="6" t="s">
        <v>49</v>
      </c>
      <c r="G22" s="6">
        <v>10</v>
      </c>
      <c r="H22" s="6">
        <v>0</v>
      </c>
      <c r="I22" s="6" t="s">
        <v>64</v>
      </c>
      <c r="J22" s="6">
        <v>2.5</v>
      </c>
      <c r="K22" s="35" t="s">
        <v>233</v>
      </c>
      <c r="L22" s="35">
        <v>5.86</v>
      </c>
      <c r="M22" s="35">
        <v>80</v>
      </c>
      <c r="N22" s="33">
        <v>12</v>
      </c>
      <c r="O22" s="28">
        <v>15</v>
      </c>
      <c r="P22" s="9">
        <v>1163</v>
      </c>
      <c r="Q22" s="9">
        <v>0</v>
      </c>
      <c r="R22" s="29">
        <v>0</v>
      </c>
      <c r="S22" s="15">
        <v>16</v>
      </c>
      <c r="T22" s="7">
        <v>1073</v>
      </c>
      <c r="U22" s="7">
        <v>0</v>
      </c>
      <c r="V22" s="16">
        <v>0</v>
      </c>
      <c r="W22" s="17">
        <v>31</v>
      </c>
      <c r="X22" s="18">
        <v>2236</v>
      </c>
      <c r="Y22" s="19">
        <v>0</v>
      </c>
      <c r="Z22" s="18">
        <v>0</v>
      </c>
    </row>
    <row r="23" spans="1:26" x14ac:dyDescent="0.25">
      <c r="A23" s="8">
        <v>19</v>
      </c>
      <c r="B23" s="5" t="s">
        <v>73</v>
      </c>
      <c r="C23" s="14" t="s">
        <v>74</v>
      </c>
      <c r="D23" s="31" t="s">
        <v>55</v>
      </c>
      <c r="E23" s="6" t="s">
        <v>34</v>
      </c>
      <c r="F23" s="6" t="s">
        <v>34</v>
      </c>
      <c r="G23" s="6">
        <v>8.3000000000000007</v>
      </c>
      <c r="H23" s="6">
        <v>0</v>
      </c>
      <c r="I23" s="6" t="s">
        <v>35</v>
      </c>
      <c r="J23" s="6">
        <v>3</v>
      </c>
      <c r="K23" s="35" t="s">
        <v>69</v>
      </c>
      <c r="L23" s="35">
        <v>1.07</v>
      </c>
      <c r="M23" s="35">
        <v>298</v>
      </c>
      <c r="N23" s="33">
        <v>7</v>
      </c>
      <c r="O23" s="28">
        <v>8</v>
      </c>
      <c r="P23" s="9">
        <v>1319</v>
      </c>
      <c r="Q23" s="9">
        <v>699</v>
      </c>
      <c r="R23" s="29">
        <v>0</v>
      </c>
      <c r="S23" s="15">
        <v>7</v>
      </c>
      <c r="T23" s="7">
        <v>2139</v>
      </c>
      <c r="U23" s="7">
        <v>0</v>
      </c>
      <c r="V23" s="16">
        <v>0</v>
      </c>
      <c r="W23" s="17">
        <v>15</v>
      </c>
      <c r="X23" s="18">
        <v>3458</v>
      </c>
      <c r="Y23" s="19">
        <v>699</v>
      </c>
      <c r="Z23" s="18">
        <v>0</v>
      </c>
    </row>
    <row r="24" spans="1:26" x14ac:dyDescent="0.25">
      <c r="A24" s="8">
        <v>20</v>
      </c>
      <c r="B24" s="5" t="s">
        <v>75</v>
      </c>
      <c r="C24" s="14" t="s">
        <v>76</v>
      </c>
      <c r="D24" s="31" t="s">
        <v>77</v>
      </c>
      <c r="E24" s="6" t="s">
        <v>68</v>
      </c>
      <c r="F24" s="6" t="s">
        <v>68</v>
      </c>
      <c r="G24" s="6">
        <v>9</v>
      </c>
      <c r="H24" s="6">
        <v>0</v>
      </c>
      <c r="I24" s="6" t="s">
        <v>35</v>
      </c>
      <c r="J24" s="6">
        <v>3</v>
      </c>
      <c r="K24" s="35" t="s">
        <v>228</v>
      </c>
      <c r="L24" s="35">
        <v>4.9000000000000004</v>
      </c>
      <c r="M24" s="35">
        <v>151</v>
      </c>
      <c r="N24" s="33">
        <v>12</v>
      </c>
      <c r="O24" s="28">
        <v>5</v>
      </c>
      <c r="P24" s="9">
        <v>773</v>
      </c>
      <c r="Q24" s="9">
        <v>0</v>
      </c>
      <c r="R24" s="29">
        <v>0</v>
      </c>
      <c r="S24" s="15">
        <v>1</v>
      </c>
      <c r="T24" s="7">
        <v>171</v>
      </c>
      <c r="U24" s="7">
        <v>0</v>
      </c>
      <c r="V24" s="16">
        <v>0</v>
      </c>
      <c r="W24" s="17">
        <v>6</v>
      </c>
      <c r="X24" s="18">
        <v>944</v>
      </c>
      <c r="Y24" s="19">
        <v>0</v>
      </c>
      <c r="Z24" s="18">
        <v>0</v>
      </c>
    </row>
    <row r="25" spans="1:26" x14ac:dyDescent="0.25">
      <c r="A25" s="8">
        <v>21</v>
      </c>
      <c r="B25" s="5" t="s">
        <v>78</v>
      </c>
      <c r="C25" s="14" t="s">
        <v>79</v>
      </c>
      <c r="D25" s="31" t="s">
        <v>42</v>
      </c>
      <c r="E25" s="6" t="s">
        <v>43</v>
      </c>
      <c r="F25" s="6" t="s">
        <v>43</v>
      </c>
      <c r="G25" s="6">
        <v>6</v>
      </c>
      <c r="H25" s="6">
        <v>0</v>
      </c>
      <c r="I25" s="6" t="s">
        <v>64</v>
      </c>
      <c r="J25" s="6">
        <v>3</v>
      </c>
      <c r="K25" s="35" t="s">
        <v>228</v>
      </c>
      <c r="L25" s="35">
        <v>14.3</v>
      </c>
      <c r="M25" s="35">
        <v>34</v>
      </c>
      <c r="N25" s="33">
        <v>2</v>
      </c>
      <c r="O25" s="28">
        <v>28</v>
      </c>
      <c r="P25" s="9">
        <v>993</v>
      </c>
      <c r="Q25" s="9">
        <v>0</v>
      </c>
      <c r="R25" s="29">
        <v>0</v>
      </c>
      <c r="S25" s="15">
        <v>25</v>
      </c>
      <c r="T25" s="7">
        <v>895</v>
      </c>
      <c r="U25" s="7">
        <v>0</v>
      </c>
      <c r="V25" s="16">
        <v>0</v>
      </c>
      <c r="W25" s="17">
        <v>53</v>
      </c>
      <c r="X25" s="18">
        <v>1888</v>
      </c>
      <c r="Y25" s="19">
        <v>0</v>
      </c>
      <c r="Z25" s="18">
        <v>0</v>
      </c>
    </row>
    <row r="26" spans="1:26" x14ac:dyDescent="0.25">
      <c r="A26" s="8">
        <v>22</v>
      </c>
      <c r="B26" s="5" t="s">
        <v>80</v>
      </c>
      <c r="C26" s="14" t="s">
        <v>81</v>
      </c>
      <c r="D26" s="31" t="s">
        <v>48</v>
      </c>
      <c r="E26" s="6" t="s">
        <v>39</v>
      </c>
      <c r="F26" s="6" t="s">
        <v>39</v>
      </c>
      <c r="G26" s="6">
        <v>15</v>
      </c>
      <c r="H26" s="6">
        <v>0</v>
      </c>
      <c r="I26" s="6" t="s">
        <v>64</v>
      </c>
      <c r="J26" s="6">
        <v>3</v>
      </c>
      <c r="K26" s="35" t="s">
        <v>234</v>
      </c>
      <c r="L26" s="35">
        <v>8.0500000000000007</v>
      </c>
      <c r="M26" s="35">
        <v>151</v>
      </c>
      <c r="N26" s="33">
        <v>0</v>
      </c>
      <c r="O26" s="28">
        <v>0</v>
      </c>
      <c r="P26" s="9">
        <v>0</v>
      </c>
      <c r="Q26" s="9">
        <v>0</v>
      </c>
      <c r="R26" s="29">
        <v>0</v>
      </c>
      <c r="S26" s="15">
        <v>0</v>
      </c>
      <c r="T26" s="7">
        <v>0</v>
      </c>
      <c r="U26" s="7">
        <v>0</v>
      </c>
      <c r="V26" s="16">
        <v>0</v>
      </c>
      <c r="W26" s="17">
        <v>0</v>
      </c>
      <c r="X26" s="18">
        <v>0</v>
      </c>
      <c r="Y26" s="19">
        <v>0</v>
      </c>
      <c r="Z26" s="18">
        <v>0</v>
      </c>
    </row>
    <row r="27" spans="1:26" x14ac:dyDescent="0.25">
      <c r="A27" s="8">
        <v>23</v>
      </c>
      <c r="B27" s="5" t="s">
        <v>82</v>
      </c>
      <c r="C27" s="14" t="s">
        <v>83</v>
      </c>
      <c r="D27" s="31" t="s">
        <v>84</v>
      </c>
      <c r="E27" s="6" t="s">
        <v>46</v>
      </c>
      <c r="F27" s="6" t="s">
        <v>46</v>
      </c>
      <c r="G27" s="6">
        <v>8</v>
      </c>
      <c r="H27" s="6">
        <v>0</v>
      </c>
      <c r="I27" s="6" t="s">
        <v>85</v>
      </c>
      <c r="J27" s="6">
        <v>3</v>
      </c>
      <c r="K27" s="35" t="s">
        <v>235</v>
      </c>
      <c r="L27" s="35">
        <v>8.4600000000000009</v>
      </c>
      <c r="M27" s="35">
        <v>109</v>
      </c>
      <c r="N27" s="33">
        <v>12</v>
      </c>
      <c r="O27" s="28">
        <v>2</v>
      </c>
      <c r="P27" s="9">
        <v>166</v>
      </c>
      <c r="Q27" s="9">
        <v>72</v>
      </c>
      <c r="R27" s="29">
        <v>0</v>
      </c>
      <c r="S27" s="15">
        <v>0</v>
      </c>
      <c r="T27" s="7">
        <v>0</v>
      </c>
      <c r="U27" s="7">
        <v>0</v>
      </c>
      <c r="V27" s="16">
        <v>0</v>
      </c>
      <c r="W27" s="17">
        <v>2</v>
      </c>
      <c r="X27" s="18">
        <v>166</v>
      </c>
      <c r="Y27" s="19">
        <v>72</v>
      </c>
      <c r="Z27" s="18">
        <v>0</v>
      </c>
    </row>
    <row r="28" spans="1:26" x14ac:dyDescent="0.25">
      <c r="A28" s="8">
        <v>24</v>
      </c>
      <c r="B28" s="5" t="s">
        <v>86</v>
      </c>
      <c r="C28" s="14" t="s">
        <v>87</v>
      </c>
      <c r="D28" s="31" t="s">
        <v>88</v>
      </c>
      <c r="E28" s="6" t="s">
        <v>89</v>
      </c>
      <c r="F28" s="6" t="s">
        <v>89</v>
      </c>
      <c r="G28" s="6">
        <v>3</v>
      </c>
      <c r="H28" s="6">
        <v>0</v>
      </c>
      <c r="I28" s="6" t="s">
        <v>35</v>
      </c>
      <c r="J28" s="6">
        <v>3</v>
      </c>
      <c r="K28" s="35" t="s">
        <v>236</v>
      </c>
      <c r="L28" s="35">
        <v>6.7</v>
      </c>
      <c r="M28" s="35">
        <v>22</v>
      </c>
      <c r="N28" s="33">
        <v>0</v>
      </c>
      <c r="O28" s="28">
        <v>0</v>
      </c>
      <c r="P28" s="9">
        <v>0</v>
      </c>
      <c r="Q28" s="9">
        <v>0</v>
      </c>
      <c r="R28" s="29">
        <v>0</v>
      </c>
      <c r="S28" s="15">
        <v>0</v>
      </c>
      <c r="T28" s="7">
        <v>0</v>
      </c>
      <c r="U28" s="7">
        <v>0</v>
      </c>
      <c r="V28" s="16">
        <v>0</v>
      </c>
      <c r="W28" s="17">
        <v>0</v>
      </c>
      <c r="X28" s="18">
        <v>0</v>
      </c>
      <c r="Y28" s="19">
        <v>0</v>
      </c>
      <c r="Z28" s="18">
        <v>0</v>
      </c>
    </row>
    <row r="29" spans="1:26" x14ac:dyDescent="0.25">
      <c r="A29" s="8">
        <v>25</v>
      </c>
      <c r="B29" s="5" t="s">
        <v>90</v>
      </c>
      <c r="C29" s="14" t="s">
        <v>54</v>
      </c>
      <c r="D29" s="31" t="s">
        <v>55</v>
      </c>
      <c r="E29" s="6" t="s">
        <v>34</v>
      </c>
      <c r="F29" s="6" t="s">
        <v>34</v>
      </c>
      <c r="G29" s="6">
        <v>18.149999999999999</v>
      </c>
      <c r="H29" s="6">
        <v>8.6</v>
      </c>
      <c r="I29" s="6" t="s">
        <v>35</v>
      </c>
      <c r="J29" s="6">
        <v>3</v>
      </c>
      <c r="K29" s="35" t="s">
        <v>231</v>
      </c>
      <c r="L29" s="35">
        <v>9.9</v>
      </c>
      <c r="M29" s="35">
        <v>70</v>
      </c>
      <c r="N29" s="33">
        <v>12</v>
      </c>
      <c r="O29" s="28">
        <v>6</v>
      </c>
      <c r="P29" s="9">
        <v>676</v>
      </c>
      <c r="Q29" s="9">
        <v>0</v>
      </c>
      <c r="R29" s="29">
        <v>0</v>
      </c>
      <c r="S29" s="15">
        <v>6</v>
      </c>
      <c r="T29" s="7">
        <v>414</v>
      </c>
      <c r="U29" s="7">
        <v>0</v>
      </c>
      <c r="V29" s="16">
        <v>0</v>
      </c>
      <c r="W29" s="17">
        <v>12</v>
      </c>
      <c r="X29" s="18">
        <v>1090</v>
      </c>
      <c r="Y29" s="19">
        <v>0</v>
      </c>
      <c r="Z29" s="18">
        <v>0</v>
      </c>
    </row>
    <row r="30" spans="1:26" x14ac:dyDescent="0.25">
      <c r="A30" s="8">
        <v>26</v>
      </c>
      <c r="B30" s="5" t="s">
        <v>91</v>
      </c>
      <c r="C30" s="14" t="s">
        <v>92</v>
      </c>
      <c r="D30" s="31" t="s">
        <v>42</v>
      </c>
      <c r="E30" s="6" t="s">
        <v>46</v>
      </c>
      <c r="F30" s="6" t="s">
        <v>46</v>
      </c>
      <c r="G30" s="6">
        <v>5.97</v>
      </c>
      <c r="H30" s="6">
        <v>0</v>
      </c>
      <c r="I30" s="6" t="s">
        <v>35</v>
      </c>
      <c r="J30" s="6">
        <v>2.5</v>
      </c>
      <c r="K30" s="35" t="s">
        <v>234</v>
      </c>
      <c r="L30" s="35">
        <v>1.45</v>
      </c>
      <c r="M30" s="35">
        <v>126</v>
      </c>
      <c r="N30" s="33">
        <v>0</v>
      </c>
      <c r="O30" s="28">
        <v>0</v>
      </c>
      <c r="P30" s="9">
        <v>0</v>
      </c>
      <c r="Q30" s="9">
        <v>0</v>
      </c>
      <c r="R30" s="29">
        <v>0</v>
      </c>
      <c r="S30" s="15">
        <v>0</v>
      </c>
      <c r="T30" s="7">
        <v>0</v>
      </c>
      <c r="U30" s="7">
        <v>0</v>
      </c>
      <c r="V30" s="16">
        <v>0</v>
      </c>
      <c r="W30" s="17">
        <v>0</v>
      </c>
      <c r="X30" s="18">
        <v>0</v>
      </c>
      <c r="Y30" s="19">
        <v>0</v>
      </c>
      <c r="Z30" s="18">
        <v>0</v>
      </c>
    </row>
    <row r="31" spans="1:26" x14ac:dyDescent="0.25">
      <c r="A31" s="8">
        <v>27</v>
      </c>
      <c r="B31" s="5" t="s">
        <v>93</v>
      </c>
      <c r="C31" s="14" t="s">
        <v>94</v>
      </c>
      <c r="D31" s="31" t="s">
        <v>67</v>
      </c>
      <c r="E31" s="6" t="s">
        <v>68</v>
      </c>
      <c r="F31" s="6" t="s">
        <v>68</v>
      </c>
      <c r="G31" s="6">
        <v>2.5</v>
      </c>
      <c r="H31" s="6">
        <v>0</v>
      </c>
      <c r="I31" s="6" t="s">
        <v>35</v>
      </c>
      <c r="J31" s="6">
        <v>3</v>
      </c>
      <c r="K31" s="35" t="s">
        <v>228</v>
      </c>
      <c r="L31" s="35">
        <v>0.03</v>
      </c>
      <c r="M31" s="35">
        <v>394</v>
      </c>
      <c r="N31" s="33">
        <v>0</v>
      </c>
      <c r="O31" s="28">
        <v>0</v>
      </c>
      <c r="P31" s="9">
        <v>0</v>
      </c>
      <c r="Q31" s="9">
        <v>0</v>
      </c>
      <c r="R31" s="29">
        <v>0</v>
      </c>
      <c r="S31" s="15">
        <v>0</v>
      </c>
      <c r="T31" s="7">
        <v>0</v>
      </c>
      <c r="U31" s="7">
        <v>0</v>
      </c>
      <c r="V31" s="16">
        <v>0</v>
      </c>
      <c r="W31" s="17">
        <v>0</v>
      </c>
      <c r="X31" s="18">
        <v>0</v>
      </c>
      <c r="Y31" s="19">
        <v>0</v>
      </c>
      <c r="Z31" s="18">
        <v>0</v>
      </c>
    </row>
    <row r="32" spans="1:26" x14ac:dyDescent="0.25">
      <c r="A32" s="8">
        <v>28</v>
      </c>
      <c r="B32" s="5" t="s">
        <v>95</v>
      </c>
      <c r="C32" s="14" t="s">
        <v>96</v>
      </c>
      <c r="D32" s="31" t="s">
        <v>55</v>
      </c>
      <c r="E32" s="6" t="s">
        <v>34</v>
      </c>
      <c r="F32" s="6" t="s">
        <v>34</v>
      </c>
      <c r="G32" s="6">
        <v>6</v>
      </c>
      <c r="H32" s="6">
        <v>0</v>
      </c>
      <c r="I32" s="6" t="s">
        <v>35</v>
      </c>
      <c r="J32" s="6">
        <v>3</v>
      </c>
      <c r="K32" s="35" t="s">
        <v>227</v>
      </c>
      <c r="L32" s="35">
        <v>0.154</v>
      </c>
      <c r="M32" s="35">
        <v>243</v>
      </c>
      <c r="N32" s="33">
        <v>5</v>
      </c>
      <c r="O32" s="28">
        <v>7</v>
      </c>
      <c r="P32" s="9">
        <v>714</v>
      </c>
      <c r="Q32" s="9">
        <v>305</v>
      </c>
      <c r="R32" s="29">
        <v>0</v>
      </c>
      <c r="S32" s="15">
        <v>6</v>
      </c>
      <c r="T32" s="7">
        <v>1623</v>
      </c>
      <c r="U32" s="7">
        <v>0</v>
      </c>
      <c r="V32" s="16">
        <v>0</v>
      </c>
      <c r="W32" s="17">
        <v>13</v>
      </c>
      <c r="X32" s="18">
        <v>2337</v>
      </c>
      <c r="Y32" s="19">
        <v>305</v>
      </c>
      <c r="Z32" s="18">
        <v>0</v>
      </c>
    </row>
    <row r="33" spans="1:26" x14ac:dyDescent="0.25">
      <c r="A33" s="8">
        <v>29</v>
      </c>
      <c r="B33" s="5" t="s">
        <v>97</v>
      </c>
      <c r="C33" s="14">
        <v>378</v>
      </c>
      <c r="D33" s="31" t="s">
        <v>48</v>
      </c>
      <c r="E33" s="6" t="s">
        <v>49</v>
      </c>
      <c r="F33" s="6" t="s">
        <v>49</v>
      </c>
      <c r="G33" s="6">
        <v>6.5</v>
      </c>
      <c r="H33" s="6">
        <v>0</v>
      </c>
      <c r="I33" s="6" t="s">
        <v>35</v>
      </c>
      <c r="J33" s="6">
        <v>2.5</v>
      </c>
      <c r="K33" s="35" t="s">
        <v>228</v>
      </c>
      <c r="L33" s="35">
        <v>0.625</v>
      </c>
      <c r="M33" s="35">
        <v>260</v>
      </c>
      <c r="N33" s="33">
        <v>7</v>
      </c>
      <c r="O33" s="28">
        <v>10</v>
      </c>
      <c r="P33" s="9">
        <v>2492</v>
      </c>
      <c r="Q33" s="9">
        <v>0</v>
      </c>
      <c r="R33" s="29">
        <v>0</v>
      </c>
      <c r="S33" s="15">
        <v>11</v>
      </c>
      <c r="T33" s="7">
        <v>2497</v>
      </c>
      <c r="U33" s="7">
        <v>0</v>
      </c>
      <c r="V33" s="16">
        <v>0</v>
      </c>
      <c r="W33" s="17">
        <v>21</v>
      </c>
      <c r="X33" s="18">
        <v>4989</v>
      </c>
      <c r="Y33" s="19">
        <v>0</v>
      </c>
      <c r="Z33" s="18">
        <v>0</v>
      </c>
    </row>
    <row r="34" spans="1:26" x14ac:dyDescent="0.25">
      <c r="A34" s="8">
        <v>30</v>
      </c>
      <c r="B34" s="5" t="s">
        <v>98</v>
      </c>
      <c r="C34" s="14" t="s">
        <v>96</v>
      </c>
      <c r="D34" s="31" t="s">
        <v>55</v>
      </c>
      <c r="E34" s="6" t="s">
        <v>34</v>
      </c>
      <c r="F34" s="6" t="s">
        <v>34</v>
      </c>
      <c r="G34" s="6">
        <v>6</v>
      </c>
      <c r="H34" s="6">
        <v>0</v>
      </c>
      <c r="I34" s="6" t="s">
        <v>35</v>
      </c>
      <c r="J34" s="6">
        <v>3</v>
      </c>
      <c r="K34" s="35" t="s">
        <v>227</v>
      </c>
      <c r="L34" s="35">
        <v>0.154</v>
      </c>
      <c r="M34" s="35">
        <v>243</v>
      </c>
      <c r="N34" s="33">
        <v>5</v>
      </c>
      <c r="O34" s="28">
        <v>8</v>
      </c>
      <c r="P34" s="9">
        <v>1610</v>
      </c>
      <c r="Q34" s="9">
        <v>0</v>
      </c>
      <c r="R34" s="29">
        <v>0</v>
      </c>
      <c r="S34" s="15">
        <v>7</v>
      </c>
      <c r="T34" s="7">
        <v>967</v>
      </c>
      <c r="U34" s="7">
        <v>1149</v>
      </c>
      <c r="V34" s="16">
        <v>0</v>
      </c>
      <c r="W34" s="17">
        <v>15</v>
      </c>
      <c r="X34" s="18">
        <v>2577</v>
      </c>
      <c r="Y34" s="19">
        <v>1149</v>
      </c>
      <c r="Z34" s="18">
        <v>0</v>
      </c>
    </row>
    <row r="35" spans="1:26" x14ac:dyDescent="0.25">
      <c r="A35" s="8">
        <v>31</v>
      </c>
      <c r="B35" s="5" t="s">
        <v>99</v>
      </c>
      <c r="C35" s="14" t="s">
        <v>100</v>
      </c>
      <c r="D35" s="31" t="s">
        <v>101</v>
      </c>
      <c r="E35" s="6" t="s">
        <v>39</v>
      </c>
      <c r="F35" s="6" t="s">
        <v>39</v>
      </c>
      <c r="G35" s="6">
        <v>3</v>
      </c>
      <c r="H35" s="6">
        <v>0</v>
      </c>
      <c r="I35" s="6" t="s">
        <v>35</v>
      </c>
      <c r="J35" s="6">
        <v>3</v>
      </c>
      <c r="K35" s="35" t="s">
        <v>235</v>
      </c>
      <c r="L35" s="35">
        <v>0.14499999999999999</v>
      </c>
      <c r="M35" s="35">
        <v>469</v>
      </c>
      <c r="N35" s="33">
        <v>7</v>
      </c>
      <c r="O35" s="28">
        <v>12</v>
      </c>
      <c r="P35" s="9">
        <v>5255</v>
      </c>
      <c r="Q35" s="9">
        <v>0</v>
      </c>
      <c r="R35" s="29">
        <v>0</v>
      </c>
      <c r="S35" s="15">
        <v>8</v>
      </c>
      <c r="T35" s="7">
        <v>3793</v>
      </c>
      <c r="U35" s="7">
        <v>0</v>
      </c>
      <c r="V35" s="16">
        <v>0</v>
      </c>
      <c r="W35" s="17">
        <v>20</v>
      </c>
      <c r="X35" s="18">
        <v>9048</v>
      </c>
      <c r="Y35" s="19">
        <v>0</v>
      </c>
      <c r="Z35" s="18">
        <v>0</v>
      </c>
    </row>
    <row r="36" spans="1:26" x14ac:dyDescent="0.25">
      <c r="A36" s="8">
        <v>32</v>
      </c>
      <c r="B36" s="5" t="s">
        <v>102</v>
      </c>
      <c r="C36" s="14" t="s">
        <v>103</v>
      </c>
      <c r="D36" s="31" t="s">
        <v>55</v>
      </c>
      <c r="E36" s="6" t="s">
        <v>34</v>
      </c>
      <c r="F36" s="6" t="s">
        <v>34</v>
      </c>
      <c r="G36" s="6">
        <v>6</v>
      </c>
      <c r="H36" s="6">
        <v>0</v>
      </c>
      <c r="I36" s="6" t="s">
        <v>35</v>
      </c>
      <c r="J36" s="6">
        <v>3</v>
      </c>
      <c r="K36" s="35" t="s">
        <v>227</v>
      </c>
      <c r="L36" s="35">
        <v>0.26300000000000001</v>
      </c>
      <c r="M36" s="35">
        <v>203</v>
      </c>
      <c r="N36" s="33">
        <v>5</v>
      </c>
      <c r="O36" s="28">
        <v>3</v>
      </c>
      <c r="P36" s="9">
        <v>798</v>
      </c>
      <c r="Q36" s="9">
        <v>0</v>
      </c>
      <c r="R36" s="29">
        <v>0</v>
      </c>
      <c r="S36" s="15">
        <v>6</v>
      </c>
      <c r="T36" s="7">
        <v>1520</v>
      </c>
      <c r="U36" s="7">
        <v>239</v>
      </c>
      <c r="V36" s="16">
        <v>171</v>
      </c>
      <c r="W36" s="17">
        <v>9</v>
      </c>
      <c r="X36" s="18">
        <v>2318</v>
      </c>
      <c r="Y36" s="19">
        <v>239</v>
      </c>
      <c r="Z36" s="18">
        <v>171</v>
      </c>
    </row>
    <row r="37" spans="1:26" x14ac:dyDescent="0.25">
      <c r="A37" s="8">
        <v>33</v>
      </c>
      <c r="B37" s="5" t="s">
        <v>104</v>
      </c>
      <c r="C37" s="14" t="s">
        <v>105</v>
      </c>
      <c r="D37" s="31" t="s">
        <v>48</v>
      </c>
      <c r="E37" s="6" t="s">
        <v>39</v>
      </c>
      <c r="F37" s="6" t="s">
        <v>39</v>
      </c>
      <c r="G37" s="6">
        <v>6.35</v>
      </c>
      <c r="H37" s="6">
        <v>0</v>
      </c>
      <c r="I37" s="6" t="s">
        <v>35</v>
      </c>
      <c r="J37" s="6">
        <v>3</v>
      </c>
      <c r="K37" s="35" t="s">
        <v>228</v>
      </c>
      <c r="L37" s="35">
        <v>0.67</v>
      </c>
      <c r="M37" s="35">
        <v>430</v>
      </c>
      <c r="N37" s="33">
        <v>7</v>
      </c>
      <c r="O37" s="28">
        <v>5</v>
      </c>
      <c r="P37" s="9">
        <v>1428</v>
      </c>
      <c r="Q37" s="9">
        <v>626</v>
      </c>
      <c r="R37" s="29">
        <v>0</v>
      </c>
      <c r="S37" s="15">
        <v>1</v>
      </c>
      <c r="T37" s="7">
        <v>373</v>
      </c>
      <c r="U37" s="7">
        <v>0</v>
      </c>
      <c r="V37" s="16">
        <v>0</v>
      </c>
      <c r="W37" s="17">
        <v>6</v>
      </c>
      <c r="X37" s="18">
        <v>1801</v>
      </c>
      <c r="Y37" s="19">
        <v>626</v>
      </c>
      <c r="Z37" s="18">
        <v>0</v>
      </c>
    </row>
    <row r="38" spans="1:26" x14ac:dyDescent="0.25">
      <c r="A38" s="8">
        <v>34</v>
      </c>
      <c r="B38" s="5" t="s">
        <v>106</v>
      </c>
      <c r="C38" s="14" t="s">
        <v>107</v>
      </c>
      <c r="D38" s="31" t="s">
        <v>77</v>
      </c>
      <c r="E38" s="6" t="s">
        <v>68</v>
      </c>
      <c r="F38" s="6" t="s">
        <v>68</v>
      </c>
      <c r="G38" s="6">
        <v>2.38</v>
      </c>
      <c r="H38" s="6">
        <v>0</v>
      </c>
      <c r="I38" s="6" t="s">
        <v>35</v>
      </c>
      <c r="J38" s="6">
        <v>3</v>
      </c>
      <c r="K38" s="35" t="s">
        <v>237</v>
      </c>
      <c r="L38" s="35">
        <v>0.191</v>
      </c>
      <c r="M38" s="35">
        <v>250</v>
      </c>
      <c r="N38" s="33">
        <v>12</v>
      </c>
      <c r="O38" s="28">
        <v>6</v>
      </c>
      <c r="P38" s="9">
        <v>1361</v>
      </c>
      <c r="Q38" s="9">
        <v>0</v>
      </c>
      <c r="R38" s="29">
        <v>0</v>
      </c>
      <c r="S38" s="15">
        <v>5</v>
      </c>
      <c r="T38" s="7">
        <v>1172</v>
      </c>
      <c r="U38" s="7">
        <v>0</v>
      </c>
      <c r="V38" s="16">
        <v>0</v>
      </c>
      <c r="W38" s="17">
        <v>11</v>
      </c>
      <c r="X38" s="18">
        <v>2533</v>
      </c>
      <c r="Y38" s="19">
        <v>0</v>
      </c>
      <c r="Z38" s="18">
        <v>0</v>
      </c>
    </row>
    <row r="39" spans="1:26" x14ac:dyDescent="0.25">
      <c r="A39" s="8">
        <v>35</v>
      </c>
      <c r="B39" s="5" t="s">
        <v>108</v>
      </c>
      <c r="C39" s="14" t="s">
        <v>94</v>
      </c>
      <c r="D39" s="31" t="s">
        <v>67</v>
      </c>
      <c r="E39" s="6" t="s">
        <v>68</v>
      </c>
      <c r="F39" s="6" t="s">
        <v>68</v>
      </c>
      <c r="G39" s="6">
        <v>2.5</v>
      </c>
      <c r="H39" s="6">
        <v>0</v>
      </c>
      <c r="I39" s="6" t="s">
        <v>35</v>
      </c>
      <c r="J39" s="6">
        <v>3</v>
      </c>
      <c r="K39" s="35" t="s">
        <v>228</v>
      </c>
      <c r="L39" s="35">
        <v>0.03</v>
      </c>
      <c r="M39" s="35">
        <v>394</v>
      </c>
      <c r="N39" s="33">
        <v>4</v>
      </c>
      <c r="O39" s="28">
        <v>3</v>
      </c>
      <c r="P39" s="9">
        <v>566</v>
      </c>
      <c r="Q39" s="9">
        <v>333</v>
      </c>
      <c r="R39" s="29">
        <v>0</v>
      </c>
      <c r="S39" s="15">
        <v>1</v>
      </c>
      <c r="T39" s="7">
        <v>400</v>
      </c>
      <c r="U39" s="7">
        <v>0</v>
      </c>
      <c r="V39" s="16">
        <v>0</v>
      </c>
      <c r="W39" s="17">
        <v>4</v>
      </c>
      <c r="X39" s="18">
        <v>966</v>
      </c>
      <c r="Y39" s="19">
        <v>333</v>
      </c>
      <c r="Z39" s="18">
        <v>0</v>
      </c>
    </row>
    <row r="40" spans="1:26" x14ac:dyDescent="0.25">
      <c r="A40" s="8">
        <v>36</v>
      </c>
      <c r="B40" s="5" t="s">
        <v>109</v>
      </c>
      <c r="C40" s="14" t="s">
        <v>92</v>
      </c>
      <c r="D40" s="31" t="s">
        <v>42</v>
      </c>
      <c r="E40" s="6" t="s">
        <v>46</v>
      </c>
      <c r="F40" s="6" t="s">
        <v>46</v>
      </c>
      <c r="G40" s="6">
        <v>5.97</v>
      </c>
      <c r="H40" s="6">
        <v>0</v>
      </c>
      <c r="I40" s="6" t="s">
        <v>35</v>
      </c>
      <c r="J40" s="6">
        <v>3</v>
      </c>
      <c r="K40" s="35" t="s">
        <v>228</v>
      </c>
      <c r="L40" s="35">
        <v>1.45</v>
      </c>
      <c r="M40" s="35">
        <v>150</v>
      </c>
      <c r="N40" s="33">
        <v>12</v>
      </c>
      <c r="O40" s="28">
        <v>21</v>
      </c>
      <c r="P40" s="9">
        <v>3110</v>
      </c>
      <c r="Q40" s="9">
        <v>0</v>
      </c>
      <c r="R40" s="29">
        <v>0</v>
      </c>
      <c r="S40" s="15">
        <v>15</v>
      </c>
      <c r="T40" s="7">
        <v>2805</v>
      </c>
      <c r="U40" s="7">
        <v>0</v>
      </c>
      <c r="V40" s="16">
        <v>0</v>
      </c>
      <c r="W40" s="17">
        <v>36</v>
      </c>
      <c r="X40" s="18">
        <v>5915</v>
      </c>
      <c r="Y40" s="19">
        <v>0</v>
      </c>
      <c r="Z40" s="18">
        <v>0</v>
      </c>
    </row>
    <row r="41" spans="1:26" x14ac:dyDescent="0.25">
      <c r="A41" s="8">
        <v>37</v>
      </c>
      <c r="B41" s="5" t="s">
        <v>110</v>
      </c>
      <c r="C41" s="14" t="s">
        <v>111</v>
      </c>
      <c r="D41" s="31" t="s">
        <v>48</v>
      </c>
      <c r="E41" s="6" t="s">
        <v>49</v>
      </c>
      <c r="F41" s="6" t="s">
        <v>49</v>
      </c>
      <c r="G41" s="6">
        <v>9.5299999999999994</v>
      </c>
      <c r="H41" s="6">
        <v>0</v>
      </c>
      <c r="I41" s="6" t="s">
        <v>35</v>
      </c>
      <c r="J41" s="6">
        <v>2.5</v>
      </c>
      <c r="K41" s="35" t="s">
        <v>228</v>
      </c>
      <c r="L41" s="35">
        <v>4.58</v>
      </c>
      <c r="M41" s="35">
        <v>112</v>
      </c>
      <c r="N41" s="33">
        <v>0</v>
      </c>
      <c r="O41" s="28">
        <v>0</v>
      </c>
      <c r="P41" s="9">
        <v>0</v>
      </c>
      <c r="Q41" s="9">
        <v>0</v>
      </c>
      <c r="R41" s="29">
        <v>0</v>
      </c>
      <c r="S41" s="15">
        <v>0</v>
      </c>
      <c r="T41" s="7">
        <v>0</v>
      </c>
      <c r="U41" s="7">
        <v>0</v>
      </c>
      <c r="V41" s="16">
        <v>0</v>
      </c>
      <c r="W41" s="17">
        <v>0</v>
      </c>
      <c r="X41" s="18">
        <v>0</v>
      </c>
      <c r="Y41" s="19">
        <v>0</v>
      </c>
      <c r="Z41" s="18">
        <v>0</v>
      </c>
    </row>
    <row r="42" spans="1:26" x14ac:dyDescent="0.25">
      <c r="A42" s="8">
        <v>38</v>
      </c>
      <c r="B42" s="5" t="s">
        <v>112</v>
      </c>
      <c r="C42" s="14" t="s">
        <v>94</v>
      </c>
      <c r="D42" s="31" t="s">
        <v>67</v>
      </c>
      <c r="E42" s="6" t="s">
        <v>68</v>
      </c>
      <c r="F42" s="6" t="s">
        <v>68</v>
      </c>
      <c r="G42" s="6">
        <v>2.5</v>
      </c>
      <c r="H42" s="6">
        <v>0</v>
      </c>
      <c r="I42" s="6" t="s">
        <v>35</v>
      </c>
      <c r="J42" s="6">
        <v>3</v>
      </c>
      <c r="K42" s="35" t="s">
        <v>228</v>
      </c>
      <c r="L42" s="35">
        <v>0.03</v>
      </c>
      <c r="M42" s="35">
        <v>394</v>
      </c>
      <c r="N42" s="33">
        <v>4</v>
      </c>
      <c r="O42" s="28">
        <v>1</v>
      </c>
      <c r="P42" s="9">
        <v>200</v>
      </c>
      <c r="Q42" s="9">
        <v>133</v>
      </c>
      <c r="R42" s="29">
        <v>0</v>
      </c>
      <c r="S42" s="15">
        <v>2</v>
      </c>
      <c r="T42" s="7">
        <v>733</v>
      </c>
      <c r="U42" s="7">
        <v>0</v>
      </c>
      <c r="V42" s="16">
        <v>0</v>
      </c>
      <c r="W42" s="17">
        <v>3</v>
      </c>
      <c r="X42" s="18">
        <v>933</v>
      </c>
      <c r="Y42" s="19">
        <v>133</v>
      </c>
      <c r="Z42" s="18">
        <v>0</v>
      </c>
    </row>
    <row r="43" spans="1:26" x14ac:dyDescent="0.25">
      <c r="A43" s="8">
        <v>39</v>
      </c>
      <c r="B43" s="5" t="s">
        <v>113</v>
      </c>
      <c r="C43" s="14" t="s">
        <v>114</v>
      </c>
      <c r="D43" s="31" t="s">
        <v>101</v>
      </c>
      <c r="E43" s="6" t="s">
        <v>39</v>
      </c>
      <c r="F43" s="6" t="s">
        <v>39</v>
      </c>
      <c r="G43" s="6">
        <v>4</v>
      </c>
      <c r="H43" s="6">
        <v>0</v>
      </c>
      <c r="I43" s="6" t="s">
        <v>35</v>
      </c>
      <c r="J43" s="6">
        <v>3</v>
      </c>
      <c r="K43" s="35" t="s">
        <v>228</v>
      </c>
      <c r="L43" s="35">
        <v>0.48</v>
      </c>
      <c r="M43" s="35">
        <v>304</v>
      </c>
      <c r="N43" s="33">
        <v>3</v>
      </c>
      <c r="O43" s="28">
        <v>7</v>
      </c>
      <c r="P43" s="9">
        <v>2585</v>
      </c>
      <c r="Q43" s="9">
        <v>0</v>
      </c>
      <c r="R43" s="29">
        <v>0</v>
      </c>
      <c r="S43" s="15">
        <v>12</v>
      </c>
      <c r="T43" s="7">
        <v>3793</v>
      </c>
      <c r="U43" s="7">
        <v>0</v>
      </c>
      <c r="V43" s="16">
        <v>0</v>
      </c>
      <c r="W43" s="17">
        <v>19</v>
      </c>
      <c r="X43" s="18">
        <v>6378</v>
      </c>
      <c r="Y43" s="19">
        <v>0</v>
      </c>
      <c r="Z43" s="18">
        <v>0</v>
      </c>
    </row>
    <row r="44" spans="1:26" x14ac:dyDescent="0.25">
      <c r="A44" s="8">
        <v>40</v>
      </c>
      <c r="B44" s="5" t="s">
        <v>115</v>
      </c>
      <c r="C44" s="14" t="s">
        <v>116</v>
      </c>
      <c r="D44" s="31" t="s">
        <v>77</v>
      </c>
      <c r="E44" s="6" t="s">
        <v>68</v>
      </c>
      <c r="F44" s="6" t="s">
        <v>68</v>
      </c>
      <c r="G44" s="6">
        <v>3.5</v>
      </c>
      <c r="H44" s="6">
        <v>0</v>
      </c>
      <c r="I44" s="6" t="s">
        <v>35</v>
      </c>
      <c r="J44" s="6">
        <v>3</v>
      </c>
      <c r="K44" s="35" t="s">
        <v>228</v>
      </c>
      <c r="L44" s="35">
        <v>0.72399999999999998</v>
      </c>
      <c r="M44" s="35">
        <v>170</v>
      </c>
      <c r="N44" s="33">
        <v>12</v>
      </c>
      <c r="O44" s="28">
        <v>4</v>
      </c>
      <c r="P44" s="9">
        <v>571</v>
      </c>
      <c r="Q44" s="9">
        <v>0</v>
      </c>
      <c r="R44" s="29">
        <v>0</v>
      </c>
      <c r="S44" s="15">
        <v>0</v>
      </c>
      <c r="T44" s="7">
        <v>0</v>
      </c>
      <c r="U44" s="7">
        <v>0</v>
      </c>
      <c r="V44" s="16">
        <v>0</v>
      </c>
      <c r="W44" s="17">
        <v>4</v>
      </c>
      <c r="X44" s="18">
        <v>571</v>
      </c>
      <c r="Y44" s="19">
        <v>0</v>
      </c>
      <c r="Z44" s="18">
        <v>0</v>
      </c>
    </row>
    <row r="45" spans="1:26" x14ac:dyDescent="0.25">
      <c r="A45" s="8">
        <v>41</v>
      </c>
      <c r="B45" s="5" t="s">
        <v>117</v>
      </c>
      <c r="C45" s="14">
        <v>1501</v>
      </c>
      <c r="D45" s="31" t="s">
        <v>48</v>
      </c>
      <c r="E45" s="6" t="s">
        <v>49</v>
      </c>
      <c r="F45" s="6" t="s">
        <v>49</v>
      </c>
      <c r="G45" s="6">
        <v>7</v>
      </c>
      <c r="H45" s="6">
        <v>0</v>
      </c>
      <c r="I45" s="6" t="s">
        <v>35</v>
      </c>
      <c r="J45" s="6">
        <v>2.5</v>
      </c>
      <c r="K45" s="35" t="s">
        <v>227</v>
      </c>
      <c r="L45" s="35">
        <v>2.16</v>
      </c>
      <c r="M45" s="35">
        <v>144</v>
      </c>
      <c r="N45" s="33">
        <v>12</v>
      </c>
      <c r="O45" s="28">
        <v>12</v>
      </c>
      <c r="P45" s="9">
        <v>1674</v>
      </c>
      <c r="Q45" s="9">
        <v>0</v>
      </c>
      <c r="R45" s="29">
        <v>0</v>
      </c>
      <c r="S45" s="15">
        <v>19</v>
      </c>
      <c r="T45" s="7">
        <v>0</v>
      </c>
      <c r="U45" s="7">
        <v>3023</v>
      </c>
      <c r="V45" s="16">
        <v>0</v>
      </c>
      <c r="W45" s="17">
        <v>31</v>
      </c>
      <c r="X45" s="18">
        <v>1674</v>
      </c>
      <c r="Y45" s="19">
        <v>3023</v>
      </c>
      <c r="Z45" s="18">
        <v>0</v>
      </c>
    </row>
    <row r="46" spans="1:26" x14ac:dyDescent="0.25">
      <c r="A46" s="8">
        <v>42</v>
      </c>
      <c r="B46" s="5" t="s">
        <v>118</v>
      </c>
      <c r="C46" s="14" t="s">
        <v>119</v>
      </c>
      <c r="D46" s="31" t="s">
        <v>77</v>
      </c>
      <c r="E46" s="6" t="s">
        <v>68</v>
      </c>
      <c r="F46" s="6" t="s">
        <v>68</v>
      </c>
      <c r="G46" s="6">
        <v>2.38</v>
      </c>
      <c r="H46" s="6">
        <v>0</v>
      </c>
      <c r="I46" s="6" t="s">
        <v>35</v>
      </c>
      <c r="J46" s="6">
        <v>3</v>
      </c>
      <c r="K46" s="35" t="s">
        <v>237</v>
      </c>
      <c r="L46" s="35">
        <v>0.33</v>
      </c>
      <c r="M46" s="35">
        <v>170</v>
      </c>
      <c r="N46" s="33">
        <v>12</v>
      </c>
      <c r="O46" s="28">
        <v>6</v>
      </c>
      <c r="P46" s="9">
        <v>1039</v>
      </c>
      <c r="Q46" s="9">
        <v>0</v>
      </c>
      <c r="R46" s="29">
        <v>0</v>
      </c>
      <c r="S46" s="15">
        <v>5</v>
      </c>
      <c r="T46" s="7">
        <v>527</v>
      </c>
      <c r="U46" s="7">
        <v>0</v>
      </c>
      <c r="V46" s="16">
        <v>0</v>
      </c>
      <c r="W46" s="17">
        <v>11</v>
      </c>
      <c r="X46" s="18">
        <v>1566</v>
      </c>
      <c r="Y46" s="19">
        <v>0</v>
      </c>
      <c r="Z46" s="18">
        <v>0</v>
      </c>
    </row>
    <row r="47" spans="1:26" x14ac:dyDescent="0.25">
      <c r="A47" s="8">
        <v>43</v>
      </c>
      <c r="B47" s="5" t="s">
        <v>120</v>
      </c>
      <c r="C47" s="14" t="s">
        <v>121</v>
      </c>
      <c r="D47" s="31" t="s">
        <v>101</v>
      </c>
      <c r="E47" s="6" t="s">
        <v>39</v>
      </c>
      <c r="F47" s="6" t="s">
        <v>39</v>
      </c>
      <c r="G47" s="6">
        <v>3</v>
      </c>
      <c r="H47" s="6">
        <v>0</v>
      </c>
      <c r="I47" s="6" t="s">
        <v>35</v>
      </c>
      <c r="J47" s="6">
        <v>3</v>
      </c>
      <c r="K47" s="35" t="s">
        <v>235</v>
      </c>
      <c r="L47" s="35">
        <v>0.17399999999999999</v>
      </c>
      <c r="M47" s="35">
        <v>589</v>
      </c>
      <c r="N47" s="33">
        <v>3</v>
      </c>
      <c r="O47" s="28">
        <v>5</v>
      </c>
      <c r="P47" s="9">
        <v>3494</v>
      </c>
      <c r="Q47" s="9">
        <v>0</v>
      </c>
      <c r="R47" s="29">
        <v>0</v>
      </c>
      <c r="S47" s="15">
        <v>5</v>
      </c>
      <c r="T47" s="7">
        <v>3293</v>
      </c>
      <c r="U47" s="7">
        <v>0</v>
      </c>
      <c r="V47" s="16">
        <v>0</v>
      </c>
      <c r="W47" s="17">
        <v>10</v>
      </c>
      <c r="X47" s="18">
        <v>6787</v>
      </c>
      <c r="Y47" s="19">
        <v>0</v>
      </c>
      <c r="Z47" s="18">
        <v>0</v>
      </c>
    </row>
    <row r="48" spans="1:26" x14ac:dyDescent="0.25">
      <c r="A48" s="8">
        <v>44</v>
      </c>
      <c r="B48" s="5" t="s">
        <v>122</v>
      </c>
      <c r="C48" s="14" t="s">
        <v>123</v>
      </c>
      <c r="D48" s="31" t="s">
        <v>84</v>
      </c>
      <c r="E48" s="6" t="s">
        <v>68</v>
      </c>
      <c r="F48" s="6" t="s">
        <v>68</v>
      </c>
      <c r="G48" s="6">
        <v>1.5</v>
      </c>
      <c r="H48" s="6">
        <v>0</v>
      </c>
      <c r="I48" s="6" t="s">
        <v>35</v>
      </c>
      <c r="J48" s="6">
        <v>2</v>
      </c>
      <c r="K48" s="35" t="s">
        <v>238</v>
      </c>
      <c r="L48" s="35">
        <v>0.314</v>
      </c>
      <c r="M48" s="35">
        <v>67</v>
      </c>
      <c r="N48" s="33">
        <v>0</v>
      </c>
      <c r="O48" s="28">
        <v>0</v>
      </c>
      <c r="P48" s="9">
        <v>0</v>
      </c>
      <c r="Q48" s="9">
        <v>0</v>
      </c>
      <c r="R48" s="29">
        <v>0</v>
      </c>
      <c r="S48" s="15">
        <v>0</v>
      </c>
      <c r="T48" s="7">
        <v>0</v>
      </c>
      <c r="U48" s="7">
        <v>0</v>
      </c>
      <c r="V48" s="16">
        <v>0</v>
      </c>
      <c r="W48" s="17">
        <v>0</v>
      </c>
      <c r="X48" s="18">
        <v>0</v>
      </c>
      <c r="Y48" s="19">
        <v>0</v>
      </c>
      <c r="Z48" s="18">
        <v>0</v>
      </c>
    </row>
    <row r="49" spans="1:26" x14ac:dyDescent="0.25">
      <c r="A49" s="8">
        <v>45</v>
      </c>
      <c r="B49" s="5" t="s">
        <v>124</v>
      </c>
      <c r="C49" s="14" t="s">
        <v>125</v>
      </c>
      <c r="D49" s="31" t="s">
        <v>84</v>
      </c>
      <c r="E49" s="6" t="s">
        <v>68</v>
      </c>
      <c r="F49" s="6" t="s">
        <v>68</v>
      </c>
      <c r="G49" s="6">
        <v>3.17</v>
      </c>
      <c r="H49" s="6">
        <v>0</v>
      </c>
      <c r="I49" s="6" t="s">
        <v>35</v>
      </c>
      <c r="J49" s="6">
        <v>3</v>
      </c>
      <c r="K49" s="35" t="s">
        <v>239</v>
      </c>
      <c r="L49" s="35">
        <v>0.42499999999999999</v>
      </c>
      <c r="M49" s="35">
        <v>170</v>
      </c>
      <c r="N49" s="33">
        <v>12</v>
      </c>
      <c r="O49" s="28">
        <v>6</v>
      </c>
      <c r="P49" s="9">
        <v>385</v>
      </c>
      <c r="Q49" s="9">
        <v>489</v>
      </c>
      <c r="R49" s="29">
        <v>0</v>
      </c>
      <c r="S49" s="15">
        <v>7</v>
      </c>
      <c r="T49" s="7">
        <v>858</v>
      </c>
      <c r="U49" s="7">
        <v>0</v>
      </c>
      <c r="V49" s="16">
        <v>0</v>
      </c>
      <c r="W49" s="17">
        <v>13</v>
      </c>
      <c r="X49" s="18">
        <v>1243</v>
      </c>
      <c r="Y49" s="19">
        <v>489</v>
      </c>
      <c r="Z49" s="18">
        <v>0</v>
      </c>
    </row>
    <row r="50" spans="1:26" x14ac:dyDescent="0.25">
      <c r="A50" s="8">
        <v>46</v>
      </c>
      <c r="B50" s="5" t="s">
        <v>126</v>
      </c>
      <c r="C50" s="14" t="s">
        <v>127</v>
      </c>
      <c r="D50" s="31" t="s">
        <v>48</v>
      </c>
      <c r="E50" s="6" t="s">
        <v>39</v>
      </c>
      <c r="F50" s="6" t="s">
        <v>39</v>
      </c>
      <c r="G50" s="6">
        <v>5</v>
      </c>
      <c r="H50" s="6">
        <v>0</v>
      </c>
      <c r="I50" s="6" t="s">
        <v>35</v>
      </c>
      <c r="J50" s="6">
        <v>3</v>
      </c>
      <c r="K50" s="35" t="s">
        <v>229</v>
      </c>
      <c r="L50" s="35">
        <v>1.1000000000000001</v>
      </c>
      <c r="M50" s="35">
        <v>207</v>
      </c>
      <c r="N50" s="33">
        <v>0</v>
      </c>
      <c r="O50" s="28">
        <v>0</v>
      </c>
      <c r="P50" s="9">
        <v>0</v>
      </c>
      <c r="Q50" s="9">
        <v>0</v>
      </c>
      <c r="R50" s="29">
        <v>0</v>
      </c>
      <c r="S50" s="15">
        <v>0</v>
      </c>
      <c r="T50" s="7">
        <v>0</v>
      </c>
      <c r="U50" s="7">
        <v>0</v>
      </c>
      <c r="V50" s="16">
        <v>0</v>
      </c>
      <c r="W50" s="17">
        <v>0</v>
      </c>
      <c r="X50" s="18">
        <v>0</v>
      </c>
      <c r="Y50" s="19">
        <v>0</v>
      </c>
      <c r="Z50" s="18">
        <v>0</v>
      </c>
    </row>
    <row r="51" spans="1:26" x14ac:dyDescent="0.25">
      <c r="A51" s="8">
        <v>47</v>
      </c>
      <c r="B51" s="5" t="s">
        <v>128</v>
      </c>
      <c r="C51" s="14" t="s">
        <v>94</v>
      </c>
      <c r="D51" s="31" t="s">
        <v>67</v>
      </c>
      <c r="E51" s="6" t="s">
        <v>68</v>
      </c>
      <c r="F51" s="6" t="s">
        <v>68</v>
      </c>
      <c r="G51" s="6">
        <v>2.5</v>
      </c>
      <c r="H51" s="6">
        <v>0</v>
      </c>
      <c r="I51" s="6" t="s">
        <v>35</v>
      </c>
      <c r="J51" s="6">
        <v>3</v>
      </c>
      <c r="K51" s="35" t="s">
        <v>228</v>
      </c>
      <c r="L51" s="35">
        <v>0.03</v>
      </c>
      <c r="M51" s="35">
        <v>394</v>
      </c>
      <c r="N51" s="33">
        <v>4</v>
      </c>
      <c r="O51" s="28">
        <v>2</v>
      </c>
      <c r="P51" s="9">
        <v>433</v>
      </c>
      <c r="Q51" s="9">
        <v>200</v>
      </c>
      <c r="R51" s="29">
        <v>0</v>
      </c>
      <c r="S51" s="15">
        <v>4</v>
      </c>
      <c r="T51" s="7">
        <v>633</v>
      </c>
      <c r="U51" s="7">
        <v>0</v>
      </c>
      <c r="V51" s="16">
        <v>0</v>
      </c>
      <c r="W51" s="17">
        <v>6</v>
      </c>
      <c r="X51" s="18">
        <v>1066</v>
      </c>
      <c r="Y51" s="19">
        <v>200</v>
      </c>
      <c r="Z51" s="18">
        <v>0</v>
      </c>
    </row>
    <row r="52" spans="1:26" x14ac:dyDescent="0.25">
      <c r="A52" s="8">
        <v>48</v>
      </c>
      <c r="B52" s="5" t="s">
        <v>129</v>
      </c>
      <c r="C52" s="14">
        <v>2501</v>
      </c>
      <c r="D52" s="31" t="s">
        <v>48</v>
      </c>
      <c r="E52" s="6" t="s">
        <v>49</v>
      </c>
      <c r="F52" s="6" t="s">
        <v>49</v>
      </c>
      <c r="G52" s="6">
        <v>5.5</v>
      </c>
      <c r="H52" s="6">
        <v>0</v>
      </c>
      <c r="I52" s="6" t="s">
        <v>35</v>
      </c>
      <c r="J52" s="6">
        <v>2.5</v>
      </c>
      <c r="K52" s="35" t="s">
        <v>228</v>
      </c>
      <c r="L52" s="35">
        <v>1.1299999999999999</v>
      </c>
      <c r="M52" s="35">
        <v>148</v>
      </c>
      <c r="N52" s="33">
        <v>12</v>
      </c>
      <c r="O52" s="28">
        <v>16</v>
      </c>
      <c r="P52" s="9">
        <v>1915</v>
      </c>
      <c r="Q52" s="9">
        <v>0</v>
      </c>
      <c r="R52" s="29">
        <v>0</v>
      </c>
      <c r="S52" s="15">
        <v>16</v>
      </c>
      <c r="T52" s="7">
        <v>1953</v>
      </c>
      <c r="U52" s="7">
        <v>0</v>
      </c>
      <c r="V52" s="16">
        <v>0</v>
      </c>
      <c r="W52" s="17">
        <v>32</v>
      </c>
      <c r="X52" s="18">
        <v>3868</v>
      </c>
      <c r="Y52" s="19">
        <v>0</v>
      </c>
      <c r="Z52" s="18">
        <v>0</v>
      </c>
    </row>
    <row r="53" spans="1:26" x14ac:dyDescent="0.25">
      <c r="A53" s="8">
        <v>49</v>
      </c>
      <c r="B53" s="5" t="s">
        <v>130</v>
      </c>
      <c r="C53" s="14" t="s">
        <v>131</v>
      </c>
      <c r="D53" s="31" t="s">
        <v>48</v>
      </c>
      <c r="E53" s="6" t="s">
        <v>49</v>
      </c>
      <c r="F53" s="6" t="s">
        <v>49</v>
      </c>
      <c r="G53" s="6">
        <v>6.5</v>
      </c>
      <c r="H53" s="6">
        <v>0</v>
      </c>
      <c r="I53" s="6" t="s">
        <v>35</v>
      </c>
      <c r="J53" s="6">
        <v>2.5</v>
      </c>
      <c r="K53" s="35" t="s">
        <v>228</v>
      </c>
      <c r="L53" s="35">
        <v>0.42</v>
      </c>
      <c r="M53" s="35">
        <v>383</v>
      </c>
      <c r="N53" s="33">
        <v>7</v>
      </c>
      <c r="O53" s="28">
        <v>4</v>
      </c>
      <c r="P53" s="9">
        <v>1683</v>
      </c>
      <c r="Q53" s="9">
        <v>0</v>
      </c>
      <c r="R53" s="29">
        <v>0</v>
      </c>
      <c r="S53" s="15">
        <v>6</v>
      </c>
      <c r="T53" s="7">
        <v>0</v>
      </c>
      <c r="U53" s="7">
        <v>2954</v>
      </c>
      <c r="V53" s="16">
        <v>0</v>
      </c>
      <c r="W53" s="17">
        <v>10</v>
      </c>
      <c r="X53" s="18">
        <v>1683</v>
      </c>
      <c r="Y53" s="19">
        <v>2954</v>
      </c>
      <c r="Z53" s="18">
        <v>0</v>
      </c>
    </row>
    <row r="54" spans="1:26" x14ac:dyDescent="0.25">
      <c r="A54" s="8">
        <v>50</v>
      </c>
      <c r="B54" s="5" t="s">
        <v>132</v>
      </c>
      <c r="C54" s="14" t="s">
        <v>133</v>
      </c>
      <c r="D54" s="31" t="s">
        <v>55</v>
      </c>
      <c r="E54" s="6" t="s">
        <v>34</v>
      </c>
      <c r="F54" s="6" t="s">
        <v>34</v>
      </c>
      <c r="G54" s="6">
        <v>8.3000000000000007</v>
      </c>
      <c r="H54" s="6">
        <v>0</v>
      </c>
      <c r="I54" s="6" t="s">
        <v>35</v>
      </c>
      <c r="J54" s="6">
        <v>3</v>
      </c>
      <c r="K54" s="35" t="s">
        <v>69</v>
      </c>
      <c r="L54" s="35">
        <v>0.92</v>
      </c>
      <c r="M54" s="35">
        <v>329</v>
      </c>
      <c r="N54" s="33">
        <v>12</v>
      </c>
      <c r="O54" s="28">
        <v>4</v>
      </c>
      <c r="P54" s="9">
        <v>1534</v>
      </c>
      <c r="Q54" s="9">
        <v>0</v>
      </c>
      <c r="R54" s="29">
        <v>0</v>
      </c>
      <c r="S54" s="15">
        <v>1</v>
      </c>
      <c r="T54" s="7">
        <v>804</v>
      </c>
      <c r="U54" s="7">
        <v>0</v>
      </c>
      <c r="V54" s="16">
        <v>0</v>
      </c>
      <c r="W54" s="17">
        <v>5</v>
      </c>
      <c r="X54" s="18">
        <v>2338</v>
      </c>
      <c r="Y54" s="19">
        <v>0</v>
      </c>
      <c r="Z54" s="18">
        <v>0</v>
      </c>
    </row>
    <row r="55" spans="1:26" x14ac:dyDescent="0.25">
      <c r="A55" s="8">
        <v>51</v>
      </c>
      <c r="B55" s="5" t="s">
        <v>134</v>
      </c>
      <c r="C55" s="14" t="s">
        <v>135</v>
      </c>
      <c r="D55" s="31" t="s">
        <v>48</v>
      </c>
      <c r="E55" s="6" t="s">
        <v>39</v>
      </c>
      <c r="F55" s="6" t="s">
        <v>39</v>
      </c>
      <c r="G55" s="6">
        <v>6</v>
      </c>
      <c r="H55" s="6">
        <v>0</v>
      </c>
      <c r="I55" s="6" t="s">
        <v>64</v>
      </c>
      <c r="J55" s="6">
        <v>3</v>
      </c>
      <c r="K55" s="35" t="s">
        <v>229</v>
      </c>
      <c r="L55" s="35">
        <v>2.915</v>
      </c>
      <c r="M55" s="35">
        <v>98</v>
      </c>
      <c r="N55" s="33">
        <v>12</v>
      </c>
      <c r="O55" s="28">
        <v>7</v>
      </c>
      <c r="P55" s="9">
        <v>770</v>
      </c>
      <c r="Q55" s="9">
        <v>0</v>
      </c>
      <c r="R55" s="29">
        <v>0</v>
      </c>
      <c r="S55" s="15">
        <v>0</v>
      </c>
      <c r="T55" s="7">
        <v>0</v>
      </c>
      <c r="U55" s="7">
        <v>0</v>
      </c>
      <c r="V55" s="16">
        <v>0</v>
      </c>
      <c r="W55" s="17">
        <v>7</v>
      </c>
      <c r="X55" s="18">
        <v>770</v>
      </c>
      <c r="Y55" s="19">
        <v>0</v>
      </c>
      <c r="Z55" s="18">
        <v>0</v>
      </c>
    </row>
    <row r="56" spans="1:26" x14ac:dyDescent="0.25">
      <c r="A56" s="8">
        <v>52</v>
      </c>
      <c r="B56" s="5" t="s">
        <v>136</v>
      </c>
      <c r="C56" s="14" t="s">
        <v>137</v>
      </c>
      <c r="D56" s="31" t="s">
        <v>48</v>
      </c>
      <c r="E56" s="6" t="s">
        <v>138</v>
      </c>
      <c r="F56" s="6" t="s">
        <v>138</v>
      </c>
      <c r="G56" s="6">
        <v>6</v>
      </c>
      <c r="H56" s="6">
        <v>0</v>
      </c>
      <c r="I56" s="6" t="s">
        <v>35</v>
      </c>
      <c r="J56" s="6">
        <v>3</v>
      </c>
      <c r="K56" s="35" t="s">
        <v>240</v>
      </c>
      <c r="L56" s="35">
        <v>0.79</v>
      </c>
      <c r="M56" s="35">
        <v>430</v>
      </c>
      <c r="N56" s="33">
        <v>7</v>
      </c>
      <c r="O56" s="28">
        <v>7</v>
      </c>
      <c r="P56" s="9">
        <v>2584</v>
      </c>
      <c r="Q56" s="9">
        <v>449</v>
      </c>
      <c r="R56" s="29">
        <v>0</v>
      </c>
      <c r="S56" s="15">
        <v>5</v>
      </c>
      <c r="T56" s="7">
        <v>2258</v>
      </c>
      <c r="U56" s="7">
        <v>0</v>
      </c>
      <c r="V56" s="16">
        <v>0</v>
      </c>
      <c r="W56" s="17">
        <v>12</v>
      </c>
      <c r="X56" s="18">
        <v>4842</v>
      </c>
      <c r="Y56" s="19">
        <v>449</v>
      </c>
      <c r="Z56" s="18">
        <v>0</v>
      </c>
    </row>
    <row r="57" spans="1:26" x14ac:dyDescent="0.25">
      <c r="A57" s="8">
        <v>53</v>
      </c>
      <c r="B57" s="5" t="s">
        <v>139</v>
      </c>
      <c r="C57" s="14" t="s">
        <v>140</v>
      </c>
      <c r="D57" s="31" t="s">
        <v>84</v>
      </c>
      <c r="E57" s="6" t="s">
        <v>68</v>
      </c>
      <c r="F57" s="6" t="s">
        <v>68</v>
      </c>
      <c r="G57" s="6">
        <v>2.98</v>
      </c>
      <c r="H57" s="6">
        <v>0</v>
      </c>
      <c r="I57" s="6" t="s">
        <v>35</v>
      </c>
      <c r="J57" s="6">
        <v>3</v>
      </c>
      <c r="K57" s="35" t="s">
        <v>241</v>
      </c>
      <c r="L57" s="35">
        <v>8.51</v>
      </c>
      <c r="M57" s="35">
        <v>19</v>
      </c>
      <c r="N57" s="33">
        <v>12</v>
      </c>
      <c r="O57" s="28">
        <v>46</v>
      </c>
      <c r="P57" s="9">
        <v>787</v>
      </c>
      <c r="Q57" s="9">
        <v>0</v>
      </c>
      <c r="R57" s="29">
        <v>0</v>
      </c>
      <c r="S57" s="15">
        <v>39</v>
      </c>
      <c r="T57" s="7">
        <v>658</v>
      </c>
      <c r="U57" s="7">
        <v>0</v>
      </c>
      <c r="V57" s="16">
        <v>0</v>
      </c>
      <c r="W57" s="17">
        <v>85</v>
      </c>
      <c r="X57" s="18">
        <v>1445</v>
      </c>
      <c r="Y57" s="19">
        <v>0</v>
      </c>
      <c r="Z57" s="18">
        <v>0</v>
      </c>
    </row>
    <row r="58" spans="1:26" x14ac:dyDescent="0.25">
      <c r="A58" s="8">
        <v>54</v>
      </c>
      <c r="B58" s="5" t="s">
        <v>141</v>
      </c>
      <c r="C58" s="14" t="s">
        <v>114</v>
      </c>
      <c r="D58" s="31" t="s">
        <v>101</v>
      </c>
      <c r="E58" s="6" t="s">
        <v>39</v>
      </c>
      <c r="F58" s="6" t="s">
        <v>39</v>
      </c>
      <c r="G58" s="6">
        <v>4</v>
      </c>
      <c r="H58" s="6">
        <v>0</v>
      </c>
      <c r="I58" s="6" t="s">
        <v>35</v>
      </c>
      <c r="J58" s="6">
        <v>3</v>
      </c>
      <c r="K58" s="35" t="s">
        <v>228</v>
      </c>
      <c r="L58" s="35">
        <v>0.48</v>
      </c>
      <c r="M58" s="35">
        <v>304</v>
      </c>
      <c r="N58" s="33">
        <v>3</v>
      </c>
      <c r="O58" s="28">
        <v>9</v>
      </c>
      <c r="P58" s="9">
        <v>2641</v>
      </c>
      <c r="Q58" s="9">
        <v>0</v>
      </c>
      <c r="R58" s="29">
        <v>0</v>
      </c>
      <c r="S58" s="15">
        <v>8</v>
      </c>
      <c r="T58" s="7">
        <v>2437</v>
      </c>
      <c r="U58" s="7">
        <v>0</v>
      </c>
      <c r="V58" s="16">
        <v>0</v>
      </c>
      <c r="W58" s="17">
        <v>17</v>
      </c>
      <c r="X58" s="18">
        <v>5078</v>
      </c>
      <c r="Y58" s="19">
        <v>0</v>
      </c>
      <c r="Z58" s="18">
        <v>0</v>
      </c>
    </row>
    <row r="59" spans="1:26" x14ac:dyDescent="0.25">
      <c r="A59" s="8">
        <v>55</v>
      </c>
      <c r="B59" s="5" t="s">
        <v>142</v>
      </c>
      <c r="C59" s="14" t="s">
        <v>143</v>
      </c>
      <c r="D59" s="31" t="s">
        <v>48</v>
      </c>
      <c r="E59" s="6" t="s">
        <v>39</v>
      </c>
      <c r="F59" s="6" t="s">
        <v>39</v>
      </c>
      <c r="G59" s="6">
        <v>5</v>
      </c>
      <c r="H59" s="6">
        <v>0</v>
      </c>
      <c r="I59" s="6" t="s">
        <v>35</v>
      </c>
      <c r="J59" s="6">
        <v>3</v>
      </c>
      <c r="K59" s="35" t="s">
        <v>229</v>
      </c>
      <c r="L59" s="35">
        <v>0.46</v>
      </c>
      <c r="M59" s="35">
        <v>409</v>
      </c>
      <c r="N59" s="33">
        <v>7</v>
      </c>
      <c r="O59" s="28">
        <v>7</v>
      </c>
      <c r="P59" s="9">
        <v>2884</v>
      </c>
      <c r="Q59" s="9">
        <v>0</v>
      </c>
      <c r="R59" s="29">
        <v>0</v>
      </c>
      <c r="S59" s="15">
        <v>7</v>
      </c>
      <c r="T59" s="7">
        <v>3497</v>
      </c>
      <c r="U59" s="7">
        <v>0</v>
      </c>
      <c r="V59" s="16">
        <v>0</v>
      </c>
      <c r="W59" s="17">
        <v>14</v>
      </c>
      <c r="X59" s="18">
        <v>6381</v>
      </c>
      <c r="Y59" s="19">
        <v>0</v>
      </c>
      <c r="Z59" s="18">
        <v>0</v>
      </c>
    </row>
    <row r="60" spans="1:26" x14ac:dyDescent="0.25">
      <c r="A60" s="8">
        <v>56</v>
      </c>
      <c r="B60" s="5" t="s">
        <v>144</v>
      </c>
      <c r="C60" s="14" t="s">
        <v>133</v>
      </c>
      <c r="D60" s="31" t="s">
        <v>55</v>
      </c>
      <c r="E60" s="6" t="s">
        <v>34</v>
      </c>
      <c r="F60" s="6" t="s">
        <v>34</v>
      </c>
      <c r="G60" s="6">
        <v>8.3000000000000007</v>
      </c>
      <c r="H60" s="6">
        <v>0</v>
      </c>
      <c r="I60" s="6" t="s">
        <v>35</v>
      </c>
      <c r="J60" s="6">
        <v>3</v>
      </c>
      <c r="K60" s="35" t="s">
        <v>69</v>
      </c>
      <c r="L60" s="35">
        <v>0.92</v>
      </c>
      <c r="M60" s="35">
        <v>329</v>
      </c>
      <c r="N60" s="33">
        <v>12</v>
      </c>
      <c r="O60" s="28">
        <v>6</v>
      </c>
      <c r="P60" s="9">
        <v>828</v>
      </c>
      <c r="Q60" s="9">
        <v>319</v>
      </c>
      <c r="R60" s="29">
        <v>0</v>
      </c>
      <c r="S60" s="15">
        <v>2</v>
      </c>
      <c r="T60" s="7">
        <v>13</v>
      </c>
      <c r="U60" s="7">
        <v>0</v>
      </c>
      <c r="V60" s="16">
        <v>0</v>
      </c>
      <c r="W60" s="17">
        <v>8</v>
      </c>
      <c r="X60" s="18">
        <v>841</v>
      </c>
      <c r="Y60" s="19">
        <v>319</v>
      </c>
      <c r="Z60" s="18">
        <v>0</v>
      </c>
    </row>
    <row r="61" spans="1:26" x14ac:dyDescent="0.25">
      <c r="A61" s="8">
        <v>57</v>
      </c>
      <c r="B61" s="5" t="s">
        <v>145</v>
      </c>
      <c r="C61" s="14" t="s">
        <v>94</v>
      </c>
      <c r="D61" s="31" t="s">
        <v>84</v>
      </c>
      <c r="E61" s="6" t="s">
        <v>68</v>
      </c>
      <c r="F61" s="6" t="s">
        <v>68</v>
      </c>
      <c r="G61" s="6">
        <v>2.98</v>
      </c>
      <c r="H61" s="6">
        <v>0</v>
      </c>
      <c r="I61" s="6" t="s">
        <v>35</v>
      </c>
      <c r="J61" s="6">
        <v>3</v>
      </c>
      <c r="K61" s="35" t="s">
        <v>241</v>
      </c>
      <c r="L61" s="35">
        <v>0.03</v>
      </c>
      <c r="M61" s="35">
        <v>394</v>
      </c>
      <c r="N61" s="33">
        <v>4</v>
      </c>
      <c r="O61" s="28">
        <v>1</v>
      </c>
      <c r="P61" s="9">
        <v>233</v>
      </c>
      <c r="Q61" s="9">
        <v>0</v>
      </c>
      <c r="R61" s="29">
        <v>0</v>
      </c>
      <c r="S61" s="15">
        <v>1</v>
      </c>
      <c r="T61" s="7">
        <v>400</v>
      </c>
      <c r="U61" s="7">
        <v>0</v>
      </c>
      <c r="V61" s="16">
        <v>0</v>
      </c>
      <c r="W61" s="17">
        <v>2</v>
      </c>
      <c r="X61" s="18">
        <v>633</v>
      </c>
      <c r="Y61" s="19">
        <v>0</v>
      </c>
      <c r="Z61" s="18">
        <v>0</v>
      </c>
    </row>
    <row r="62" spans="1:26" x14ac:dyDescent="0.25">
      <c r="A62" s="8">
        <v>58</v>
      </c>
      <c r="B62" s="5" t="s">
        <v>146</v>
      </c>
      <c r="C62" s="14" t="s">
        <v>147</v>
      </c>
      <c r="D62" s="31" t="s">
        <v>84</v>
      </c>
      <c r="E62" s="6" t="s">
        <v>68</v>
      </c>
      <c r="F62" s="6" t="s">
        <v>68</v>
      </c>
      <c r="G62" s="6">
        <v>3.17</v>
      </c>
      <c r="H62" s="6">
        <v>0</v>
      </c>
      <c r="I62" s="6" t="s">
        <v>35</v>
      </c>
      <c r="J62" s="6">
        <v>3</v>
      </c>
      <c r="K62" s="35" t="s">
        <v>239</v>
      </c>
      <c r="L62" s="35">
        <v>0.45</v>
      </c>
      <c r="M62" s="35">
        <v>168</v>
      </c>
      <c r="N62" s="33">
        <v>12</v>
      </c>
      <c r="O62" s="28">
        <v>8</v>
      </c>
      <c r="P62" s="9">
        <v>684</v>
      </c>
      <c r="Q62" s="9">
        <v>182</v>
      </c>
      <c r="R62" s="29">
        <v>0</v>
      </c>
      <c r="S62" s="15">
        <v>0</v>
      </c>
      <c r="T62" s="7">
        <v>0</v>
      </c>
      <c r="U62" s="7">
        <v>0</v>
      </c>
      <c r="V62" s="16">
        <v>0</v>
      </c>
      <c r="W62" s="17">
        <v>8</v>
      </c>
      <c r="X62" s="18">
        <v>684</v>
      </c>
      <c r="Y62" s="19">
        <v>182</v>
      </c>
      <c r="Z62" s="18">
        <v>0</v>
      </c>
    </row>
    <row r="63" spans="1:26" x14ac:dyDescent="0.25">
      <c r="A63" s="8">
        <v>59</v>
      </c>
      <c r="B63" s="5" t="s">
        <v>148</v>
      </c>
      <c r="C63" s="14" t="s">
        <v>149</v>
      </c>
      <c r="D63" s="31" t="s">
        <v>67</v>
      </c>
      <c r="E63" s="6" t="s">
        <v>68</v>
      </c>
      <c r="F63" s="6" t="s">
        <v>68</v>
      </c>
      <c r="G63" s="6">
        <v>2.5</v>
      </c>
      <c r="H63" s="6">
        <v>0</v>
      </c>
      <c r="I63" s="6" t="s">
        <v>35</v>
      </c>
      <c r="J63" s="6">
        <v>3</v>
      </c>
      <c r="K63" s="35" t="s">
        <v>228</v>
      </c>
      <c r="L63" s="35">
        <v>1.47</v>
      </c>
      <c r="M63" s="35">
        <v>69</v>
      </c>
      <c r="N63" s="33">
        <v>12</v>
      </c>
      <c r="O63" s="28">
        <v>11</v>
      </c>
      <c r="P63" s="9">
        <v>354</v>
      </c>
      <c r="Q63" s="9">
        <v>0</v>
      </c>
      <c r="R63" s="29">
        <v>1159</v>
      </c>
      <c r="S63" s="15">
        <v>18</v>
      </c>
      <c r="T63" s="7">
        <v>1219</v>
      </c>
      <c r="U63" s="7">
        <v>0</v>
      </c>
      <c r="V63" s="16">
        <v>0</v>
      </c>
      <c r="W63" s="17">
        <v>29</v>
      </c>
      <c r="X63" s="18">
        <v>1573</v>
      </c>
      <c r="Y63" s="19">
        <v>0</v>
      </c>
      <c r="Z63" s="18">
        <v>1159</v>
      </c>
    </row>
    <row r="64" spans="1:26" x14ac:dyDescent="0.25">
      <c r="A64" s="8">
        <v>60</v>
      </c>
      <c r="B64" s="5" t="s">
        <v>150</v>
      </c>
      <c r="C64" s="14" t="s">
        <v>135</v>
      </c>
      <c r="D64" s="31" t="s">
        <v>48</v>
      </c>
      <c r="E64" s="6" t="s">
        <v>39</v>
      </c>
      <c r="F64" s="6" t="s">
        <v>39</v>
      </c>
      <c r="G64" s="6">
        <v>6</v>
      </c>
      <c r="H64" s="6">
        <v>0</v>
      </c>
      <c r="I64" s="6" t="s">
        <v>64</v>
      </c>
      <c r="J64" s="6">
        <v>3</v>
      </c>
      <c r="K64" s="35" t="s">
        <v>229</v>
      </c>
      <c r="L64" s="35">
        <v>2.915</v>
      </c>
      <c r="M64" s="35">
        <v>98</v>
      </c>
      <c r="N64" s="33">
        <v>12</v>
      </c>
      <c r="O64" s="28">
        <v>5</v>
      </c>
      <c r="P64" s="9">
        <v>462</v>
      </c>
      <c r="Q64" s="9">
        <v>0</v>
      </c>
      <c r="R64" s="29">
        <v>377</v>
      </c>
      <c r="S64" s="15">
        <v>0</v>
      </c>
      <c r="T64" s="7">
        <v>0</v>
      </c>
      <c r="U64" s="7">
        <v>0</v>
      </c>
      <c r="V64" s="16">
        <v>0</v>
      </c>
      <c r="W64" s="17">
        <v>5</v>
      </c>
      <c r="X64" s="18">
        <v>462</v>
      </c>
      <c r="Y64" s="19">
        <v>0</v>
      </c>
      <c r="Z64" s="18">
        <v>377</v>
      </c>
    </row>
    <row r="65" spans="1:26" x14ac:dyDescent="0.25">
      <c r="A65" s="8">
        <v>61</v>
      </c>
      <c r="B65" s="5" t="s">
        <v>151</v>
      </c>
      <c r="C65" s="14" t="s">
        <v>152</v>
      </c>
      <c r="D65" s="31" t="s">
        <v>153</v>
      </c>
      <c r="E65" s="6" t="s">
        <v>154</v>
      </c>
      <c r="F65" s="6" t="s">
        <v>154</v>
      </c>
      <c r="G65" s="6">
        <v>9</v>
      </c>
      <c r="H65" s="6">
        <v>0</v>
      </c>
      <c r="I65" s="6" t="s">
        <v>35</v>
      </c>
      <c r="J65" s="6">
        <v>3</v>
      </c>
      <c r="K65" s="35" t="s">
        <v>239</v>
      </c>
      <c r="L65" s="35">
        <v>0.56999999999999995</v>
      </c>
      <c r="M65" s="35">
        <v>430</v>
      </c>
      <c r="N65" s="33">
        <v>7</v>
      </c>
      <c r="O65" s="28">
        <v>6</v>
      </c>
      <c r="P65" s="9">
        <v>2205</v>
      </c>
      <c r="Q65" s="9">
        <v>0</v>
      </c>
      <c r="R65" s="29">
        <v>0</v>
      </c>
      <c r="S65" s="15">
        <v>5</v>
      </c>
      <c r="T65" s="7">
        <v>2166</v>
      </c>
      <c r="U65" s="7">
        <v>0</v>
      </c>
      <c r="V65" s="16">
        <v>0</v>
      </c>
      <c r="W65" s="17">
        <v>11</v>
      </c>
      <c r="X65" s="18">
        <v>4371</v>
      </c>
      <c r="Y65" s="19">
        <v>0</v>
      </c>
      <c r="Z65" s="18">
        <v>0</v>
      </c>
    </row>
    <row r="66" spans="1:26" x14ac:dyDescent="0.25">
      <c r="A66" s="8">
        <v>62</v>
      </c>
      <c r="B66" s="5" t="s">
        <v>155</v>
      </c>
      <c r="C66" s="14" t="s">
        <v>96</v>
      </c>
      <c r="D66" s="31" t="s">
        <v>55</v>
      </c>
      <c r="E66" s="6" t="s">
        <v>34</v>
      </c>
      <c r="F66" s="6" t="s">
        <v>34</v>
      </c>
      <c r="G66" s="6">
        <v>6</v>
      </c>
      <c r="H66" s="6">
        <v>0</v>
      </c>
      <c r="I66" s="6" t="s">
        <v>35</v>
      </c>
      <c r="J66" s="6">
        <v>3</v>
      </c>
      <c r="K66" s="35" t="s">
        <v>227</v>
      </c>
      <c r="L66" s="35">
        <v>0.154</v>
      </c>
      <c r="M66" s="35">
        <v>243</v>
      </c>
      <c r="N66" s="33">
        <v>5</v>
      </c>
      <c r="O66" s="28">
        <v>7</v>
      </c>
      <c r="P66" s="9">
        <v>1246</v>
      </c>
      <c r="Q66" s="9">
        <v>448</v>
      </c>
      <c r="R66" s="29">
        <v>0</v>
      </c>
      <c r="S66" s="15">
        <v>0</v>
      </c>
      <c r="T66" s="7">
        <v>0</v>
      </c>
      <c r="U66" s="7">
        <v>0</v>
      </c>
      <c r="V66" s="16">
        <v>0</v>
      </c>
      <c r="W66" s="17">
        <v>7</v>
      </c>
      <c r="X66" s="18">
        <v>1246</v>
      </c>
      <c r="Y66" s="19">
        <v>448</v>
      </c>
      <c r="Z66" s="18">
        <v>0</v>
      </c>
    </row>
    <row r="67" spans="1:26" x14ac:dyDescent="0.25">
      <c r="A67" s="8">
        <v>63</v>
      </c>
      <c r="B67" s="5" t="s">
        <v>156</v>
      </c>
      <c r="C67" s="14" t="s">
        <v>37</v>
      </c>
      <c r="D67" s="31" t="s">
        <v>38</v>
      </c>
      <c r="E67" s="6" t="s">
        <v>39</v>
      </c>
      <c r="F67" s="6" t="s">
        <v>39</v>
      </c>
      <c r="G67" s="6">
        <v>5.5</v>
      </c>
      <c r="H67" s="6">
        <v>0</v>
      </c>
      <c r="I67" s="6" t="s">
        <v>35</v>
      </c>
      <c r="J67" s="6">
        <v>3</v>
      </c>
      <c r="K67" s="35" t="s">
        <v>228</v>
      </c>
      <c r="L67" s="35">
        <v>1.0760000000000001</v>
      </c>
      <c r="M67" s="35">
        <v>167</v>
      </c>
      <c r="N67" s="33">
        <v>12</v>
      </c>
      <c r="O67" s="28">
        <v>10</v>
      </c>
      <c r="P67" s="9">
        <v>1513</v>
      </c>
      <c r="Q67" s="9">
        <v>0</v>
      </c>
      <c r="R67" s="29">
        <v>0</v>
      </c>
      <c r="S67" s="15">
        <v>9</v>
      </c>
      <c r="T67" s="7">
        <v>1385</v>
      </c>
      <c r="U67" s="7">
        <v>0</v>
      </c>
      <c r="V67" s="16">
        <v>0</v>
      </c>
      <c r="W67" s="17">
        <v>19</v>
      </c>
      <c r="X67" s="18">
        <v>2898</v>
      </c>
      <c r="Y67" s="19">
        <v>0</v>
      </c>
      <c r="Z67" s="18">
        <v>0</v>
      </c>
    </row>
    <row r="68" spans="1:26" x14ac:dyDescent="0.25">
      <c r="A68" s="8">
        <v>64</v>
      </c>
      <c r="B68" s="5" t="s">
        <v>157</v>
      </c>
      <c r="C68" s="14" t="s">
        <v>158</v>
      </c>
      <c r="D68" s="31" t="s">
        <v>48</v>
      </c>
      <c r="E68" s="6" t="s">
        <v>49</v>
      </c>
      <c r="F68" s="6" t="s">
        <v>49</v>
      </c>
      <c r="G68" s="6">
        <v>5</v>
      </c>
      <c r="H68" s="6">
        <v>0</v>
      </c>
      <c r="I68" s="6" t="s">
        <v>35</v>
      </c>
      <c r="J68" s="6">
        <v>2.5</v>
      </c>
      <c r="K68" s="35" t="s">
        <v>229</v>
      </c>
      <c r="L68" s="35">
        <v>1.8859999999999999</v>
      </c>
      <c r="M68" s="35">
        <v>94</v>
      </c>
      <c r="N68" s="33">
        <v>7</v>
      </c>
      <c r="O68" s="28">
        <v>10</v>
      </c>
      <c r="P68" s="9">
        <v>750</v>
      </c>
      <c r="Q68" s="9">
        <v>0</v>
      </c>
      <c r="R68" s="29">
        <v>0</v>
      </c>
      <c r="S68" s="15">
        <v>16</v>
      </c>
      <c r="T68" s="7">
        <v>1165</v>
      </c>
      <c r="U68" s="7">
        <v>24</v>
      </c>
      <c r="V68" s="16">
        <v>0</v>
      </c>
      <c r="W68" s="17">
        <v>26</v>
      </c>
      <c r="X68" s="18">
        <v>1915</v>
      </c>
      <c r="Y68" s="19">
        <v>24</v>
      </c>
      <c r="Z68" s="18">
        <v>0</v>
      </c>
    </row>
    <row r="69" spans="1:26" x14ac:dyDescent="0.25">
      <c r="A69" s="8">
        <v>65</v>
      </c>
      <c r="B69" s="5" t="s">
        <v>159</v>
      </c>
      <c r="C69" s="14" t="s">
        <v>160</v>
      </c>
      <c r="D69" s="31" t="s">
        <v>153</v>
      </c>
      <c r="E69" s="6" t="s">
        <v>46</v>
      </c>
      <c r="F69" s="6" t="s">
        <v>46</v>
      </c>
      <c r="G69" s="6">
        <v>6.35</v>
      </c>
      <c r="H69" s="6">
        <v>0</v>
      </c>
      <c r="I69" s="6" t="s">
        <v>35</v>
      </c>
      <c r="J69" s="6">
        <v>3</v>
      </c>
      <c r="K69" s="35" t="s">
        <v>234</v>
      </c>
      <c r="L69" s="35">
        <v>0.42</v>
      </c>
      <c r="M69" s="35">
        <v>441</v>
      </c>
      <c r="N69" s="33">
        <v>7</v>
      </c>
      <c r="O69" s="28">
        <v>6</v>
      </c>
      <c r="P69" s="9">
        <v>2638</v>
      </c>
      <c r="Q69" s="9">
        <v>0</v>
      </c>
      <c r="R69" s="29">
        <v>0</v>
      </c>
      <c r="S69" s="15">
        <v>5</v>
      </c>
      <c r="T69" s="7">
        <v>2247</v>
      </c>
      <c r="U69" s="7">
        <v>0</v>
      </c>
      <c r="V69" s="16">
        <v>0</v>
      </c>
      <c r="W69" s="17">
        <v>11</v>
      </c>
      <c r="X69" s="18">
        <v>4885</v>
      </c>
      <c r="Y69" s="19">
        <v>0</v>
      </c>
      <c r="Z69" s="18">
        <v>0</v>
      </c>
    </row>
    <row r="70" spans="1:26" x14ac:dyDescent="0.25">
      <c r="A70" s="8">
        <v>66</v>
      </c>
      <c r="B70" s="5" t="s">
        <v>161</v>
      </c>
      <c r="C70" s="14" t="s">
        <v>96</v>
      </c>
      <c r="D70" s="31" t="s">
        <v>55</v>
      </c>
      <c r="E70" s="6" t="s">
        <v>34</v>
      </c>
      <c r="F70" s="6" t="s">
        <v>34</v>
      </c>
      <c r="G70" s="6">
        <v>6</v>
      </c>
      <c r="H70" s="6">
        <v>0</v>
      </c>
      <c r="I70" s="6" t="s">
        <v>35</v>
      </c>
      <c r="J70" s="6">
        <v>3</v>
      </c>
      <c r="K70" s="35" t="s">
        <v>227</v>
      </c>
      <c r="L70" s="35">
        <v>0.154</v>
      </c>
      <c r="M70" s="35">
        <v>243</v>
      </c>
      <c r="N70" s="33">
        <v>5</v>
      </c>
      <c r="O70" s="28">
        <v>2</v>
      </c>
      <c r="P70" s="9">
        <v>461</v>
      </c>
      <c r="Q70" s="9">
        <v>0</v>
      </c>
      <c r="R70" s="29">
        <v>0</v>
      </c>
      <c r="S70" s="15">
        <v>0</v>
      </c>
      <c r="T70" s="7">
        <v>0</v>
      </c>
      <c r="U70" s="7">
        <v>0</v>
      </c>
      <c r="V70" s="16">
        <v>0</v>
      </c>
      <c r="W70" s="17">
        <v>2</v>
      </c>
      <c r="X70" s="18">
        <v>461</v>
      </c>
      <c r="Y70" s="19">
        <v>0</v>
      </c>
      <c r="Z70" s="18">
        <v>0</v>
      </c>
    </row>
    <row r="71" spans="1:26" x14ac:dyDescent="0.25">
      <c r="A71" s="8">
        <v>67</v>
      </c>
      <c r="B71" s="5" t="s">
        <v>162</v>
      </c>
      <c r="C71" s="14" t="s">
        <v>94</v>
      </c>
      <c r="D71" s="31" t="s">
        <v>67</v>
      </c>
      <c r="E71" s="6" t="s">
        <v>68</v>
      </c>
      <c r="F71" s="6" t="s">
        <v>68</v>
      </c>
      <c r="G71" s="6">
        <v>2.5</v>
      </c>
      <c r="H71" s="6">
        <v>0</v>
      </c>
      <c r="I71" s="6" t="s">
        <v>35</v>
      </c>
      <c r="J71" s="6">
        <v>3</v>
      </c>
      <c r="K71" s="35" t="s">
        <v>228</v>
      </c>
      <c r="L71" s="35">
        <v>0.03</v>
      </c>
      <c r="M71" s="35">
        <v>394</v>
      </c>
      <c r="N71" s="33">
        <v>0</v>
      </c>
      <c r="O71" s="28">
        <v>0</v>
      </c>
      <c r="P71" s="9">
        <v>0</v>
      </c>
      <c r="Q71" s="9">
        <v>0</v>
      </c>
      <c r="R71" s="29">
        <v>0</v>
      </c>
      <c r="S71" s="15">
        <v>0</v>
      </c>
      <c r="T71" s="7">
        <v>0</v>
      </c>
      <c r="U71" s="7">
        <v>0</v>
      </c>
      <c r="V71" s="16">
        <v>0</v>
      </c>
      <c r="W71" s="17">
        <v>0</v>
      </c>
      <c r="X71" s="18">
        <v>0</v>
      </c>
      <c r="Y71" s="19">
        <v>0</v>
      </c>
      <c r="Z71" s="18">
        <v>0</v>
      </c>
    </row>
    <row r="72" spans="1:26" x14ac:dyDescent="0.25">
      <c r="A72" s="8">
        <v>68</v>
      </c>
      <c r="B72" s="5" t="s">
        <v>163</v>
      </c>
      <c r="C72" s="14" t="s">
        <v>164</v>
      </c>
      <c r="D72" s="31" t="s">
        <v>48</v>
      </c>
      <c r="E72" s="6" t="s">
        <v>39</v>
      </c>
      <c r="F72" s="6" t="s">
        <v>39</v>
      </c>
      <c r="G72" s="6">
        <v>7</v>
      </c>
      <c r="H72" s="6">
        <v>0</v>
      </c>
      <c r="I72" s="6" t="s">
        <v>64</v>
      </c>
      <c r="J72" s="6">
        <v>3</v>
      </c>
      <c r="K72" s="35" t="s">
        <v>229</v>
      </c>
      <c r="L72" s="35">
        <v>5.53</v>
      </c>
      <c r="M72" s="35">
        <v>101</v>
      </c>
      <c r="N72" s="33">
        <v>12</v>
      </c>
      <c r="O72" s="28">
        <v>18</v>
      </c>
      <c r="P72" s="9">
        <v>1593</v>
      </c>
      <c r="Q72" s="9">
        <v>0</v>
      </c>
      <c r="R72" s="29">
        <v>403</v>
      </c>
      <c r="S72" s="15">
        <v>15</v>
      </c>
      <c r="T72" s="7">
        <v>1547</v>
      </c>
      <c r="U72" s="7">
        <v>0</v>
      </c>
      <c r="V72" s="16">
        <v>0</v>
      </c>
      <c r="W72" s="17">
        <v>33</v>
      </c>
      <c r="X72" s="18">
        <v>3140</v>
      </c>
      <c r="Y72" s="19">
        <v>0</v>
      </c>
      <c r="Z72" s="18">
        <v>403</v>
      </c>
    </row>
    <row r="73" spans="1:26" x14ac:dyDescent="0.25">
      <c r="A73" s="8">
        <v>69</v>
      </c>
      <c r="B73" s="5" t="s">
        <v>165</v>
      </c>
      <c r="C73" s="14" t="s">
        <v>96</v>
      </c>
      <c r="D73" s="31" t="s">
        <v>55</v>
      </c>
      <c r="E73" s="6" t="s">
        <v>34</v>
      </c>
      <c r="F73" s="6" t="s">
        <v>34</v>
      </c>
      <c r="G73" s="6">
        <v>6</v>
      </c>
      <c r="H73" s="6">
        <v>0</v>
      </c>
      <c r="I73" s="6" t="s">
        <v>35</v>
      </c>
      <c r="J73" s="6">
        <v>3</v>
      </c>
      <c r="K73" s="35" t="s">
        <v>227</v>
      </c>
      <c r="L73" s="35">
        <v>0.154</v>
      </c>
      <c r="M73" s="35">
        <v>243</v>
      </c>
      <c r="N73" s="33">
        <v>5</v>
      </c>
      <c r="O73" s="28">
        <v>7</v>
      </c>
      <c r="P73" s="9">
        <v>1688</v>
      </c>
      <c r="Q73" s="9">
        <v>0</v>
      </c>
      <c r="R73" s="29">
        <v>0</v>
      </c>
      <c r="S73" s="15">
        <v>3</v>
      </c>
      <c r="T73" s="7">
        <v>1038</v>
      </c>
      <c r="U73" s="7">
        <v>0</v>
      </c>
      <c r="V73" s="16">
        <v>0</v>
      </c>
      <c r="W73" s="17">
        <v>10</v>
      </c>
      <c r="X73" s="18">
        <v>2726</v>
      </c>
      <c r="Y73" s="19">
        <v>0</v>
      </c>
      <c r="Z73" s="18">
        <v>0</v>
      </c>
    </row>
    <row r="74" spans="1:26" x14ac:dyDescent="0.25">
      <c r="A74" s="8">
        <v>70</v>
      </c>
      <c r="B74" s="5" t="s">
        <v>166</v>
      </c>
      <c r="C74" s="14" t="s">
        <v>94</v>
      </c>
      <c r="D74" s="31" t="s">
        <v>67</v>
      </c>
      <c r="E74" s="6" t="s">
        <v>68</v>
      </c>
      <c r="F74" s="6" t="s">
        <v>68</v>
      </c>
      <c r="G74" s="6">
        <v>2.5</v>
      </c>
      <c r="H74" s="6">
        <v>0</v>
      </c>
      <c r="I74" s="6" t="s">
        <v>35</v>
      </c>
      <c r="J74" s="6">
        <v>3</v>
      </c>
      <c r="K74" s="35" t="s">
        <v>228</v>
      </c>
      <c r="L74" s="35">
        <v>0.03</v>
      </c>
      <c r="M74" s="35">
        <v>394</v>
      </c>
      <c r="N74" s="33">
        <v>4</v>
      </c>
      <c r="O74" s="28">
        <v>2</v>
      </c>
      <c r="P74" s="9">
        <v>500</v>
      </c>
      <c r="Q74" s="9">
        <v>0</v>
      </c>
      <c r="R74" s="29">
        <v>0</v>
      </c>
      <c r="S74" s="15">
        <v>2</v>
      </c>
      <c r="T74" s="7">
        <v>866</v>
      </c>
      <c r="U74" s="7">
        <v>0</v>
      </c>
      <c r="V74" s="16">
        <v>0</v>
      </c>
      <c r="W74" s="17">
        <v>4</v>
      </c>
      <c r="X74" s="18">
        <v>1366</v>
      </c>
      <c r="Y74" s="19">
        <v>0</v>
      </c>
      <c r="Z74" s="18">
        <v>0</v>
      </c>
    </row>
    <row r="75" spans="1:26" x14ac:dyDescent="0.25">
      <c r="A75" s="8">
        <v>71</v>
      </c>
      <c r="B75" s="5" t="s">
        <v>167</v>
      </c>
      <c r="C75" s="14" t="s">
        <v>168</v>
      </c>
      <c r="D75" s="31" t="s">
        <v>169</v>
      </c>
      <c r="E75" s="6" t="s">
        <v>46</v>
      </c>
      <c r="F75" s="6" t="s">
        <v>46</v>
      </c>
      <c r="G75" s="6">
        <v>2</v>
      </c>
      <c r="H75" s="6">
        <v>0</v>
      </c>
      <c r="I75" s="6" t="s">
        <v>35</v>
      </c>
      <c r="J75" s="6">
        <v>2</v>
      </c>
      <c r="K75" s="35" t="s">
        <v>237</v>
      </c>
      <c r="L75" s="35">
        <v>3.5000000000000003E-2</v>
      </c>
      <c r="M75" s="35">
        <v>501</v>
      </c>
      <c r="N75" s="33">
        <v>4</v>
      </c>
      <c r="O75" s="28">
        <v>3</v>
      </c>
      <c r="P75" s="9">
        <v>1942</v>
      </c>
      <c r="Q75" s="9">
        <v>0</v>
      </c>
      <c r="R75" s="29">
        <v>0</v>
      </c>
      <c r="S75" s="15">
        <v>3</v>
      </c>
      <c r="T75" s="7">
        <v>1457</v>
      </c>
      <c r="U75" s="7">
        <v>0</v>
      </c>
      <c r="V75" s="16">
        <v>0</v>
      </c>
      <c r="W75" s="17">
        <v>6</v>
      </c>
      <c r="X75" s="18">
        <v>3399</v>
      </c>
      <c r="Y75" s="19">
        <v>0</v>
      </c>
      <c r="Z75" s="18">
        <v>0</v>
      </c>
    </row>
    <row r="76" spans="1:26" x14ac:dyDescent="0.25">
      <c r="A76" s="8">
        <v>72</v>
      </c>
      <c r="B76" s="5" t="s">
        <v>170</v>
      </c>
      <c r="C76" s="14" t="s">
        <v>171</v>
      </c>
      <c r="D76" s="31" t="s">
        <v>42</v>
      </c>
      <c r="E76" s="6" t="s">
        <v>43</v>
      </c>
      <c r="F76" s="6" t="s">
        <v>43</v>
      </c>
      <c r="G76" s="6">
        <v>5</v>
      </c>
      <c r="H76" s="6">
        <v>0</v>
      </c>
      <c r="I76" s="6" t="s">
        <v>64</v>
      </c>
      <c r="J76" s="6">
        <v>3</v>
      </c>
      <c r="K76" s="35" t="s">
        <v>69</v>
      </c>
      <c r="L76" s="35">
        <v>1.73</v>
      </c>
      <c r="M76" s="35">
        <v>186</v>
      </c>
      <c r="N76" s="33">
        <v>0</v>
      </c>
      <c r="O76" s="28">
        <v>0</v>
      </c>
      <c r="P76" s="9">
        <v>0</v>
      </c>
      <c r="Q76" s="9">
        <v>0</v>
      </c>
      <c r="R76" s="29">
        <v>0</v>
      </c>
      <c r="S76" s="15">
        <v>0</v>
      </c>
      <c r="T76" s="7">
        <v>0</v>
      </c>
      <c r="U76" s="7">
        <v>0</v>
      </c>
      <c r="V76" s="16">
        <v>0</v>
      </c>
      <c r="W76" s="17">
        <v>0</v>
      </c>
      <c r="X76" s="18">
        <v>0</v>
      </c>
      <c r="Y76" s="19">
        <v>0</v>
      </c>
      <c r="Z76" s="18">
        <v>0</v>
      </c>
    </row>
    <row r="77" spans="1:26" x14ac:dyDescent="0.25">
      <c r="A77" s="8">
        <v>73</v>
      </c>
      <c r="B77" s="5" t="s">
        <v>172</v>
      </c>
      <c r="C77" s="14" t="s">
        <v>37</v>
      </c>
      <c r="D77" s="31" t="s">
        <v>38</v>
      </c>
      <c r="E77" s="6" t="s">
        <v>39</v>
      </c>
      <c r="F77" s="6" t="s">
        <v>39</v>
      </c>
      <c r="G77" s="6">
        <v>5.5</v>
      </c>
      <c r="H77" s="6">
        <v>0</v>
      </c>
      <c r="I77" s="6" t="s">
        <v>35</v>
      </c>
      <c r="J77" s="6">
        <v>3</v>
      </c>
      <c r="K77" s="35" t="s">
        <v>228</v>
      </c>
      <c r="L77" s="35">
        <v>1.0760000000000001</v>
      </c>
      <c r="M77" s="35">
        <v>167</v>
      </c>
      <c r="N77" s="33">
        <v>12</v>
      </c>
      <c r="O77" s="28">
        <v>3</v>
      </c>
      <c r="P77" s="9">
        <v>0</v>
      </c>
      <c r="Q77" s="9">
        <v>529</v>
      </c>
      <c r="R77" s="29">
        <v>0</v>
      </c>
      <c r="S77" s="15">
        <v>0</v>
      </c>
      <c r="T77" s="7">
        <v>0</v>
      </c>
      <c r="U77" s="7">
        <v>0</v>
      </c>
      <c r="V77" s="16">
        <v>0</v>
      </c>
      <c r="W77" s="17">
        <v>3</v>
      </c>
      <c r="X77" s="18">
        <v>0</v>
      </c>
      <c r="Y77" s="19">
        <v>529</v>
      </c>
      <c r="Z77" s="18">
        <v>0</v>
      </c>
    </row>
    <row r="78" spans="1:26" x14ac:dyDescent="0.25">
      <c r="A78" s="8">
        <v>74</v>
      </c>
      <c r="B78" s="5" t="s">
        <v>173</v>
      </c>
      <c r="C78" s="14" t="s">
        <v>174</v>
      </c>
      <c r="D78" s="31" t="s">
        <v>48</v>
      </c>
      <c r="E78" s="6" t="s">
        <v>39</v>
      </c>
      <c r="F78" s="6" t="s">
        <v>39</v>
      </c>
      <c r="G78" s="6">
        <v>7</v>
      </c>
      <c r="H78" s="6">
        <v>0</v>
      </c>
      <c r="I78" s="6" t="s">
        <v>64</v>
      </c>
      <c r="J78" s="6">
        <v>3</v>
      </c>
      <c r="K78" s="35" t="s">
        <v>229</v>
      </c>
      <c r="L78" s="35">
        <v>2.4700000000000002</v>
      </c>
      <c r="M78" s="35">
        <v>172</v>
      </c>
      <c r="N78" s="33">
        <v>5</v>
      </c>
      <c r="O78" s="28">
        <v>11</v>
      </c>
      <c r="P78" s="9">
        <v>1705</v>
      </c>
      <c r="Q78" s="9">
        <v>0</v>
      </c>
      <c r="R78" s="29">
        <v>0</v>
      </c>
      <c r="S78" s="15">
        <v>10</v>
      </c>
      <c r="T78" s="7">
        <v>1626</v>
      </c>
      <c r="U78" s="7">
        <v>0</v>
      </c>
      <c r="V78" s="16">
        <v>0</v>
      </c>
      <c r="W78" s="17">
        <v>21</v>
      </c>
      <c r="X78" s="18">
        <v>3331</v>
      </c>
      <c r="Y78" s="19">
        <v>0</v>
      </c>
      <c r="Z78" s="18">
        <v>0</v>
      </c>
    </row>
    <row r="79" spans="1:26" x14ac:dyDescent="0.25">
      <c r="A79" s="8">
        <v>75</v>
      </c>
      <c r="B79" s="5" t="s">
        <v>175</v>
      </c>
      <c r="C79" s="14">
        <v>9024</v>
      </c>
      <c r="D79" s="31" t="s">
        <v>101</v>
      </c>
      <c r="E79" s="6" t="s">
        <v>39</v>
      </c>
      <c r="F79" s="6" t="s">
        <v>39</v>
      </c>
      <c r="G79" s="6">
        <v>2</v>
      </c>
      <c r="H79" s="6">
        <v>0</v>
      </c>
      <c r="I79" s="6" t="s">
        <v>35</v>
      </c>
      <c r="J79" s="6">
        <v>2</v>
      </c>
      <c r="K79" s="35" t="s">
        <v>240</v>
      </c>
      <c r="L79" s="35">
        <v>7.0000000000000007E-2</v>
      </c>
      <c r="M79" s="35">
        <v>174</v>
      </c>
      <c r="N79" s="33">
        <v>5</v>
      </c>
      <c r="O79" s="28">
        <v>18</v>
      </c>
      <c r="P79" s="9">
        <v>2871</v>
      </c>
      <c r="Q79" s="9">
        <v>0</v>
      </c>
      <c r="R79" s="29">
        <v>0</v>
      </c>
      <c r="S79" s="15">
        <v>15</v>
      </c>
      <c r="T79" s="7">
        <v>2428</v>
      </c>
      <c r="U79" s="7">
        <v>0</v>
      </c>
      <c r="V79" s="16">
        <v>0</v>
      </c>
      <c r="W79" s="17">
        <v>33</v>
      </c>
      <c r="X79" s="18">
        <v>5299</v>
      </c>
      <c r="Y79" s="19">
        <v>0</v>
      </c>
      <c r="Z79" s="18">
        <v>0</v>
      </c>
    </row>
    <row r="80" spans="1:26" x14ac:dyDescent="0.25">
      <c r="A80" s="8">
        <v>76</v>
      </c>
      <c r="B80" s="5" t="s">
        <v>176</v>
      </c>
      <c r="C80" s="14" t="s">
        <v>177</v>
      </c>
      <c r="D80" s="31" t="s">
        <v>48</v>
      </c>
      <c r="E80" s="6" t="s">
        <v>39</v>
      </c>
      <c r="F80" s="6" t="s">
        <v>39</v>
      </c>
      <c r="G80" s="6">
        <v>7</v>
      </c>
      <c r="H80" s="6">
        <v>0</v>
      </c>
      <c r="I80" s="6" t="s">
        <v>64</v>
      </c>
      <c r="J80" s="6">
        <v>3</v>
      </c>
      <c r="K80" s="35" t="s">
        <v>229</v>
      </c>
      <c r="L80" s="35">
        <v>2.4700000000000002</v>
      </c>
      <c r="M80" s="35">
        <v>172</v>
      </c>
      <c r="N80" s="33">
        <v>5</v>
      </c>
      <c r="O80" s="28">
        <v>11</v>
      </c>
      <c r="P80" s="9">
        <v>1854</v>
      </c>
      <c r="Q80" s="9">
        <v>0</v>
      </c>
      <c r="R80" s="29">
        <v>0</v>
      </c>
      <c r="S80" s="15">
        <v>11</v>
      </c>
      <c r="T80" s="7">
        <v>1823</v>
      </c>
      <c r="U80" s="7">
        <v>0</v>
      </c>
      <c r="V80" s="16">
        <v>0</v>
      </c>
      <c r="W80" s="17">
        <v>22</v>
      </c>
      <c r="X80" s="18">
        <v>3677</v>
      </c>
      <c r="Y80" s="19">
        <v>0</v>
      </c>
      <c r="Z80" s="18">
        <v>0</v>
      </c>
    </row>
    <row r="81" spans="1:26" x14ac:dyDescent="0.25">
      <c r="A81" s="8">
        <v>77</v>
      </c>
      <c r="B81" s="5" t="s">
        <v>178</v>
      </c>
      <c r="C81" s="14" t="s">
        <v>179</v>
      </c>
      <c r="D81" s="31" t="s">
        <v>48</v>
      </c>
      <c r="E81" s="6" t="s">
        <v>39</v>
      </c>
      <c r="F81" s="6" t="s">
        <v>39</v>
      </c>
      <c r="G81" s="6">
        <v>6</v>
      </c>
      <c r="H81" s="6">
        <v>0</v>
      </c>
      <c r="I81" s="6" t="s">
        <v>64</v>
      </c>
      <c r="J81" s="6">
        <v>3</v>
      </c>
      <c r="K81" s="35" t="s">
        <v>229</v>
      </c>
      <c r="L81" s="35">
        <v>1.26</v>
      </c>
      <c r="M81" s="35">
        <v>304</v>
      </c>
      <c r="N81" s="33">
        <v>12</v>
      </c>
      <c r="O81" s="28">
        <v>4</v>
      </c>
      <c r="P81" s="9">
        <v>1202</v>
      </c>
      <c r="Q81" s="9">
        <v>0</v>
      </c>
      <c r="R81" s="29">
        <v>0</v>
      </c>
      <c r="S81" s="15">
        <v>0</v>
      </c>
      <c r="T81" s="7">
        <v>0</v>
      </c>
      <c r="U81" s="7">
        <v>0</v>
      </c>
      <c r="V81" s="16">
        <v>0</v>
      </c>
      <c r="W81" s="17">
        <v>4</v>
      </c>
      <c r="X81" s="18">
        <v>1202</v>
      </c>
      <c r="Y81" s="19">
        <v>0</v>
      </c>
      <c r="Z81" s="18">
        <v>0</v>
      </c>
    </row>
    <row r="82" spans="1:26" x14ac:dyDescent="0.25">
      <c r="A82" s="8">
        <v>78</v>
      </c>
      <c r="B82" s="5" t="s">
        <v>180</v>
      </c>
      <c r="C82" s="14" t="s">
        <v>181</v>
      </c>
      <c r="D82" s="31" t="s">
        <v>48</v>
      </c>
      <c r="E82" s="6" t="s">
        <v>39</v>
      </c>
      <c r="F82" s="6" t="s">
        <v>39</v>
      </c>
      <c r="G82" s="6">
        <v>16</v>
      </c>
      <c r="H82" s="6">
        <v>0</v>
      </c>
      <c r="I82" s="6" t="s">
        <v>64</v>
      </c>
      <c r="J82" s="6">
        <v>3</v>
      </c>
      <c r="K82" s="35" t="s">
        <v>234</v>
      </c>
      <c r="L82" s="35">
        <v>22.15</v>
      </c>
      <c r="M82" s="35">
        <v>60</v>
      </c>
      <c r="N82" s="33">
        <v>2</v>
      </c>
      <c r="O82" s="28">
        <v>3</v>
      </c>
      <c r="P82" s="9">
        <v>327</v>
      </c>
      <c r="Q82" s="9">
        <v>0</v>
      </c>
      <c r="R82" s="29">
        <v>0</v>
      </c>
      <c r="S82" s="15">
        <v>2</v>
      </c>
      <c r="T82" s="7">
        <v>402</v>
      </c>
      <c r="U82" s="7">
        <v>0</v>
      </c>
      <c r="V82" s="16">
        <v>0</v>
      </c>
      <c r="W82" s="17">
        <v>5</v>
      </c>
      <c r="X82" s="18">
        <v>729</v>
      </c>
      <c r="Y82" s="19">
        <v>0</v>
      </c>
      <c r="Z82" s="18">
        <v>0</v>
      </c>
    </row>
    <row r="83" spans="1:26" x14ac:dyDescent="0.25">
      <c r="A83" s="8">
        <v>79</v>
      </c>
      <c r="B83" s="5" t="s">
        <v>182</v>
      </c>
      <c r="C83" s="14" t="s">
        <v>183</v>
      </c>
      <c r="D83" s="31" t="s">
        <v>48</v>
      </c>
      <c r="E83" s="6" t="s">
        <v>138</v>
      </c>
      <c r="F83" s="6" t="s">
        <v>138</v>
      </c>
      <c r="G83" s="6">
        <v>10.5</v>
      </c>
      <c r="H83" s="6">
        <v>0</v>
      </c>
      <c r="I83" s="6" t="s">
        <v>35</v>
      </c>
      <c r="J83" s="6">
        <v>3</v>
      </c>
      <c r="K83" s="35" t="s">
        <v>240</v>
      </c>
      <c r="L83" s="35">
        <v>0</v>
      </c>
      <c r="M83" s="35">
        <v>0</v>
      </c>
      <c r="N83" s="33">
        <v>0</v>
      </c>
      <c r="O83" s="28">
        <v>0</v>
      </c>
      <c r="P83" s="9">
        <v>0</v>
      </c>
      <c r="Q83" s="9">
        <v>0</v>
      </c>
      <c r="R83" s="29">
        <v>0</v>
      </c>
      <c r="S83" s="15">
        <v>0</v>
      </c>
      <c r="T83" s="7">
        <v>0</v>
      </c>
      <c r="U83" s="7">
        <v>0</v>
      </c>
      <c r="V83" s="16">
        <v>0</v>
      </c>
      <c r="W83" s="17">
        <v>0</v>
      </c>
      <c r="X83" s="18">
        <v>0</v>
      </c>
      <c r="Y83" s="19">
        <v>0</v>
      </c>
      <c r="Z83" s="18">
        <v>0</v>
      </c>
    </row>
    <row r="84" spans="1:26" x14ac:dyDescent="0.25">
      <c r="A84" s="8">
        <v>80</v>
      </c>
      <c r="B84" s="5" t="s">
        <v>184</v>
      </c>
      <c r="C84" s="14" t="s">
        <v>185</v>
      </c>
      <c r="D84" s="31" t="s">
        <v>48</v>
      </c>
      <c r="E84" s="6" t="s">
        <v>39</v>
      </c>
      <c r="F84" s="6" t="s">
        <v>39</v>
      </c>
      <c r="G84" s="6">
        <v>7</v>
      </c>
      <c r="H84" s="6">
        <v>0</v>
      </c>
      <c r="I84" s="6" t="s">
        <v>64</v>
      </c>
      <c r="J84" s="6">
        <v>3</v>
      </c>
      <c r="K84" s="35" t="s">
        <v>229</v>
      </c>
      <c r="L84" s="35">
        <v>2.35</v>
      </c>
      <c r="M84" s="35">
        <v>228</v>
      </c>
      <c r="N84" s="33">
        <v>7</v>
      </c>
      <c r="O84" s="28">
        <v>2</v>
      </c>
      <c r="P84" s="9">
        <v>363</v>
      </c>
      <c r="Q84" s="9">
        <v>0</v>
      </c>
      <c r="R84" s="29">
        <v>0</v>
      </c>
      <c r="S84" s="15">
        <v>0</v>
      </c>
      <c r="T84" s="7">
        <v>0</v>
      </c>
      <c r="U84" s="7">
        <v>0</v>
      </c>
      <c r="V84" s="16">
        <v>0</v>
      </c>
      <c r="W84" s="17">
        <v>2</v>
      </c>
      <c r="X84" s="18">
        <v>363</v>
      </c>
      <c r="Y84" s="19">
        <v>0</v>
      </c>
      <c r="Z84" s="18">
        <v>0</v>
      </c>
    </row>
    <row r="85" spans="1:26" x14ac:dyDescent="0.25">
      <c r="A85" s="8">
        <v>81</v>
      </c>
      <c r="B85" s="5" t="s">
        <v>186</v>
      </c>
      <c r="C85" s="14" t="s">
        <v>187</v>
      </c>
      <c r="D85" s="31" t="s">
        <v>48</v>
      </c>
      <c r="E85" s="6" t="s">
        <v>39</v>
      </c>
      <c r="F85" s="6" t="s">
        <v>39</v>
      </c>
      <c r="G85" s="6">
        <v>7.5</v>
      </c>
      <c r="H85" s="6">
        <v>0</v>
      </c>
      <c r="I85" s="6" t="s">
        <v>35</v>
      </c>
      <c r="J85" s="6">
        <v>3</v>
      </c>
      <c r="K85" s="35" t="s">
        <v>234</v>
      </c>
      <c r="L85" s="35">
        <v>5.1820000000000004</v>
      </c>
      <c r="M85" s="35">
        <v>69</v>
      </c>
      <c r="N85" s="33">
        <v>0</v>
      </c>
      <c r="O85" s="28">
        <v>0</v>
      </c>
      <c r="P85" s="9">
        <v>0</v>
      </c>
      <c r="Q85" s="9">
        <v>0</v>
      </c>
      <c r="R85" s="29">
        <v>0</v>
      </c>
      <c r="S85" s="15">
        <v>0</v>
      </c>
      <c r="T85" s="7">
        <v>0</v>
      </c>
      <c r="U85" s="7">
        <v>0</v>
      </c>
      <c r="V85" s="16">
        <v>0</v>
      </c>
      <c r="W85" s="17">
        <v>0</v>
      </c>
      <c r="X85" s="18">
        <v>0</v>
      </c>
      <c r="Y85" s="19">
        <v>0</v>
      </c>
      <c r="Z85" s="18">
        <v>0</v>
      </c>
    </row>
    <row r="86" spans="1:26" x14ac:dyDescent="0.25">
      <c r="A86" s="8">
        <v>82</v>
      </c>
      <c r="B86" s="5" t="s">
        <v>188</v>
      </c>
      <c r="C86" s="14" t="s">
        <v>189</v>
      </c>
      <c r="D86" s="31" t="s">
        <v>33</v>
      </c>
      <c r="E86" s="6" t="s">
        <v>34</v>
      </c>
      <c r="F86" s="6" t="s">
        <v>34</v>
      </c>
      <c r="G86" s="6">
        <v>14.5</v>
      </c>
      <c r="H86" s="6">
        <v>0</v>
      </c>
      <c r="I86" s="6" t="s">
        <v>35</v>
      </c>
      <c r="J86" s="6">
        <v>3</v>
      </c>
      <c r="K86" s="35" t="s">
        <v>228</v>
      </c>
      <c r="L86" s="35">
        <v>8.6</v>
      </c>
      <c r="M86" s="35">
        <v>42</v>
      </c>
      <c r="N86" s="33">
        <v>0</v>
      </c>
      <c r="O86" s="28">
        <v>0</v>
      </c>
      <c r="P86" s="9">
        <v>0</v>
      </c>
      <c r="Q86" s="9">
        <v>0</v>
      </c>
      <c r="R86" s="29">
        <v>0</v>
      </c>
      <c r="S86" s="15">
        <v>0</v>
      </c>
      <c r="T86" s="7">
        <v>0</v>
      </c>
      <c r="U86" s="7">
        <v>0</v>
      </c>
      <c r="V86" s="16">
        <v>0</v>
      </c>
      <c r="W86" s="17">
        <v>0</v>
      </c>
      <c r="X86" s="18">
        <v>0</v>
      </c>
      <c r="Y86" s="19">
        <v>0</v>
      </c>
      <c r="Z86" s="18">
        <v>0</v>
      </c>
    </row>
    <row r="87" spans="1:26" x14ac:dyDescent="0.25">
      <c r="A87" s="8">
        <v>83</v>
      </c>
      <c r="B87" s="5" t="s">
        <v>190</v>
      </c>
      <c r="C87" s="14" t="s">
        <v>191</v>
      </c>
      <c r="D87" s="31" t="s">
        <v>33</v>
      </c>
      <c r="E87" s="6" t="s">
        <v>34</v>
      </c>
      <c r="F87" s="6" t="s">
        <v>34</v>
      </c>
      <c r="G87" s="6">
        <v>26</v>
      </c>
      <c r="H87" s="6">
        <v>0</v>
      </c>
      <c r="I87" s="6" t="s">
        <v>35</v>
      </c>
      <c r="J87" s="6">
        <v>3</v>
      </c>
      <c r="K87" s="35" t="s">
        <v>228</v>
      </c>
      <c r="L87" s="35">
        <v>0.6</v>
      </c>
      <c r="M87" s="35">
        <v>675</v>
      </c>
      <c r="N87" s="33">
        <v>7</v>
      </c>
      <c r="O87" s="28">
        <v>0.5</v>
      </c>
      <c r="P87" s="9">
        <v>135</v>
      </c>
      <c r="Q87" s="9">
        <v>0</v>
      </c>
      <c r="R87" s="29">
        <v>2</v>
      </c>
      <c r="S87" s="15">
        <v>0.5</v>
      </c>
      <c r="T87" s="7">
        <v>95</v>
      </c>
      <c r="U87" s="7">
        <v>0</v>
      </c>
      <c r="V87" s="16">
        <v>0</v>
      </c>
      <c r="W87" s="17">
        <v>1</v>
      </c>
      <c r="X87" s="18">
        <v>230</v>
      </c>
      <c r="Y87" s="19">
        <v>0</v>
      </c>
      <c r="Z87" s="18">
        <v>2</v>
      </c>
    </row>
    <row r="88" spans="1:26" x14ac:dyDescent="0.25">
      <c r="A88" s="8">
        <v>84</v>
      </c>
      <c r="B88" s="5" t="s">
        <v>192</v>
      </c>
      <c r="C88" s="14" t="s">
        <v>193</v>
      </c>
      <c r="D88" s="31" t="s">
        <v>33</v>
      </c>
      <c r="E88" s="6" t="s">
        <v>34</v>
      </c>
      <c r="F88" s="6" t="s">
        <v>34</v>
      </c>
      <c r="G88" s="6">
        <v>16</v>
      </c>
      <c r="H88" s="6">
        <v>0</v>
      </c>
      <c r="I88" s="6" t="s">
        <v>35</v>
      </c>
      <c r="J88" s="6">
        <v>3</v>
      </c>
      <c r="K88" s="35" t="s">
        <v>233</v>
      </c>
      <c r="L88" s="35">
        <v>14.1</v>
      </c>
      <c r="M88" s="35">
        <v>33</v>
      </c>
      <c r="N88" s="33">
        <v>2</v>
      </c>
      <c r="O88" s="28">
        <v>4</v>
      </c>
      <c r="P88" s="9">
        <v>165</v>
      </c>
      <c r="Q88" s="9">
        <v>0</v>
      </c>
      <c r="R88" s="29">
        <v>0</v>
      </c>
      <c r="S88" s="15">
        <v>5</v>
      </c>
      <c r="T88" s="7">
        <v>129</v>
      </c>
      <c r="U88" s="7">
        <v>0</v>
      </c>
      <c r="V88" s="16">
        <v>0</v>
      </c>
      <c r="W88" s="17">
        <v>9</v>
      </c>
      <c r="X88" s="18">
        <v>294</v>
      </c>
      <c r="Y88" s="19">
        <v>0</v>
      </c>
      <c r="Z88" s="18">
        <v>0</v>
      </c>
    </row>
    <row r="89" spans="1:26" x14ac:dyDescent="0.25">
      <c r="A89" s="8">
        <v>85</v>
      </c>
      <c r="B89" s="5" t="s">
        <v>194</v>
      </c>
      <c r="C89" s="14" t="s">
        <v>195</v>
      </c>
      <c r="D89" s="31" t="s">
        <v>48</v>
      </c>
      <c r="E89" s="6" t="s">
        <v>39</v>
      </c>
      <c r="F89" s="6" t="s">
        <v>39</v>
      </c>
      <c r="G89" s="6">
        <v>16</v>
      </c>
      <c r="H89" s="6">
        <v>0</v>
      </c>
      <c r="I89" s="6" t="s">
        <v>64</v>
      </c>
      <c r="J89" s="6">
        <v>3</v>
      </c>
      <c r="K89" s="35" t="s">
        <v>235</v>
      </c>
      <c r="L89" s="35">
        <v>29.6</v>
      </c>
      <c r="M89" s="35">
        <v>117</v>
      </c>
      <c r="N89" s="33">
        <v>0</v>
      </c>
      <c r="O89" s="28">
        <v>0</v>
      </c>
      <c r="P89" s="9">
        <v>0</v>
      </c>
      <c r="Q89" s="9">
        <v>0</v>
      </c>
      <c r="R89" s="29">
        <v>0</v>
      </c>
      <c r="S89" s="15">
        <v>0</v>
      </c>
      <c r="T89" s="7">
        <v>0</v>
      </c>
      <c r="U89" s="7">
        <v>0</v>
      </c>
      <c r="V89" s="16">
        <v>0</v>
      </c>
      <c r="W89" s="17">
        <v>0</v>
      </c>
      <c r="X89" s="18">
        <v>0</v>
      </c>
      <c r="Y89" s="19">
        <v>0</v>
      </c>
      <c r="Z89" s="18">
        <v>0</v>
      </c>
    </row>
    <row r="90" spans="1:26" x14ac:dyDescent="0.25">
      <c r="A90" s="8">
        <v>86</v>
      </c>
      <c r="B90" s="5" t="s">
        <v>196</v>
      </c>
      <c r="C90" s="14" t="s">
        <v>197</v>
      </c>
      <c r="D90" s="31" t="s">
        <v>33</v>
      </c>
      <c r="E90" s="6" t="s">
        <v>34</v>
      </c>
      <c r="F90" s="6" t="s">
        <v>34</v>
      </c>
      <c r="G90" s="6">
        <v>19.100000000000001</v>
      </c>
      <c r="H90" s="6">
        <v>0</v>
      </c>
      <c r="I90" s="6" t="s">
        <v>35</v>
      </c>
      <c r="J90" s="6">
        <v>3</v>
      </c>
      <c r="K90" s="35" t="s">
        <v>229</v>
      </c>
      <c r="L90" s="35">
        <v>26.12</v>
      </c>
      <c r="M90" s="35">
        <v>24</v>
      </c>
      <c r="N90" s="33">
        <v>7</v>
      </c>
      <c r="O90" s="28">
        <v>3</v>
      </c>
      <c r="P90" s="9">
        <v>68</v>
      </c>
      <c r="Q90" s="9">
        <v>0</v>
      </c>
      <c r="R90" s="29">
        <v>0</v>
      </c>
      <c r="S90" s="15">
        <v>5</v>
      </c>
      <c r="T90" s="7">
        <v>125</v>
      </c>
      <c r="U90" s="7">
        <v>0</v>
      </c>
      <c r="V90" s="16">
        <v>0</v>
      </c>
      <c r="W90" s="17">
        <v>8</v>
      </c>
      <c r="X90" s="18">
        <v>193</v>
      </c>
      <c r="Y90" s="19">
        <v>0</v>
      </c>
      <c r="Z90" s="18">
        <v>0</v>
      </c>
    </row>
    <row r="91" spans="1:26" x14ac:dyDescent="0.25">
      <c r="A91" s="8">
        <v>87</v>
      </c>
      <c r="B91" s="5" t="s">
        <v>198</v>
      </c>
      <c r="C91" s="14" t="s">
        <v>199</v>
      </c>
      <c r="D91" s="31" t="s">
        <v>42</v>
      </c>
      <c r="E91" s="6" t="s">
        <v>46</v>
      </c>
      <c r="F91" s="6" t="s">
        <v>46</v>
      </c>
      <c r="G91" s="6">
        <v>6</v>
      </c>
      <c r="H91" s="6">
        <v>0</v>
      </c>
      <c r="I91" s="6" t="s">
        <v>64</v>
      </c>
      <c r="J91" s="6">
        <v>2.5</v>
      </c>
      <c r="K91" s="35" t="s">
        <v>240</v>
      </c>
      <c r="L91" s="35">
        <v>16.45</v>
      </c>
      <c r="M91" s="35">
        <v>30</v>
      </c>
      <c r="N91" s="33">
        <v>0</v>
      </c>
      <c r="O91" s="28">
        <v>0</v>
      </c>
      <c r="P91" s="9">
        <v>0</v>
      </c>
      <c r="Q91" s="9">
        <v>0</v>
      </c>
      <c r="R91" s="29">
        <v>0</v>
      </c>
      <c r="S91" s="15">
        <v>0</v>
      </c>
      <c r="T91" s="7">
        <v>0</v>
      </c>
      <c r="U91" s="7">
        <v>0</v>
      </c>
      <c r="V91" s="16">
        <v>0</v>
      </c>
      <c r="W91" s="17">
        <v>0</v>
      </c>
      <c r="X91" s="18">
        <v>0</v>
      </c>
      <c r="Y91" s="19">
        <v>0</v>
      </c>
      <c r="Z91" s="18">
        <v>0</v>
      </c>
    </row>
    <row r="92" spans="1:26" x14ac:dyDescent="0.25">
      <c r="A92" s="8">
        <v>88</v>
      </c>
      <c r="B92" s="5" t="s">
        <v>200</v>
      </c>
      <c r="C92" s="14" t="s">
        <v>201</v>
      </c>
      <c r="D92" s="31" t="s">
        <v>84</v>
      </c>
      <c r="E92" s="6" t="s">
        <v>68</v>
      </c>
      <c r="F92" s="6" t="s">
        <v>68</v>
      </c>
      <c r="G92" s="6">
        <v>9</v>
      </c>
      <c r="H92" s="6">
        <v>0</v>
      </c>
      <c r="I92" s="6" t="s">
        <v>35</v>
      </c>
      <c r="J92" s="6">
        <v>3</v>
      </c>
      <c r="K92" s="35" t="s">
        <v>235</v>
      </c>
      <c r="L92" s="35">
        <v>0.7</v>
      </c>
      <c r="M92" s="35">
        <v>270</v>
      </c>
      <c r="N92" s="33">
        <v>0</v>
      </c>
      <c r="O92" s="28">
        <v>0</v>
      </c>
      <c r="P92" s="9">
        <v>0</v>
      </c>
      <c r="Q92" s="9">
        <v>0</v>
      </c>
      <c r="R92" s="29">
        <v>0</v>
      </c>
      <c r="S92" s="15">
        <v>0</v>
      </c>
      <c r="T92" s="7">
        <v>0</v>
      </c>
      <c r="U92" s="7">
        <v>0</v>
      </c>
      <c r="V92" s="16">
        <v>0</v>
      </c>
      <c r="W92" s="17">
        <v>0</v>
      </c>
      <c r="X92" s="18">
        <v>0</v>
      </c>
      <c r="Y92" s="19">
        <v>0</v>
      </c>
      <c r="Z92" s="18">
        <v>0</v>
      </c>
    </row>
    <row r="93" spans="1:26" x14ac:dyDescent="0.25">
      <c r="A93" s="8">
        <v>89</v>
      </c>
      <c r="B93" s="5" t="s">
        <v>202</v>
      </c>
      <c r="C93" s="14" t="s">
        <v>203</v>
      </c>
      <c r="D93" s="31" t="s">
        <v>48</v>
      </c>
      <c r="E93" s="6" t="s">
        <v>39</v>
      </c>
      <c r="F93" s="6" t="s">
        <v>39</v>
      </c>
      <c r="G93" s="6">
        <v>8</v>
      </c>
      <c r="H93" s="6">
        <v>0</v>
      </c>
      <c r="I93" s="6" t="s">
        <v>64</v>
      </c>
      <c r="J93" s="6">
        <v>3</v>
      </c>
      <c r="K93" s="35" t="s">
        <v>236</v>
      </c>
      <c r="L93" s="35">
        <v>1.61</v>
      </c>
      <c r="M93" s="35">
        <v>192</v>
      </c>
      <c r="N93" s="33">
        <v>0</v>
      </c>
      <c r="O93" s="28">
        <v>0</v>
      </c>
      <c r="P93" s="9">
        <v>0</v>
      </c>
      <c r="Q93" s="9">
        <v>0</v>
      </c>
      <c r="R93" s="29">
        <v>0</v>
      </c>
      <c r="S93" s="15">
        <v>0</v>
      </c>
      <c r="T93" s="7">
        <v>0</v>
      </c>
      <c r="U93" s="7">
        <v>0</v>
      </c>
      <c r="V93" s="16">
        <v>0</v>
      </c>
      <c r="W93" s="17">
        <v>0</v>
      </c>
      <c r="X93" s="18">
        <v>0</v>
      </c>
      <c r="Y93" s="19">
        <v>0</v>
      </c>
      <c r="Z93" s="18">
        <v>0</v>
      </c>
    </row>
    <row r="94" spans="1:26" x14ac:dyDescent="0.25">
      <c r="A94" s="8">
        <v>90</v>
      </c>
      <c r="B94" s="5" t="s">
        <v>204</v>
      </c>
      <c r="C94" s="14" t="s">
        <v>205</v>
      </c>
      <c r="D94" s="31" t="s">
        <v>67</v>
      </c>
      <c r="E94" s="6" t="s">
        <v>46</v>
      </c>
      <c r="F94" s="6" t="s">
        <v>46</v>
      </c>
      <c r="G94" s="6">
        <v>10</v>
      </c>
      <c r="H94" s="6">
        <v>0</v>
      </c>
      <c r="I94" s="6" t="s">
        <v>35</v>
      </c>
      <c r="J94" s="6">
        <v>2.5</v>
      </c>
      <c r="K94" s="35" t="s">
        <v>235</v>
      </c>
      <c r="L94" s="35">
        <v>2.88</v>
      </c>
      <c r="M94" s="35">
        <v>164</v>
      </c>
      <c r="N94" s="33">
        <v>12</v>
      </c>
      <c r="O94" s="28">
        <v>1</v>
      </c>
      <c r="P94" s="9">
        <v>160</v>
      </c>
      <c r="Q94" s="9">
        <v>0</v>
      </c>
      <c r="R94" s="29">
        <v>0</v>
      </c>
      <c r="S94" s="15">
        <v>1</v>
      </c>
      <c r="T94" s="7">
        <v>167</v>
      </c>
      <c r="U94" s="7">
        <v>0</v>
      </c>
      <c r="V94" s="16">
        <v>0</v>
      </c>
      <c r="W94" s="17">
        <v>2</v>
      </c>
      <c r="X94" s="18">
        <v>327</v>
      </c>
      <c r="Y94" s="19">
        <v>0</v>
      </c>
      <c r="Z94" s="18">
        <v>0</v>
      </c>
    </row>
    <row r="95" spans="1:26" x14ac:dyDescent="0.25">
      <c r="A95" s="8">
        <v>91</v>
      </c>
      <c r="B95" s="5" t="s">
        <v>206</v>
      </c>
      <c r="C95" s="14" t="s">
        <v>207</v>
      </c>
      <c r="D95" s="31" t="s">
        <v>84</v>
      </c>
      <c r="E95" s="6" t="s">
        <v>208</v>
      </c>
      <c r="F95" s="6" t="s">
        <v>208</v>
      </c>
      <c r="G95" s="6">
        <v>12.7</v>
      </c>
      <c r="H95" s="6">
        <v>0</v>
      </c>
      <c r="I95" s="6" t="s">
        <v>35</v>
      </c>
      <c r="J95" s="6">
        <v>2.5</v>
      </c>
      <c r="K95" s="35" t="s">
        <v>242</v>
      </c>
      <c r="L95" s="35">
        <v>12.97</v>
      </c>
      <c r="M95" s="35">
        <v>55</v>
      </c>
      <c r="N95" s="33">
        <v>0</v>
      </c>
      <c r="O95" s="28">
        <v>0</v>
      </c>
      <c r="P95" s="9">
        <v>0</v>
      </c>
      <c r="Q95" s="9">
        <v>0</v>
      </c>
      <c r="R95" s="29">
        <v>0</v>
      </c>
      <c r="S95" s="15">
        <v>0</v>
      </c>
      <c r="T95" s="7">
        <v>0</v>
      </c>
      <c r="U95" s="7">
        <v>0</v>
      </c>
      <c r="V95" s="16">
        <v>0</v>
      </c>
      <c r="W95" s="17">
        <v>0</v>
      </c>
      <c r="X95" s="18">
        <v>0</v>
      </c>
      <c r="Y95" s="19">
        <v>0</v>
      </c>
      <c r="Z95" s="18">
        <v>0</v>
      </c>
    </row>
    <row r="96" spans="1:26" x14ac:dyDescent="0.25">
      <c r="A96" s="8">
        <v>92</v>
      </c>
      <c r="B96" s="5" t="s">
        <v>209</v>
      </c>
      <c r="C96" s="14" t="s">
        <v>210</v>
      </c>
      <c r="D96" s="31" t="s">
        <v>33</v>
      </c>
      <c r="E96" s="6" t="s">
        <v>34</v>
      </c>
      <c r="F96" s="6" t="s">
        <v>34</v>
      </c>
      <c r="G96" s="6">
        <v>19.100000000000001</v>
      </c>
      <c r="H96" s="6">
        <v>0</v>
      </c>
      <c r="I96" s="6" t="s">
        <v>35</v>
      </c>
      <c r="J96" s="6">
        <v>3</v>
      </c>
      <c r="K96" s="35" t="s">
        <v>229</v>
      </c>
      <c r="L96" s="35">
        <v>1.52</v>
      </c>
      <c r="M96" s="35">
        <v>392</v>
      </c>
      <c r="N96" s="33">
        <v>0</v>
      </c>
      <c r="O96" s="28">
        <v>0</v>
      </c>
      <c r="P96" s="9">
        <v>0</v>
      </c>
      <c r="Q96" s="9">
        <v>0</v>
      </c>
      <c r="R96" s="29">
        <v>0</v>
      </c>
      <c r="S96" s="15">
        <v>0</v>
      </c>
      <c r="T96" s="7">
        <v>0</v>
      </c>
      <c r="U96" s="7">
        <v>0</v>
      </c>
      <c r="V96" s="16">
        <v>0</v>
      </c>
      <c r="W96" s="17">
        <v>0</v>
      </c>
      <c r="X96" s="18">
        <v>0</v>
      </c>
      <c r="Y96" s="19">
        <v>0</v>
      </c>
      <c r="Z96" s="18">
        <v>0</v>
      </c>
    </row>
    <row r="97" spans="1:26" x14ac:dyDescent="0.25">
      <c r="A97" s="8">
        <v>93</v>
      </c>
      <c r="B97" s="5" t="s">
        <v>211</v>
      </c>
      <c r="C97" s="14" t="s">
        <v>212</v>
      </c>
      <c r="D97" s="31" t="s">
        <v>213</v>
      </c>
      <c r="E97" s="6" t="s">
        <v>39</v>
      </c>
      <c r="F97" s="6" t="s">
        <v>39</v>
      </c>
      <c r="G97" s="6">
        <v>14</v>
      </c>
      <c r="H97" s="6">
        <v>0</v>
      </c>
      <c r="I97" s="6" t="s">
        <v>35</v>
      </c>
      <c r="J97" s="6">
        <v>3</v>
      </c>
      <c r="K97" s="35" t="s">
        <v>228</v>
      </c>
      <c r="L97" s="35">
        <v>0.30599999999999999</v>
      </c>
      <c r="M97" s="35">
        <v>335</v>
      </c>
      <c r="N97" s="33">
        <v>4</v>
      </c>
      <c r="O97" s="28">
        <v>1</v>
      </c>
      <c r="P97" s="9">
        <v>0</v>
      </c>
      <c r="Q97" s="9">
        <v>26</v>
      </c>
      <c r="R97" s="29">
        <v>0</v>
      </c>
      <c r="S97" s="15">
        <v>0</v>
      </c>
      <c r="T97" s="7">
        <v>0</v>
      </c>
      <c r="U97" s="7">
        <v>0</v>
      </c>
      <c r="V97" s="16">
        <v>0</v>
      </c>
      <c r="W97" s="17">
        <v>1</v>
      </c>
      <c r="X97" s="18">
        <v>0</v>
      </c>
      <c r="Y97" s="19">
        <v>26</v>
      </c>
      <c r="Z97" s="18">
        <v>0</v>
      </c>
    </row>
    <row r="98" spans="1:26" x14ac:dyDescent="0.25">
      <c r="A98" s="8">
        <v>94</v>
      </c>
      <c r="B98" s="5" t="s">
        <v>214</v>
      </c>
      <c r="C98" s="14" t="s">
        <v>215</v>
      </c>
      <c r="D98" s="31" t="s">
        <v>48</v>
      </c>
      <c r="E98" s="6" t="s">
        <v>138</v>
      </c>
      <c r="F98" s="6" t="s">
        <v>138</v>
      </c>
      <c r="G98" s="6">
        <v>6</v>
      </c>
      <c r="H98" s="6">
        <v>0</v>
      </c>
      <c r="I98" s="6" t="s">
        <v>35</v>
      </c>
      <c r="J98" s="6">
        <v>3</v>
      </c>
      <c r="K98" s="35" t="s">
        <v>240</v>
      </c>
      <c r="L98" s="35">
        <v>0.45200000000000001</v>
      </c>
      <c r="M98" s="35">
        <v>300</v>
      </c>
      <c r="N98" s="33">
        <v>7</v>
      </c>
      <c r="O98" s="28">
        <v>1</v>
      </c>
      <c r="P98" s="9">
        <v>314</v>
      </c>
      <c r="Q98" s="9">
        <v>0</v>
      </c>
      <c r="R98" s="29">
        <v>0</v>
      </c>
      <c r="S98" s="15">
        <v>1</v>
      </c>
      <c r="T98" s="7">
        <v>265</v>
      </c>
      <c r="U98" s="7">
        <v>0</v>
      </c>
      <c r="V98" s="16">
        <v>0</v>
      </c>
      <c r="W98" s="17">
        <v>2</v>
      </c>
      <c r="X98" s="18">
        <v>579</v>
      </c>
      <c r="Y98" s="19">
        <v>0</v>
      </c>
      <c r="Z98" s="18">
        <v>0</v>
      </c>
    </row>
    <row r="99" spans="1:26" x14ac:dyDescent="0.25">
      <c r="A99" s="8">
        <v>95</v>
      </c>
      <c r="B99" s="5" t="s">
        <v>216</v>
      </c>
      <c r="C99" s="14" t="s">
        <v>217</v>
      </c>
      <c r="D99" s="31" t="s">
        <v>33</v>
      </c>
      <c r="E99" s="6" t="s">
        <v>34</v>
      </c>
      <c r="F99" s="6" t="s">
        <v>34</v>
      </c>
      <c r="G99" s="6">
        <v>19.100000000000001</v>
      </c>
      <c r="H99" s="6">
        <v>0</v>
      </c>
      <c r="I99" s="6" t="s">
        <v>35</v>
      </c>
      <c r="J99" s="6">
        <v>3</v>
      </c>
      <c r="K99" s="35" t="s">
        <v>229</v>
      </c>
      <c r="L99" s="35">
        <v>1.71</v>
      </c>
      <c r="M99" s="35">
        <v>112</v>
      </c>
      <c r="N99" s="33">
        <v>0</v>
      </c>
      <c r="O99" s="28">
        <v>0</v>
      </c>
      <c r="P99" s="9">
        <v>0</v>
      </c>
      <c r="Q99" s="9">
        <v>0</v>
      </c>
      <c r="R99" s="29">
        <v>0</v>
      </c>
      <c r="S99" s="15">
        <v>0</v>
      </c>
      <c r="T99" s="7">
        <v>0</v>
      </c>
      <c r="U99" s="7">
        <v>0</v>
      </c>
      <c r="V99" s="16">
        <v>0</v>
      </c>
      <c r="W99" s="17">
        <v>0</v>
      </c>
      <c r="X99" s="18">
        <v>0</v>
      </c>
      <c r="Y99" s="19">
        <v>0</v>
      </c>
      <c r="Z99" s="18">
        <v>0</v>
      </c>
    </row>
    <row r="100" spans="1:26" x14ac:dyDescent="0.25">
      <c r="A100" s="8">
        <v>96</v>
      </c>
      <c r="B100" s="5" t="s">
        <v>218</v>
      </c>
      <c r="C100" s="14" t="s">
        <v>219</v>
      </c>
      <c r="D100" s="31" t="s">
        <v>84</v>
      </c>
      <c r="E100" s="6" t="s">
        <v>46</v>
      </c>
      <c r="F100" s="6" t="s">
        <v>46</v>
      </c>
      <c r="G100" s="6">
        <v>8</v>
      </c>
      <c r="H100" s="6">
        <v>0</v>
      </c>
      <c r="I100" s="6" t="s">
        <v>85</v>
      </c>
      <c r="J100" s="6">
        <v>3</v>
      </c>
      <c r="K100" s="35" t="s">
        <v>235</v>
      </c>
      <c r="L100" s="35">
        <v>0.71</v>
      </c>
      <c r="M100" s="35">
        <v>159</v>
      </c>
      <c r="N100" s="33">
        <v>12</v>
      </c>
      <c r="O100" s="28">
        <v>1</v>
      </c>
      <c r="P100" s="9">
        <v>163</v>
      </c>
      <c r="Q100" s="9">
        <v>0</v>
      </c>
      <c r="R100" s="29">
        <v>0</v>
      </c>
      <c r="S100" s="15">
        <v>1</v>
      </c>
      <c r="T100" s="7">
        <v>146</v>
      </c>
      <c r="U100" s="7">
        <v>0</v>
      </c>
      <c r="V100" s="16">
        <v>0</v>
      </c>
      <c r="W100" s="17">
        <v>2</v>
      </c>
      <c r="X100" s="18">
        <v>309</v>
      </c>
      <c r="Y100" s="19">
        <v>0</v>
      </c>
      <c r="Z100" s="18">
        <v>0</v>
      </c>
    </row>
    <row r="101" spans="1:26" x14ac:dyDescent="0.25">
      <c r="A101" s="8">
        <v>97</v>
      </c>
      <c r="B101" s="5" t="s">
        <v>220</v>
      </c>
      <c r="C101" s="14" t="s">
        <v>221</v>
      </c>
      <c r="D101" s="31" t="s">
        <v>67</v>
      </c>
      <c r="E101" s="6" t="s">
        <v>68</v>
      </c>
      <c r="F101" s="6" t="s">
        <v>68</v>
      </c>
      <c r="G101" s="6">
        <v>6</v>
      </c>
      <c r="H101" s="6">
        <v>0</v>
      </c>
      <c r="I101" s="6" t="s">
        <v>35</v>
      </c>
      <c r="J101" s="6">
        <v>3</v>
      </c>
      <c r="K101" s="35" t="s">
        <v>228</v>
      </c>
      <c r="L101" s="35">
        <v>3.0150000000000001</v>
      </c>
      <c r="M101" s="35">
        <v>60</v>
      </c>
      <c r="N101" s="33">
        <v>0</v>
      </c>
      <c r="O101" s="28">
        <v>0</v>
      </c>
      <c r="P101" s="9">
        <v>0</v>
      </c>
      <c r="Q101" s="9">
        <v>0</v>
      </c>
      <c r="R101" s="29">
        <v>0</v>
      </c>
      <c r="S101" s="15">
        <v>0</v>
      </c>
      <c r="T101" s="7">
        <v>0</v>
      </c>
      <c r="U101" s="7">
        <v>0</v>
      </c>
      <c r="V101" s="16">
        <v>0</v>
      </c>
      <c r="W101" s="17">
        <v>0</v>
      </c>
      <c r="X101" s="18">
        <v>0</v>
      </c>
      <c r="Y101" s="19">
        <v>0</v>
      </c>
      <c r="Z101" s="18">
        <v>0</v>
      </c>
    </row>
    <row r="102" spans="1:26" x14ac:dyDescent="0.25">
      <c r="A102" s="8">
        <v>98</v>
      </c>
      <c r="B102" s="5" t="s">
        <v>222</v>
      </c>
      <c r="C102" s="14" t="s">
        <v>223</v>
      </c>
      <c r="D102" s="31" t="s">
        <v>33</v>
      </c>
      <c r="E102" s="6" t="s">
        <v>34</v>
      </c>
      <c r="F102" s="6" t="s">
        <v>34</v>
      </c>
      <c r="G102" s="6">
        <v>20</v>
      </c>
      <c r="H102" s="6">
        <v>0</v>
      </c>
      <c r="I102" s="6" t="s">
        <v>35</v>
      </c>
      <c r="J102" s="6">
        <v>3</v>
      </c>
      <c r="K102" s="35" t="s">
        <v>228</v>
      </c>
      <c r="L102" s="35">
        <v>0.87</v>
      </c>
      <c r="M102" s="35">
        <v>500</v>
      </c>
      <c r="N102" s="33">
        <v>0</v>
      </c>
      <c r="O102" s="28">
        <v>0</v>
      </c>
      <c r="P102" s="9">
        <v>0</v>
      </c>
      <c r="Q102" s="9">
        <v>0</v>
      </c>
      <c r="R102" s="29">
        <v>0</v>
      </c>
      <c r="S102" s="15">
        <v>0</v>
      </c>
      <c r="T102" s="7">
        <v>0</v>
      </c>
      <c r="U102" s="7">
        <v>0</v>
      </c>
      <c r="V102" s="16">
        <v>0</v>
      </c>
      <c r="W102" s="17">
        <v>0</v>
      </c>
      <c r="X102" s="18">
        <v>0</v>
      </c>
      <c r="Y102" s="19">
        <v>0</v>
      </c>
      <c r="Z102" s="18">
        <v>0</v>
      </c>
    </row>
    <row r="103" spans="1:26" x14ac:dyDescent="0.25">
      <c r="A103" s="8">
        <v>99</v>
      </c>
      <c r="B103" s="5" t="s">
        <v>224</v>
      </c>
      <c r="C103" s="14" t="s">
        <v>131</v>
      </c>
      <c r="D103" s="31" t="s">
        <v>48</v>
      </c>
      <c r="E103" s="6" t="s">
        <v>138</v>
      </c>
      <c r="F103" s="6" t="s">
        <v>138</v>
      </c>
      <c r="G103" s="6">
        <v>7</v>
      </c>
      <c r="H103" s="6">
        <v>0</v>
      </c>
      <c r="I103" s="6" t="s">
        <v>35</v>
      </c>
      <c r="J103" s="6">
        <v>3</v>
      </c>
      <c r="K103" s="35" t="s">
        <v>240</v>
      </c>
      <c r="L103" s="35">
        <v>0.45</v>
      </c>
      <c r="M103" s="35">
        <v>560</v>
      </c>
      <c r="N103" s="33">
        <v>0</v>
      </c>
      <c r="O103" s="28">
        <v>0</v>
      </c>
      <c r="P103" s="9">
        <v>0</v>
      </c>
      <c r="Q103" s="9">
        <v>0</v>
      </c>
      <c r="R103" s="29">
        <v>0</v>
      </c>
      <c r="S103" s="15">
        <v>0</v>
      </c>
      <c r="T103" s="7">
        <v>0</v>
      </c>
      <c r="U103" s="7">
        <v>0</v>
      </c>
      <c r="V103" s="16">
        <v>0</v>
      </c>
      <c r="W103" s="17" t="s">
        <v>225</v>
      </c>
      <c r="X103" s="18" t="s">
        <v>225</v>
      </c>
      <c r="Y103" s="19" t="s">
        <v>225</v>
      </c>
      <c r="Z103" s="18" t="s">
        <v>225</v>
      </c>
    </row>
    <row r="104" spans="1:26" x14ac:dyDescent="0.25">
      <c r="A104" s="8" t="s">
        <v>225</v>
      </c>
      <c r="B104" s="5" t="s">
        <v>225</v>
      </c>
      <c r="C104" s="14" t="s">
        <v>225</v>
      </c>
      <c r="D104" s="31" t="s">
        <v>225</v>
      </c>
      <c r="E104" s="6" t="s">
        <v>225</v>
      </c>
      <c r="F104" s="6" t="s">
        <v>225</v>
      </c>
      <c r="G104" s="6" t="s">
        <v>225</v>
      </c>
      <c r="H104" s="6" t="s">
        <v>225</v>
      </c>
      <c r="I104" s="6" t="s">
        <v>225</v>
      </c>
      <c r="J104" s="6" t="s">
        <v>225</v>
      </c>
      <c r="K104" s="35" t="s">
        <v>225</v>
      </c>
      <c r="L104" s="35" t="s">
        <v>225</v>
      </c>
      <c r="M104" s="35" t="s">
        <v>225</v>
      </c>
      <c r="N104" s="33" t="s">
        <v>225</v>
      </c>
      <c r="O104" s="28" t="s">
        <v>225</v>
      </c>
      <c r="P104" s="9" t="s">
        <v>225</v>
      </c>
      <c r="Q104" s="9" t="s">
        <v>225</v>
      </c>
      <c r="R104" s="29" t="s">
        <v>225</v>
      </c>
      <c r="S104" s="15" t="s">
        <v>225</v>
      </c>
      <c r="T104" s="7" t="s">
        <v>225</v>
      </c>
      <c r="U104" s="7" t="s">
        <v>225</v>
      </c>
      <c r="V104" s="16" t="s">
        <v>225</v>
      </c>
      <c r="W104" s="17" t="s">
        <v>225</v>
      </c>
      <c r="X104" s="18" t="s">
        <v>225</v>
      </c>
      <c r="Y104" s="19" t="s">
        <v>225</v>
      </c>
      <c r="Z104" s="18" t="s">
        <v>225</v>
      </c>
    </row>
    <row r="105" spans="1:26" x14ac:dyDescent="0.25">
      <c r="A105" s="8" t="s">
        <v>225</v>
      </c>
      <c r="B105" s="5" t="s">
        <v>225</v>
      </c>
      <c r="C105" s="14" t="s">
        <v>225</v>
      </c>
      <c r="D105" s="31" t="s">
        <v>225</v>
      </c>
      <c r="E105" s="6" t="s">
        <v>225</v>
      </c>
      <c r="F105" s="6" t="s">
        <v>225</v>
      </c>
      <c r="G105" s="6" t="s">
        <v>225</v>
      </c>
      <c r="H105" s="6" t="s">
        <v>225</v>
      </c>
      <c r="I105" s="6" t="s">
        <v>225</v>
      </c>
      <c r="J105" s="6" t="s">
        <v>225</v>
      </c>
      <c r="K105" s="35" t="s">
        <v>225</v>
      </c>
      <c r="L105" s="35" t="s">
        <v>225</v>
      </c>
      <c r="M105" s="35" t="s">
        <v>225</v>
      </c>
      <c r="N105" s="33" t="s">
        <v>225</v>
      </c>
      <c r="O105" s="28" t="s">
        <v>225</v>
      </c>
      <c r="P105" s="9" t="s">
        <v>225</v>
      </c>
      <c r="Q105" s="9" t="s">
        <v>225</v>
      </c>
      <c r="R105" s="29" t="s">
        <v>225</v>
      </c>
      <c r="S105" s="15" t="s">
        <v>225</v>
      </c>
      <c r="T105" s="7" t="s">
        <v>225</v>
      </c>
      <c r="U105" s="7" t="s">
        <v>225</v>
      </c>
      <c r="V105" s="16" t="s">
        <v>225</v>
      </c>
      <c r="W105" s="17" t="s">
        <v>225</v>
      </c>
      <c r="X105" s="18" t="s">
        <v>225</v>
      </c>
      <c r="Y105" s="19" t="s">
        <v>225</v>
      </c>
      <c r="Z105" s="18" t="s">
        <v>225</v>
      </c>
    </row>
    <row r="106" spans="1:26" x14ac:dyDescent="0.25">
      <c r="A106" s="8" t="s">
        <v>225</v>
      </c>
      <c r="B106" s="5" t="s">
        <v>225</v>
      </c>
      <c r="C106" s="14" t="s">
        <v>225</v>
      </c>
      <c r="D106" s="31" t="s">
        <v>225</v>
      </c>
      <c r="E106" s="6" t="s">
        <v>225</v>
      </c>
      <c r="F106" s="6" t="s">
        <v>225</v>
      </c>
      <c r="G106" s="6" t="s">
        <v>225</v>
      </c>
      <c r="H106" s="6" t="s">
        <v>225</v>
      </c>
      <c r="I106" s="6" t="s">
        <v>225</v>
      </c>
      <c r="J106" s="6" t="s">
        <v>225</v>
      </c>
      <c r="K106" s="35" t="s">
        <v>225</v>
      </c>
      <c r="L106" s="35" t="s">
        <v>225</v>
      </c>
      <c r="M106" s="35" t="s">
        <v>225</v>
      </c>
      <c r="N106" s="33" t="s">
        <v>225</v>
      </c>
      <c r="O106" s="28" t="s">
        <v>225</v>
      </c>
      <c r="P106" s="9" t="s">
        <v>225</v>
      </c>
      <c r="Q106" s="9" t="s">
        <v>225</v>
      </c>
      <c r="R106" s="29" t="s">
        <v>225</v>
      </c>
      <c r="S106" s="15" t="s">
        <v>225</v>
      </c>
      <c r="T106" s="7" t="s">
        <v>225</v>
      </c>
      <c r="U106" s="7" t="s">
        <v>225</v>
      </c>
      <c r="V106" s="16" t="s">
        <v>225</v>
      </c>
      <c r="W106" s="17" t="s">
        <v>225</v>
      </c>
      <c r="X106" s="18" t="s">
        <v>225</v>
      </c>
      <c r="Y106" s="19" t="s">
        <v>225</v>
      </c>
      <c r="Z106" s="18" t="s">
        <v>225</v>
      </c>
    </row>
    <row r="107" spans="1:26" x14ac:dyDescent="0.25">
      <c r="A107" s="8" t="s">
        <v>225</v>
      </c>
      <c r="B107" s="5" t="s">
        <v>225</v>
      </c>
      <c r="C107" s="14" t="s">
        <v>225</v>
      </c>
      <c r="D107" s="31" t="s">
        <v>225</v>
      </c>
      <c r="E107" s="6" t="s">
        <v>225</v>
      </c>
      <c r="F107" s="6" t="s">
        <v>225</v>
      </c>
      <c r="G107" s="6" t="s">
        <v>225</v>
      </c>
      <c r="H107" s="6" t="s">
        <v>225</v>
      </c>
      <c r="I107" s="6" t="s">
        <v>225</v>
      </c>
      <c r="J107" s="6" t="s">
        <v>225</v>
      </c>
      <c r="K107" s="35" t="s">
        <v>225</v>
      </c>
      <c r="L107" s="35" t="s">
        <v>225</v>
      </c>
      <c r="M107" s="35" t="s">
        <v>225</v>
      </c>
      <c r="N107" s="33" t="s">
        <v>225</v>
      </c>
      <c r="O107" s="28" t="s">
        <v>225</v>
      </c>
      <c r="P107" s="9" t="s">
        <v>225</v>
      </c>
      <c r="Q107" s="9" t="s">
        <v>225</v>
      </c>
      <c r="R107" s="29" t="s">
        <v>225</v>
      </c>
      <c r="S107" s="15" t="s">
        <v>225</v>
      </c>
      <c r="T107" s="7" t="s">
        <v>225</v>
      </c>
      <c r="U107" s="7" t="s">
        <v>225</v>
      </c>
      <c r="V107" s="16" t="s">
        <v>225</v>
      </c>
      <c r="W107" s="17" t="s">
        <v>225</v>
      </c>
      <c r="X107" s="18" t="s">
        <v>225</v>
      </c>
      <c r="Y107" s="19" t="s">
        <v>225</v>
      </c>
      <c r="Z107" s="18" t="s">
        <v>225</v>
      </c>
    </row>
    <row r="108" spans="1:26" x14ac:dyDescent="0.25">
      <c r="A108" s="8" t="s">
        <v>225</v>
      </c>
      <c r="B108" s="5" t="s">
        <v>225</v>
      </c>
      <c r="C108" s="14" t="s">
        <v>225</v>
      </c>
      <c r="D108" s="31" t="s">
        <v>225</v>
      </c>
      <c r="E108" s="6" t="s">
        <v>225</v>
      </c>
      <c r="F108" s="6" t="s">
        <v>225</v>
      </c>
      <c r="G108" s="6" t="s">
        <v>225</v>
      </c>
      <c r="H108" s="6" t="s">
        <v>225</v>
      </c>
      <c r="I108" s="6" t="s">
        <v>225</v>
      </c>
      <c r="J108" s="6" t="s">
        <v>225</v>
      </c>
      <c r="K108" s="35" t="s">
        <v>225</v>
      </c>
      <c r="L108" s="35" t="s">
        <v>225</v>
      </c>
      <c r="M108" s="35" t="s">
        <v>225</v>
      </c>
      <c r="N108" s="33" t="s">
        <v>225</v>
      </c>
      <c r="O108" s="28" t="s">
        <v>225</v>
      </c>
      <c r="P108" s="9" t="s">
        <v>225</v>
      </c>
      <c r="Q108" s="9" t="s">
        <v>225</v>
      </c>
      <c r="R108" s="29" t="s">
        <v>225</v>
      </c>
      <c r="S108" s="15" t="s">
        <v>225</v>
      </c>
      <c r="T108" s="7" t="s">
        <v>225</v>
      </c>
      <c r="U108" s="7" t="s">
        <v>225</v>
      </c>
      <c r="V108" s="16" t="s">
        <v>225</v>
      </c>
      <c r="W108" s="17" t="s">
        <v>225</v>
      </c>
      <c r="X108" s="18" t="s">
        <v>225</v>
      </c>
      <c r="Y108" s="19" t="s">
        <v>225</v>
      </c>
      <c r="Z108" s="18" t="s">
        <v>225</v>
      </c>
    </row>
    <row r="109" spans="1:26" x14ac:dyDescent="0.25">
      <c r="A109" s="8" t="s">
        <v>225</v>
      </c>
      <c r="B109" s="5" t="s">
        <v>225</v>
      </c>
      <c r="C109" s="14" t="s">
        <v>225</v>
      </c>
      <c r="D109" s="31" t="s">
        <v>225</v>
      </c>
      <c r="E109" s="6" t="s">
        <v>225</v>
      </c>
      <c r="F109" s="6" t="s">
        <v>225</v>
      </c>
      <c r="G109" s="6" t="s">
        <v>225</v>
      </c>
      <c r="H109" s="6" t="s">
        <v>225</v>
      </c>
      <c r="I109" s="6" t="s">
        <v>225</v>
      </c>
      <c r="J109" s="6" t="s">
        <v>225</v>
      </c>
      <c r="K109" s="35" t="s">
        <v>225</v>
      </c>
      <c r="L109" s="35" t="s">
        <v>225</v>
      </c>
      <c r="M109" s="35" t="s">
        <v>225</v>
      </c>
      <c r="N109" s="33" t="s">
        <v>225</v>
      </c>
      <c r="O109" s="28" t="s">
        <v>225</v>
      </c>
      <c r="P109" s="9" t="s">
        <v>225</v>
      </c>
      <c r="Q109" s="9" t="s">
        <v>225</v>
      </c>
      <c r="R109" s="29" t="s">
        <v>225</v>
      </c>
      <c r="S109" s="15" t="s">
        <v>225</v>
      </c>
      <c r="T109" s="7" t="s">
        <v>225</v>
      </c>
      <c r="U109" s="7" t="s">
        <v>225</v>
      </c>
      <c r="V109" s="16" t="s">
        <v>225</v>
      </c>
      <c r="W109" s="17" t="s">
        <v>225</v>
      </c>
      <c r="X109" s="18" t="s">
        <v>225</v>
      </c>
      <c r="Y109" s="19" t="s">
        <v>225</v>
      </c>
      <c r="Z109" s="18" t="s">
        <v>225</v>
      </c>
    </row>
    <row r="110" spans="1:26" x14ac:dyDescent="0.25">
      <c r="A110" s="8" t="s">
        <v>225</v>
      </c>
      <c r="B110" s="5" t="s">
        <v>225</v>
      </c>
      <c r="C110" s="14" t="s">
        <v>225</v>
      </c>
      <c r="D110" s="31" t="s">
        <v>225</v>
      </c>
      <c r="E110" s="6" t="s">
        <v>225</v>
      </c>
      <c r="F110" s="6" t="s">
        <v>225</v>
      </c>
      <c r="G110" s="6" t="s">
        <v>225</v>
      </c>
      <c r="H110" s="6" t="s">
        <v>225</v>
      </c>
      <c r="I110" s="6" t="s">
        <v>225</v>
      </c>
      <c r="J110" s="6" t="s">
        <v>225</v>
      </c>
      <c r="K110" s="35" t="s">
        <v>225</v>
      </c>
      <c r="L110" s="35" t="s">
        <v>225</v>
      </c>
      <c r="M110" s="35" t="s">
        <v>225</v>
      </c>
      <c r="N110" s="33" t="s">
        <v>225</v>
      </c>
      <c r="O110" s="28" t="s">
        <v>225</v>
      </c>
      <c r="P110" s="9" t="s">
        <v>225</v>
      </c>
      <c r="Q110" s="9" t="s">
        <v>225</v>
      </c>
      <c r="R110" s="29" t="s">
        <v>225</v>
      </c>
      <c r="S110" s="15" t="s">
        <v>225</v>
      </c>
      <c r="T110" s="7" t="s">
        <v>225</v>
      </c>
      <c r="U110" s="7" t="s">
        <v>225</v>
      </c>
      <c r="V110" s="16" t="s">
        <v>225</v>
      </c>
      <c r="W110" s="17" t="s">
        <v>225</v>
      </c>
      <c r="X110" s="18" t="s">
        <v>225</v>
      </c>
      <c r="Y110" s="19" t="s">
        <v>225</v>
      </c>
      <c r="Z110" s="18" t="s">
        <v>225</v>
      </c>
    </row>
    <row r="111" spans="1:26" x14ac:dyDescent="0.25">
      <c r="A111" s="8" t="s">
        <v>225</v>
      </c>
      <c r="B111" s="5" t="s">
        <v>225</v>
      </c>
      <c r="C111" s="14" t="s">
        <v>225</v>
      </c>
      <c r="D111" s="31" t="s">
        <v>225</v>
      </c>
      <c r="E111" s="6" t="s">
        <v>225</v>
      </c>
      <c r="F111" s="6" t="s">
        <v>225</v>
      </c>
      <c r="G111" s="6" t="s">
        <v>225</v>
      </c>
      <c r="H111" s="6" t="s">
        <v>225</v>
      </c>
      <c r="I111" s="6" t="s">
        <v>225</v>
      </c>
      <c r="J111" s="6" t="s">
        <v>225</v>
      </c>
      <c r="K111" s="35" t="s">
        <v>225</v>
      </c>
      <c r="L111" s="35" t="s">
        <v>225</v>
      </c>
      <c r="M111" s="35" t="s">
        <v>225</v>
      </c>
      <c r="N111" s="33" t="s">
        <v>225</v>
      </c>
      <c r="O111" s="28" t="s">
        <v>225</v>
      </c>
      <c r="P111" s="9" t="s">
        <v>225</v>
      </c>
      <c r="Q111" s="9" t="s">
        <v>225</v>
      </c>
      <c r="R111" s="29" t="s">
        <v>225</v>
      </c>
      <c r="S111" s="15" t="s">
        <v>225</v>
      </c>
      <c r="T111" s="7" t="s">
        <v>225</v>
      </c>
      <c r="U111" s="7" t="s">
        <v>225</v>
      </c>
      <c r="V111" s="16" t="s">
        <v>225</v>
      </c>
      <c r="W111" s="17" t="s">
        <v>225</v>
      </c>
      <c r="X111" s="18" t="s">
        <v>225</v>
      </c>
      <c r="Y111" s="19" t="s">
        <v>225</v>
      </c>
      <c r="Z111" s="18" t="s">
        <v>225</v>
      </c>
    </row>
    <row r="112" spans="1:26" x14ac:dyDescent="0.25">
      <c r="A112" s="8" t="s">
        <v>225</v>
      </c>
      <c r="B112" s="5" t="s">
        <v>225</v>
      </c>
      <c r="C112" s="14" t="s">
        <v>225</v>
      </c>
      <c r="D112" s="31" t="s">
        <v>225</v>
      </c>
      <c r="E112" s="6" t="s">
        <v>225</v>
      </c>
      <c r="F112" s="6" t="s">
        <v>225</v>
      </c>
      <c r="G112" s="6" t="s">
        <v>225</v>
      </c>
      <c r="H112" s="6" t="s">
        <v>225</v>
      </c>
      <c r="I112" s="6" t="s">
        <v>225</v>
      </c>
      <c r="J112" s="6" t="s">
        <v>225</v>
      </c>
      <c r="K112" s="35" t="s">
        <v>225</v>
      </c>
      <c r="L112" s="35" t="s">
        <v>225</v>
      </c>
      <c r="M112" s="35" t="s">
        <v>225</v>
      </c>
      <c r="N112" s="33" t="s">
        <v>225</v>
      </c>
      <c r="O112" s="28" t="s">
        <v>225</v>
      </c>
      <c r="P112" s="9" t="s">
        <v>225</v>
      </c>
      <c r="Q112" s="9" t="s">
        <v>225</v>
      </c>
      <c r="R112" s="29" t="s">
        <v>225</v>
      </c>
      <c r="S112" s="15" t="s">
        <v>225</v>
      </c>
      <c r="T112" s="7" t="s">
        <v>225</v>
      </c>
      <c r="U112" s="7" t="s">
        <v>225</v>
      </c>
      <c r="V112" s="16" t="s">
        <v>225</v>
      </c>
      <c r="W112" s="17" t="s">
        <v>225</v>
      </c>
      <c r="X112" s="18" t="s">
        <v>225</v>
      </c>
      <c r="Y112" s="19" t="s">
        <v>225</v>
      </c>
      <c r="Z112" s="18" t="s">
        <v>225</v>
      </c>
    </row>
    <row r="113" spans="1:26" x14ac:dyDescent="0.25">
      <c r="A113" s="8" t="s">
        <v>225</v>
      </c>
      <c r="B113" s="5" t="s">
        <v>225</v>
      </c>
      <c r="C113" s="14" t="s">
        <v>225</v>
      </c>
      <c r="D113" s="31" t="s">
        <v>225</v>
      </c>
      <c r="E113" s="6" t="s">
        <v>225</v>
      </c>
      <c r="F113" s="6" t="s">
        <v>225</v>
      </c>
      <c r="G113" s="6" t="s">
        <v>225</v>
      </c>
      <c r="H113" s="6" t="s">
        <v>225</v>
      </c>
      <c r="I113" s="6" t="s">
        <v>225</v>
      </c>
      <c r="J113" s="6" t="s">
        <v>225</v>
      </c>
      <c r="K113" s="35" t="s">
        <v>225</v>
      </c>
      <c r="L113" s="35" t="s">
        <v>225</v>
      </c>
      <c r="M113" s="35" t="s">
        <v>225</v>
      </c>
      <c r="N113" s="33" t="s">
        <v>225</v>
      </c>
      <c r="O113" s="28" t="s">
        <v>225</v>
      </c>
      <c r="P113" s="9" t="s">
        <v>225</v>
      </c>
      <c r="Q113" s="9" t="s">
        <v>225</v>
      </c>
      <c r="R113" s="29" t="s">
        <v>225</v>
      </c>
      <c r="S113" s="15" t="s">
        <v>225</v>
      </c>
      <c r="T113" s="7" t="s">
        <v>225</v>
      </c>
      <c r="U113" s="7" t="s">
        <v>225</v>
      </c>
      <c r="V113" s="16" t="s">
        <v>225</v>
      </c>
      <c r="W113" s="17" t="s">
        <v>225</v>
      </c>
      <c r="X113" s="18" t="s">
        <v>225</v>
      </c>
      <c r="Y113" s="19" t="s">
        <v>225</v>
      </c>
      <c r="Z113" s="18" t="s">
        <v>225</v>
      </c>
    </row>
    <row r="114" spans="1:26" x14ac:dyDescent="0.25">
      <c r="A114" s="8" t="s">
        <v>225</v>
      </c>
      <c r="B114" s="5" t="s">
        <v>225</v>
      </c>
      <c r="C114" s="14" t="s">
        <v>225</v>
      </c>
      <c r="D114" s="31" t="s">
        <v>225</v>
      </c>
      <c r="E114" s="6" t="s">
        <v>225</v>
      </c>
      <c r="F114" s="6" t="s">
        <v>225</v>
      </c>
      <c r="G114" s="6" t="s">
        <v>225</v>
      </c>
      <c r="H114" s="6" t="s">
        <v>225</v>
      </c>
      <c r="I114" s="6" t="s">
        <v>225</v>
      </c>
      <c r="J114" s="6" t="s">
        <v>225</v>
      </c>
      <c r="K114" s="35" t="s">
        <v>225</v>
      </c>
      <c r="L114" s="35" t="s">
        <v>225</v>
      </c>
      <c r="M114" s="35" t="s">
        <v>225</v>
      </c>
      <c r="N114" s="33" t="s">
        <v>225</v>
      </c>
      <c r="O114" s="28" t="s">
        <v>225</v>
      </c>
      <c r="P114" s="9" t="s">
        <v>225</v>
      </c>
      <c r="Q114" s="9" t="s">
        <v>225</v>
      </c>
      <c r="R114" s="29" t="s">
        <v>225</v>
      </c>
      <c r="S114" s="15" t="s">
        <v>225</v>
      </c>
      <c r="T114" s="7" t="s">
        <v>225</v>
      </c>
      <c r="U114" s="7" t="s">
        <v>225</v>
      </c>
      <c r="V114" s="16" t="s">
        <v>225</v>
      </c>
      <c r="W114" s="17" t="s">
        <v>225</v>
      </c>
      <c r="X114" s="18" t="s">
        <v>225</v>
      </c>
      <c r="Y114" s="19" t="s">
        <v>225</v>
      </c>
      <c r="Z114" s="18" t="s">
        <v>225</v>
      </c>
    </row>
    <row r="115" spans="1:26" x14ac:dyDescent="0.25">
      <c r="A115" s="8" t="s">
        <v>225</v>
      </c>
      <c r="B115" s="5" t="s">
        <v>225</v>
      </c>
      <c r="C115" s="14" t="s">
        <v>225</v>
      </c>
      <c r="D115" s="31" t="s">
        <v>225</v>
      </c>
      <c r="E115" s="6" t="s">
        <v>225</v>
      </c>
      <c r="F115" s="6" t="s">
        <v>225</v>
      </c>
      <c r="G115" s="6" t="s">
        <v>225</v>
      </c>
      <c r="H115" s="6" t="s">
        <v>225</v>
      </c>
      <c r="I115" s="6" t="s">
        <v>225</v>
      </c>
      <c r="J115" s="6" t="s">
        <v>225</v>
      </c>
      <c r="K115" s="35" t="s">
        <v>225</v>
      </c>
      <c r="L115" s="35" t="s">
        <v>225</v>
      </c>
      <c r="M115" s="35" t="s">
        <v>225</v>
      </c>
      <c r="N115" s="33" t="s">
        <v>225</v>
      </c>
      <c r="O115" s="28" t="s">
        <v>225</v>
      </c>
      <c r="P115" s="9" t="s">
        <v>225</v>
      </c>
      <c r="Q115" s="9" t="s">
        <v>225</v>
      </c>
      <c r="R115" s="29" t="s">
        <v>225</v>
      </c>
      <c r="S115" s="15" t="s">
        <v>225</v>
      </c>
      <c r="T115" s="7" t="s">
        <v>225</v>
      </c>
      <c r="U115" s="7" t="s">
        <v>225</v>
      </c>
      <c r="V115" s="16" t="s">
        <v>225</v>
      </c>
      <c r="W115" s="17" t="s">
        <v>225</v>
      </c>
      <c r="X115" s="18" t="s">
        <v>225</v>
      </c>
      <c r="Y115" s="19" t="s">
        <v>225</v>
      </c>
      <c r="Z115" s="18" t="s">
        <v>225</v>
      </c>
    </row>
    <row r="116" spans="1:26" x14ac:dyDescent="0.25">
      <c r="A116" s="8" t="s">
        <v>225</v>
      </c>
      <c r="B116" s="5" t="s">
        <v>225</v>
      </c>
      <c r="C116" s="14" t="s">
        <v>225</v>
      </c>
      <c r="D116" s="31" t="s">
        <v>225</v>
      </c>
      <c r="E116" s="6" t="s">
        <v>225</v>
      </c>
      <c r="F116" s="6" t="s">
        <v>225</v>
      </c>
      <c r="G116" s="6" t="s">
        <v>225</v>
      </c>
      <c r="H116" s="6" t="s">
        <v>225</v>
      </c>
      <c r="I116" s="6" t="s">
        <v>225</v>
      </c>
      <c r="J116" s="6" t="s">
        <v>225</v>
      </c>
      <c r="K116" s="35" t="s">
        <v>225</v>
      </c>
      <c r="L116" s="35" t="s">
        <v>225</v>
      </c>
      <c r="M116" s="35" t="s">
        <v>225</v>
      </c>
      <c r="N116" s="33" t="s">
        <v>225</v>
      </c>
      <c r="O116" s="28" t="s">
        <v>225</v>
      </c>
      <c r="P116" s="9" t="s">
        <v>225</v>
      </c>
      <c r="Q116" s="9" t="s">
        <v>225</v>
      </c>
      <c r="R116" s="29" t="s">
        <v>225</v>
      </c>
      <c r="S116" s="15" t="s">
        <v>225</v>
      </c>
      <c r="T116" s="7" t="s">
        <v>225</v>
      </c>
      <c r="U116" s="7" t="s">
        <v>225</v>
      </c>
      <c r="V116" s="16" t="s">
        <v>225</v>
      </c>
      <c r="W116" s="17" t="s">
        <v>225</v>
      </c>
      <c r="X116" s="18" t="s">
        <v>225</v>
      </c>
      <c r="Y116" s="19" t="s">
        <v>225</v>
      </c>
      <c r="Z116" s="18" t="s">
        <v>225</v>
      </c>
    </row>
    <row r="117" spans="1:26" x14ac:dyDescent="0.25">
      <c r="A117" s="8" t="s">
        <v>225</v>
      </c>
      <c r="B117" s="5" t="s">
        <v>225</v>
      </c>
      <c r="C117" s="14" t="s">
        <v>225</v>
      </c>
      <c r="D117" s="31" t="s">
        <v>225</v>
      </c>
      <c r="E117" s="6" t="s">
        <v>225</v>
      </c>
      <c r="F117" s="6" t="s">
        <v>225</v>
      </c>
      <c r="G117" s="6" t="s">
        <v>225</v>
      </c>
      <c r="H117" s="6" t="s">
        <v>225</v>
      </c>
      <c r="I117" s="6" t="s">
        <v>225</v>
      </c>
      <c r="J117" s="6" t="s">
        <v>225</v>
      </c>
      <c r="K117" s="35" t="s">
        <v>225</v>
      </c>
      <c r="L117" s="35" t="s">
        <v>225</v>
      </c>
      <c r="M117" s="35" t="s">
        <v>225</v>
      </c>
      <c r="N117" s="33" t="s">
        <v>225</v>
      </c>
      <c r="O117" s="28" t="s">
        <v>225</v>
      </c>
      <c r="P117" s="9" t="s">
        <v>225</v>
      </c>
      <c r="Q117" s="9" t="s">
        <v>225</v>
      </c>
      <c r="R117" s="29" t="s">
        <v>225</v>
      </c>
      <c r="S117" s="15" t="s">
        <v>225</v>
      </c>
      <c r="T117" s="7" t="s">
        <v>225</v>
      </c>
      <c r="U117" s="7" t="s">
        <v>225</v>
      </c>
      <c r="V117" s="16" t="s">
        <v>225</v>
      </c>
      <c r="W117" s="17" t="s">
        <v>225</v>
      </c>
      <c r="X117" s="18" t="s">
        <v>225</v>
      </c>
      <c r="Y117" s="19" t="s">
        <v>225</v>
      </c>
      <c r="Z117" s="18" t="s">
        <v>225</v>
      </c>
    </row>
    <row r="118" spans="1:26" x14ac:dyDescent="0.25">
      <c r="A118" s="8" t="s">
        <v>225</v>
      </c>
      <c r="B118" s="5" t="s">
        <v>225</v>
      </c>
      <c r="C118" s="14" t="s">
        <v>225</v>
      </c>
      <c r="D118" s="31" t="s">
        <v>225</v>
      </c>
      <c r="E118" s="6" t="s">
        <v>225</v>
      </c>
      <c r="F118" s="6" t="s">
        <v>225</v>
      </c>
      <c r="G118" s="6" t="s">
        <v>225</v>
      </c>
      <c r="H118" s="6" t="s">
        <v>225</v>
      </c>
      <c r="I118" s="6" t="s">
        <v>225</v>
      </c>
      <c r="J118" s="6" t="s">
        <v>225</v>
      </c>
      <c r="K118" s="35" t="s">
        <v>225</v>
      </c>
      <c r="L118" s="35" t="s">
        <v>225</v>
      </c>
      <c r="M118" s="35" t="s">
        <v>225</v>
      </c>
      <c r="N118" s="33" t="s">
        <v>225</v>
      </c>
      <c r="O118" s="28" t="s">
        <v>225</v>
      </c>
      <c r="P118" s="9" t="s">
        <v>225</v>
      </c>
      <c r="Q118" s="9" t="s">
        <v>225</v>
      </c>
      <c r="R118" s="29" t="s">
        <v>225</v>
      </c>
      <c r="S118" s="15" t="s">
        <v>225</v>
      </c>
      <c r="T118" s="7" t="s">
        <v>225</v>
      </c>
      <c r="U118" s="7" t="s">
        <v>225</v>
      </c>
      <c r="V118" s="16" t="s">
        <v>225</v>
      </c>
      <c r="W118" s="17" t="s">
        <v>225</v>
      </c>
      <c r="X118" s="18" t="s">
        <v>225</v>
      </c>
      <c r="Y118" s="19" t="s">
        <v>225</v>
      </c>
      <c r="Z118" s="18" t="s">
        <v>225</v>
      </c>
    </row>
    <row r="119" spans="1:26" x14ac:dyDescent="0.25">
      <c r="A119" s="8" t="s">
        <v>225</v>
      </c>
      <c r="B119" s="5" t="s">
        <v>225</v>
      </c>
      <c r="C119" s="14" t="s">
        <v>225</v>
      </c>
      <c r="D119" s="31" t="s">
        <v>225</v>
      </c>
      <c r="E119" s="6" t="s">
        <v>225</v>
      </c>
      <c r="F119" s="6" t="s">
        <v>225</v>
      </c>
      <c r="G119" s="6" t="s">
        <v>225</v>
      </c>
      <c r="H119" s="6" t="s">
        <v>225</v>
      </c>
      <c r="I119" s="6" t="s">
        <v>225</v>
      </c>
      <c r="J119" s="6" t="s">
        <v>225</v>
      </c>
      <c r="K119" s="35" t="s">
        <v>225</v>
      </c>
      <c r="L119" s="35" t="s">
        <v>225</v>
      </c>
      <c r="M119" s="35" t="s">
        <v>225</v>
      </c>
      <c r="N119" s="33" t="s">
        <v>225</v>
      </c>
      <c r="O119" s="28" t="s">
        <v>225</v>
      </c>
      <c r="P119" s="9" t="s">
        <v>225</v>
      </c>
      <c r="Q119" s="9" t="s">
        <v>225</v>
      </c>
      <c r="R119" s="29" t="s">
        <v>225</v>
      </c>
      <c r="S119" s="15" t="s">
        <v>225</v>
      </c>
      <c r="T119" s="7" t="s">
        <v>225</v>
      </c>
      <c r="U119" s="7" t="s">
        <v>225</v>
      </c>
      <c r="V119" s="16" t="s">
        <v>225</v>
      </c>
      <c r="W119" s="17" t="s">
        <v>225</v>
      </c>
      <c r="X119" s="18" t="s">
        <v>225</v>
      </c>
      <c r="Y119" s="19" t="s">
        <v>225</v>
      </c>
      <c r="Z119" s="18" t="s">
        <v>225</v>
      </c>
    </row>
    <row r="120" spans="1:26" x14ac:dyDescent="0.25">
      <c r="A120" s="8" t="s">
        <v>225</v>
      </c>
      <c r="B120" s="5" t="s">
        <v>225</v>
      </c>
      <c r="C120" s="14" t="s">
        <v>225</v>
      </c>
      <c r="D120" s="31" t="s">
        <v>225</v>
      </c>
      <c r="E120" s="6" t="s">
        <v>225</v>
      </c>
      <c r="F120" s="6" t="s">
        <v>225</v>
      </c>
      <c r="G120" s="6" t="s">
        <v>225</v>
      </c>
      <c r="H120" s="6" t="s">
        <v>225</v>
      </c>
      <c r="I120" s="6" t="s">
        <v>225</v>
      </c>
      <c r="J120" s="6" t="s">
        <v>225</v>
      </c>
      <c r="K120" s="35" t="s">
        <v>225</v>
      </c>
      <c r="L120" s="35" t="s">
        <v>225</v>
      </c>
      <c r="M120" s="35" t="s">
        <v>225</v>
      </c>
      <c r="N120" s="33" t="s">
        <v>225</v>
      </c>
      <c r="O120" s="28" t="s">
        <v>225</v>
      </c>
      <c r="P120" s="9" t="s">
        <v>225</v>
      </c>
      <c r="Q120" s="9" t="s">
        <v>225</v>
      </c>
      <c r="R120" s="29" t="s">
        <v>225</v>
      </c>
      <c r="S120" s="15" t="s">
        <v>225</v>
      </c>
      <c r="T120" s="7" t="s">
        <v>225</v>
      </c>
      <c r="U120" s="7" t="s">
        <v>225</v>
      </c>
      <c r="V120" s="16" t="s">
        <v>225</v>
      </c>
      <c r="W120" s="17" t="s">
        <v>225</v>
      </c>
      <c r="X120" s="18" t="s">
        <v>225</v>
      </c>
      <c r="Y120" s="19" t="s">
        <v>225</v>
      </c>
      <c r="Z120" s="18" t="s">
        <v>225</v>
      </c>
    </row>
    <row r="121" spans="1:26" x14ac:dyDescent="0.25">
      <c r="A121" s="8" t="s">
        <v>225</v>
      </c>
      <c r="B121" s="5" t="s">
        <v>225</v>
      </c>
      <c r="C121" s="14" t="s">
        <v>225</v>
      </c>
      <c r="D121" s="31" t="s">
        <v>225</v>
      </c>
      <c r="E121" s="6" t="s">
        <v>225</v>
      </c>
      <c r="F121" s="6" t="s">
        <v>225</v>
      </c>
      <c r="G121" s="6" t="s">
        <v>225</v>
      </c>
      <c r="H121" s="6" t="s">
        <v>225</v>
      </c>
      <c r="I121" s="6" t="s">
        <v>225</v>
      </c>
      <c r="J121" s="6" t="s">
        <v>225</v>
      </c>
      <c r="K121" s="35" t="s">
        <v>225</v>
      </c>
      <c r="L121" s="35" t="s">
        <v>225</v>
      </c>
      <c r="M121" s="35" t="s">
        <v>225</v>
      </c>
      <c r="N121" s="33" t="s">
        <v>225</v>
      </c>
      <c r="O121" s="28" t="s">
        <v>225</v>
      </c>
      <c r="P121" s="9" t="s">
        <v>225</v>
      </c>
      <c r="Q121" s="9" t="s">
        <v>225</v>
      </c>
      <c r="R121" s="29" t="s">
        <v>225</v>
      </c>
      <c r="S121" s="15" t="s">
        <v>225</v>
      </c>
      <c r="T121" s="7" t="s">
        <v>225</v>
      </c>
      <c r="U121" s="7" t="s">
        <v>225</v>
      </c>
      <c r="V121" s="16" t="s">
        <v>225</v>
      </c>
      <c r="W121" s="17" t="s">
        <v>225</v>
      </c>
      <c r="X121" s="18" t="s">
        <v>225</v>
      </c>
      <c r="Y121" s="19" t="s">
        <v>225</v>
      </c>
      <c r="Z121" s="18" t="s">
        <v>225</v>
      </c>
    </row>
    <row r="122" spans="1:26" x14ac:dyDescent="0.25">
      <c r="A122" s="8" t="s">
        <v>225</v>
      </c>
      <c r="B122" s="5" t="s">
        <v>225</v>
      </c>
      <c r="C122" s="14" t="s">
        <v>225</v>
      </c>
      <c r="D122" s="31" t="s">
        <v>225</v>
      </c>
      <c r="E122" s="6" t="s">
        <v>225</v>
      </c>
      <c r="F122" s="6" t="s">
        <v>225</v>
      </c>
      <c r="G122" s="6" t="s">
        <v>225</v>
      </c>
      <c r="H122" s="6" t="s">
        <v>225</v>
      </c>
      <c r="I122" s="6" t="s">
        <v>225</v>
      </c>
      <c r="J122" s="6" t="s">
        <v>225</v>
      </c>
      <c r="K122" s="35" t="s">
        <v>225</v>
      </c>
      <c r="L122" s="35" t="s">
        <v>225</v>
      </c>
      <c r="M122" s="35" t="s">
        <v>225</v>
      </c>
      <c r="N122" s="33" t="s">
        <v>225</v>
      </c>
      <c r="O122" s="28" t="s">
        <v>225</v>
      </c>
      <c r="P122" s="9" t="s">
        <v>225</v>
      </c>
      <c r="Q122" s="9" t="s">
        <v>225</v>
      </c>
      <c r="R122" s="29" t="s">
        <v>225</v>
      </c>
      <c r="S122" s="15" t="s">
        <v>225</v>
      </c>
      <c r="T122" s="7" t="s">
        <v>225</v>
      </c>
      <c r="U122" s="7" t="s">
        <v>225</v>
      </c>
      <c r="V122" s="16" t="s">
        <v>225</v>
      </c>
      <c r="W122" s="17" t="s">
        <v>225</v>
      </c>
      <c r="X122" s="18" t="s">
        <v>225</v>
      </c>
      <c r="Y122" s="19" t="s">
        <v>225</v>
      </c>
      <c r="Z122" s="18" t="s">
        <v>225</v>
      </c>
    </row>
    <row r="123" spans="1:26" x14ac:dyDescent="0.25">
      <c r="A123" s="8" t="s">
        <v>225</v>
      </c>
      <c r="B123" s="5" t="s">
        <v>225</v>
      </c>
      <c r="C123" s="14" t="s">
        <v>225</v>
      </c>
      <c r="D123" s="31" t="s">
        <v>225</v>
      </c>
      <c r="E123" s="6" t="s">
        <v>225</v>
      </c>
      <c r="F123" s="6" t="s">
        <v>225</v>
      </c>
      <c r="G123" s="6" t="s">
        <v>225</v>
      </c>
      <c r="H123" s="6" t="s">
        <v>225</v>
      </c>
      <c r="I123" s="6" t="s">
        <v>225</v>
      </c>
      <c r="J123" s="6" t="s">
        <v>225</v>
      </c>
      <c r="K123" s="35" t="s">
        <v>225</v>
      </c>
      <c r="L123" s="35" t="s">
        <v>225</v>
      </c>
      <c r="M123" s="35" t="s">
        <v>225</v>
      </c>
      <c r="N123" s="33" t="s">
        <v>225</v>
      </c>
      <c r="O123" s="28" t="s">
        <v>225</v>
      </c>
      <c r="P123" s="9" t="s">
        <v>225</v>
      </c>
      <c r="Q123" s="9" t="s">
        <v>225</v>
      </c>
      <c r="R123" s="29" t="s">
        <v>225</v>
      </c>
      <c r="S123" s="15" t="s">
        <v>225</v>
      </c>
      <c r="T123" s="7" t="s">
        <v>225</v>
      </c>
      <c r="U123" s="7" t="s">
        <v>225</v>
      </c>
      <c r="V123" s="16" t="s">
        <v>225</v>
      </c>
      <c r="W123" s="17" t="s">
        <v>225</v>
      </c>
      <c r="X123" s="18" t="s">
        <v>225</v>
      </c>
      <c r="Y123" s="19" t="s">
        <v>225</v>
      </c>
      <c r="Z123" s="18" t="s">
        <v>225</v>
      </c>
    </row>
    <row r="124" spans="1:26" x14ac:dyDescent="0.25">
      <c r="A124" s="8" t="s">
        <v>225</v>
      </c>
      <c r="B124" s="5" t="s">
        <v>225</v>
      </c>
      <c r="C124" s="14" t="s">
        <v>225</v>
      </c>
      <c r="D124" s="31" t="s">
        <v>225</v>
      </c>
      <c r="E124" s="6" t="s">
        <v>225</v>
      </c>
      <c r="F124" s="6" t="s">
        <v>225</v>
      </c>
      <c r="G124" s="6" t="s">
        <v>225</v>
      </c>
      <c r="H124" s="6" t="s">
        <v>225</v>
      </c>
      <c r="I124" s="6" t="s">
        <v>225</v>
      </c>
      <c r="J124" s="6" t="s">
        <v>225</v>
      </c>
      <c r="K124" s="35" t="s">
        <v>225</v>
      </c>
      <c r="L124" s="35" t="s">
        <v>225</v>
      </c>
      <c r="M124" s="35" t="s">
        <v>225</v>
      </c>
      <c r="N124" s="33" t="s">
        <v>225</v>
      </c>
      <c r="O124" s="28" t="s">
        <v>225</v>
      </c>
      <c r="P124" s="9" t="s">
        <v>225</v>
      </c>
      <c r="Q124" s="9" t="s">
        <v>225</v>
      </c>
      <c r="R124" s="29" t="s">
        <v>225</v>
      </c>
      <c r="S124" s="15" t="s">
        <v>225</v>
      </c>
      <c r="T124" s="7" t="s">
        <v>225</v>
      </c>
      <c r="U124" s="7" t="s">
        <v>225</v>
      </c>
      <c r="V124" s="16" t="s">
        <v>225</v>
      </c>
      <c r="W124" s="17" t="s">
        <v>225</v>
      </c>
      <c r="X124" s="18" t="s">
        <v>225</v>
      </c>
      <c r="Y124" s="19" t="s">
        <v>225</v>
      </c>
      <c r="Z124" s="18" t="s">
        <v>225</v>
      </c>
    </row>
    <row r="125" spans="1:26" x14ac:dyDescent="0.25">
      <c r="A125" s="8" t="s">
        <v>225</v>
      </c>
      <c r="B125" s="5" t="s">
        <v>225</v>
      </c>
      <c r="C125" s="14" t="s">
        <v>225</v>
      </c>
      <c r="D125" s="31" t="s">
        <v>225</v>
      </c>
      <c r="E125" s="6" t="s">
        <v>225</v>
      </c>
      <c r="F125" s="6" t="s">
        <v>225</v>
      </c>
      <c r="G125" s="6" t="s">
        <v>225</v>
      </c>
      <c r="H125" s="6" t="s">
        <v>225</v>
      </c>
      <c r="I125" s="6" t="s">
        <v>225</v>
      </c>
      <c r="J125" s="6" t="s">
        <v>225</v>
      </c>
      <c r="K125" s="35" t="s">
        <v>225</v>
      </c>
      <c r="L125" s="35" t="s">
        <v>225</v>
      </c>
      <c r="M125" s="35" t="s">
        <v>225</v>
      </c>
      <c r="N125" s="33" t="s">
        <v>225</v>
      </c>
      <c r="O125" s="28" t="s">
        <v>225</v>
      </c>
      <c r="P125" s="9" t="s">
        <v>225</v>
      </c>
      <c r="Q125" s="9" t="s">
        <v>225</v>
      </c>
      <c r="R125" s="29" t="s">
        <v>225</v>
      </c>
      <c r="S125" s="15" t="s">
        <v>225</v>
      </c>
      <c r="T125" s="7" t="s">
        <v>225</v>
      </c>
      <c r="U125" s="7" t="s">
        <v>225</v>
      </c>
      <c r="V125" s="16" t="s">
        <v>225</v>
      </c>
      <c r="W125" s="17" t="s">
        <v>225</v>
      </c>
      <c r="X125" s="18" t="s">
        <v>225</v>
      </c>
      <c r="Y125" s="19" t="s">
        <v>225</v>
      </c>
      <c r="Z125" s="18" t="s">
        <v>225</v>
      </c>
    </row>
    <row r="126" spans="1:26" x14ac:dyDescent="0.25">
      <c r="A126" s="8" t="s">
        <v>225</v>
      </c>
      <c r="B126" s="5" t="s">
        <v>225</v>
      </c>
      <c r="C126" s="14" t="s">
        <v>225</v>
      </c>
      <c r="D126" s="31" t="s">
        <v>225</v>
      </c>
      <c r="E126" s="6" t="s">
        <v>225</v>
      </c>
      <c r="F126" s="6" t="s">
        <v>225</v>
      </c>
      <c r="G126" s="6" t="s">
        <v>225</v>
      </c>
      <c r="H126" s="6" t="s">
        <v>225</v>
      </c>
      <c r="I126" s="6" t="s">
        <v>225</v>
      </c>
      <c r="J126" s="6" t="s">
        <v>225</v>
      </c>
      <c r="K126" s="35" t="s">
        <v>225</v>
      </c>
      <c r="L126" s="35" t="s">
        <v>225</v>
      </c>
      <c r="M126" s="35" t="s">
        <v>225</v>
      </c>
      <c r="N126" s="33" t="s">
        <v>225</v>
      </c>
      <c r="O126" s="28" t="s">
        <v>225</v>
      </c>
      <c r="P126" s="9" t="s">
        <v>225</v>
      </c>
      <c r="Q126" s="9" t="s">
        <v>225</v>
      </c>
      <c r="R126" s="29" t="s">
        <v>225</v>
      </c>
      <c r="S126" s="15" t="s">
        <v>225</v>
      </c>
      <c r="T126" s="7" t="s">
        <v>225</v>
      </c>
      <c r="U126" s="7" t="s">
        <v>225</v>
      </c>
      <c r="V126" s="16" t="s">
        <v>225</v>
      </c>
      <c r="W126" s="17" t="s">
        <v>225</v>
      </c>
      <c r="X126" s="18" t="s">
        <v>225</v>
      </c>
      <c r="Y126" s="19" t="s">
        <v>225</v>
      </c>
      <c r="Z126" s="18" t="s">
        <v>225</v>
      </c>
    </row>
    <row r="127" spans="1:26" x14ac:dyDescent="0.25">
      <c r="A127" s="8" t="s">
        <v>225</v>
      </c>
      <c r="B127" s="5" t="s">
        <v>225</v>
      </c>
      <c r="C127" s="14" t="s">
        <v>225</v>
      </c>
      <c r="D127" s="31" t="s">
        <v>225</v>
      </c>
      <c r="E127" s="6" t="s">
        <v>225</v>
      </c>
      <c r="F127" s="6" t="s">
        <v>225</v>
      </c>
      <c r="G127" s="6" t="s">
        <v>225</v>
      </c>
      <c r="H127" s="6" t="s">
        <v>225</v>
      </c>
      <c r="I127" s="6" t="s">
        <v>225</v>
      </c>
      <c r="J127" s="6" t="s">
        <v>225</v>
      </c>
      <c r="K127" s="35" t="s">
        <v>225</v>
      </c>
      <c r="L127" s="35" t="s">
        <v>225</v>
      </c>
      <c r="M127" s="35" t="s">
        <v>225</v>
      </c>
      <c r="N127" s="33" t="s">
        <v>225</v>
      </c>
      <c r="O127" s="28" t="s">
        <v>225</v>
      </c>
      <c r="P127" s="9" t="s">
        <v>225</v>
      </c>
      <c r="Q127" s="9" t="s">
        <v>225</v>
      </c>
      <c r="R127" s="29" t="s">
        <v>225</v>
      </c>
      <c r="S127" s="15" t="s">
        <v>225</v>
      </c>
      <c r="T127" s="7" t="s">
        <v>225</v>
      </c>
      <c r="U127" s="7" t="s">
        <v>225</v>
      </c>
      <c r="V127" s="16" t="s">
        <v>225</v>
      </c>
      <c r="W127" s="17" t="s">
        <v>225</v>
      </c>
      <c r="X127" s="18" t="s">
        <v>225</v>
      </c>
      <c r="Y127" s="19" t="s">
        <v>225</v>
      </c>
      <c r="Z127" s="18" t="s">
        <v>225</v>
      </c>
    </row>
    <row r="128" spans="1:26" x14ac:dyDescent="0.25">
      <c r="A128" s="8" t="s">
        <v>225</v>
      </c>
      <c r="B128" s="5" t="s">
        <v>225</v>
      </c>
      <c r="C128" s="14" t="s">
        <v>225</v>
      </c>
      <c r="D128" s="31" t="s">
        <v>225</v>
      </c>
      <c r="E128" s="6" t="s">
        <v>225</v>
      </c>
      <c r="F128" s="6" t="s">
        <v>225</v>
      </c>
      <c r="G128" s="6" t="s">
        <v>225</v>
      </c>
      <c r="H128" s="6" t="s">
        <v>225</v>
      </c>
      <c r="I128" s="6" t="s">
        <v>225</v>
      </c>
      <c r="J128" s="6" t="s">
        <v>225</v>
      </c>
      <c r="K128" s="35" t="s">
        <v>225</v>
      </c>
      <c r="L128" s="35" t="s">
        <v>225</v>
      </c>
      <c r="M128" s="35" t="s">
        <v>225</v>
      </c>
      <c r="N128" s="33" t="s">
        <v>225</v>
      </c>
      <c r="O128" s="28" t="s">
        <v>225</v>
      </c>
      <c r="P128" s="9" t="s">
        <v>225</v>
      </c>
      <c r="Q128" s="9" t="s">
        <v>225</v>
      </c>
      <c r="R128" s="29" t="s">
        <v>225</v>
      </c>
      <c r="S128" s="15" t="s">
        <v>225</v>
      </c>
      <c r="T128" s="7" t="s">
        <v>225</v>
      </c>
      <c r="U128" s="7" t="s">
        <v>225</v>
      </c>
      <c r="V128" s="16" t="s">
        <v>225</v>
      </c>
      <c r="W128" s="17" t="s">
        <v>225</v>
      </c>
      <c r="X128" s="18" t="s">
        <v>225</v>
      </c>
      <c r="Y128" s="19" t="s">
        <v>225</v>
      </c>
      <c r="Z128" s="18" t="s">
        <v>225</v>
      </c>
    </row>
    <row r="129" spans="1:26" x14ac:dyDescent="0.25">
      <c r="A129" s="8" t="s">
        <v>225</v>
      </c>
      <c r="B129" s="5" t="s">
        <v>225</v>
      </c>
      <c r="C129" s="14" t="s">
        <v>225</v>
      </c>
      <c r="D129" s="31" t="s">
        <v>225</v>
      </c>
      <c r="E129" s="6" t="s">
        <v>225</v>
      </c>
      <c r="F129" s="6" t="s">
        <v>225</v>
      </c>
      <c r="G129" s="6" t="s">
        <v>225</v>
      </c>
      <c r="H129" s="6" t="s">
        <v>225</v>
      </c>
      <c r="I129" s="6" t="s">
        <v>225</v>
      </c>
      <c r="J129" s="6" t="s">
        <v>225</v>
      </c>
      <c r="K129" s="35" t="s">
        <v>225</v>
      </c>
      <c r="L129" s="35" t="s">
        <v>225</v>
      </c>
      <c r="M129" s="35" t="s">
        <v>225</v>
      </c>
      <c r="N129" s="33" t="s">
        <v>225</v>
      </c>
      <c r="O129" s="28" t="s">
        <v>225</v>
      </c>
      <c r="P129" s="9" t="s">
        <v>225</v>
      </c>
      <c r="Q129" s="9" t="s">
        <v>225</v>
      </c>
      <c r="R129" s="29" t="s">
        <v>225</v>
      </c>
      <c r="S129" s="15" t="s">
        <v>225</v>
      </c>
      <c r="T129" s="7" t="s">
        <v>225</v>
      </c>
      <c r="U129" s="7" t="s">
        <v>225</v>
      </c>
      <c r="V129" s="16" t="s">
        <v>225</v>
      </c>
      <c r="W129" s="17" t="s">
        <v>225</v>
      </c>
      <c r="X129" s="18" t="s">
        <v>225</v>
      </c>
      <c r="Y129" s="19" t="s">
        <v>225</v>
      </c>
      <c r="Z129" s="18" t="s">
        <v>225</v>
      </c>
    </row>
    <row r="130" spans="1:26" x14ac:dyDescent="0.25">
      <c r="A130" s="8" t="s">
        <v>225</v>
      </c>
      <c r="B130" s="5" t="s">
        <v>225</v>
      </c>
      <c r="C130" s="14" t="s">
        <v>225</v>
      </c>
      <c r="D130" s="31" t="s">
        <v>225</v>
      </c>
      <c r="E130" s="6" t="s">
        <v>225</v>
      </c>
      <c r="F130" s="6" t="s">
        <v>225</v>
      </c>
      <c r="G130" s="6" t="s">
        <v>225</v>
      </c>
      <c r="H130" s="6" t="s">
        <v>225</v>
      </c>
      <c r="I130" s="6" t="s">
        <v>225</v>
      </c>
      <c r="J130" s="6" t="s">
        <v>225</v>
      </c>
      <c r="K130" s="35" t="s">
        <v>225</v>
      </c>
      <c r="L130" s="35" t="s">
        <v>225</v>
      </c>
      <c r="M130" s="35" t="s">
        <v>225</v>
      </c>
      <c r="N130" s="33" t="s">
        <v>225</v>
      </c>
      <c r="O130" s="28" t="s">
        <v>225</v>
      </c>
      <c r="P130" s="9" t="s">
        <v>225</v>
      </c>
      <c r="Q130" s="9" t="s">
        <v>225</v>
      </c>
      <c r="R130" s="29" t="s">
        <v>225</v>
      </c>
      <c r="S130" s="15" t="s">
        <v>225</v>
      </c>
      <c r="T130" s="7" t="s">
        <v>225</v>
      </c>
      <c r="U130" s="7" t="s">
        <v>225</v>
      </c>
      <c r="V130" s="16" t="s">
        <v>225</v>
      </c>
      <c r="W130" s="17" t="s">
        <v>225</v>
      </c>
      <c r="X130" s="18" t="s">
        <v>225</v>
      </c>
      <c r="Y130" s="19" t="s">
        <v>225</v>
      </c>
      <c r="Z130" s="18" t="s">
        <v>225</v>
      </c>
    </row>
    <row r="131" spans="1:26" x14ac:dyDescent="0.25">
      <c r="A131" s="8" t="s">
        <v>225</v>
      </c>
      <c r="B131" s="5" t="s">
        <v>225</v>
      </c>
      <c r="C131" s="14" t="s">
        <v>225</v>
      </c>
      <c r="D131" s="31" t="s">
        <v>225</v>
      </c>
      <c r="E131" s="6" t="s">
        <v>225</v>
      </c>
      <c r="F131" s="6" t="s">
        <v>225</v>
      </c>
      <c r="G131" s="6" t="s">
        <v>225</v>
      </c>
      <c r="H131" s="6" t="s">
        <v>225</v>
      </c>
      <c r="I131" s="6" t="s">
        <v>225</v>
      </c>
      <c r="J131" s="6" t="s">
        <v>225</v>
      </c>
      <c r="K131" s="35" t="s">
        <v>225</v>
      </c>
      <c r="L131" s="35" t="s">
        <v>225</v>
      </c>
      <c r="M131" s="35" t="s">
        <v>225</v>
      </c>
      <c r="N131" s="33" t="s">
        <v>225</v>
      </c>
      <c r="O131" s="28" t="s">
        <v>225</v>
      </c>
      <c r="P131" s="9" t="s">
        <v>225</v>
      </c>
      <c r="Q131" s="9" t="s">
        <v>225</v>
      </c>
      <c r="R131" s="29" t="s">
        <v>225</v>
      </c>
      <c r="S131" s="15" t="s">
        <v>225</v>
      </c>
      <c r="T131" s="7" t="s">
        <v>225</v>
      </c>
      <c r="U131" s="7" t="s">
        <v>225</v>
      </c>
      <c r="V131" s="16" t="s">
        <v>225</v>
      </c>
      <c r="W131" s="17" t="s">
        <v>225</v>
      </c>
      <c r="X131" s="18" t="s">
        <v>225</v>
      </c>
      <c r="Y131" s="19" t="s">
        <v>225</v>
      </c>
      <c r="Z131" s="18" t="s">
        <v>225</v>
      </c>
    </row>
    <row r="132" spans="1:26" x14ac:dyDescent="0.25">
      <c r="A132" s="8" t="s">
        <v>225</v>
      </c>
      <c r="B132" s="5" t="s">
        <v>225</v>
      </c>
      <c r="C132" s="14" t="s">
        <v>225</v>
      </c>
      <c r="D132" s="31" t="s">
        <v>225</v>
      </c>
      <c r="E132" s="6" t="s">
        <v>225</v>
      </c>
      <c r="F132" s="6" t="s">
        <v>225</v>
      </c>
      <c r="G132" s="6" t="s">
        <v>225</v>
      </c>
      <c r="H132" s="6" t="s">
        <v>225</v>
      </c>
      <c r="I132" s="6" t="s">
        <v>225</v>
      </c>
      <c r="J132" s="6" t="s">
        <v>225</v>
      </c>
      <c r="K132" s="35" t="s">
        <v>225</v>
      </c>
      <c r="L132" s="35" t="s">
        <v>225</v>
      </c>
      <c r="M132" s="35" t="s">
        <v>225</v>
      </c>
      <c r="N132" s="33" t="s">
        <v>225</v>
      </c>
      <c r="O132" s="28" t="s">
        <v>225</v>
      </c>
      <c r="P132" s="9" t="s">
        <v>225</v>
      </c>
      <c r="Q132" s="9" t="s">
        <v>225</v>
      </c>
      <c r="R132" s="29" t="s">
        <v>225</v>
      </c>
      <c r="S132" s="15" t="s">
        <v>225</v>
      </c>
      <c r="T132" s="7" t="s">
        <v>225</v>
      </c>
      <c r="U132" s="7" t="s">
        <v>225</v>
      </c>
      <c r="V132" s="16" t="s">
        <v>225</v>
      </c>
      <c r="W132" s="17" t="s">
        <v>225</v>
      </c>
      <c r="X132" s="18" t="s">
        <v>225</v>
      </c>
      <c r="Y132" s="19" t="s">
        <v>225</v>
      </c>
      <c r="Z132" s="18" t="s">
        <v>225</v>
      </c>
    </row>
    <row r="133" spans="1:26" x14ac:dyDescent="0.25">
      <c r="A133" s="8" t="s">
        <v>225</v>
      </c>
      <c r="B133" s="5" t="s">
        <v>225</v>
      </c>
      <c r="C133" s="14" t="s">
        <v>225</v>
      </c>
      <c r="D133" s="31" t="s">
        <v>225</v>
      </c>
      <c r="E133" s="6" t="s">
        <v>225</v>
      </c>
      <c r="F133" s="6" t="s">
        <v>225</v>
      </c>
      <c r="G133" s="6" t="s">
        <v>225</v>
      </c>
      <c r="H133" s="6" t="s">
        <v>225</v>
      </c>
      <c r="I133" s="6" t="s">
        <v>225</v>
      </c>
      <c r="J133" s="6" t="s">
        <v>225</v>
      </c>
      <c r="K133" s="35" t="s">
        <v>225</v>
      </c>
      <c r="L133" s="35" t="s">
        <v>225</v>
      </c>
      <c r="M133" s="35" t="s">
        <v>225</v>
      </c>
      <c r="N133" s="33" t="s">
        <v>225</v>
      </c>
      <c r="O133" s="28" t="s">
        <v>225</v>
      </c>
      <c r="P133" s="9" t="s">
        <v>225</v>
      </c>
      <c r="Q133" s="9" t="s">
        <v>225</v>
      </c>
      <c r="R133" s="29" t="s">
        <v>225</v>
      </c>
      <c r="S133" s="15" t="s">
        <v>225</v>
      </c>
      <c r="T133" s="7" t="s">
        <v>225</v>
      </c>
      <c r="U133" s="7" t="s">
        <v>225</v>
      </c>
      <c r="V133" s="16" t="s">
        <v>225</v>
      </c>
      <c r="W133" s="17" t="s">
        <v>225</v>
      </c>
      <c r="X133" s="18" t="s">
        <v>225</v>
      </c>
      <c r="Y133" s="19" t="s">
        <v>225</v>
      </c>
      <c r="Z133" s="18" t="s">
        <v>225</v>
      </c>
    </row>
    <row r="134" spans="1:26" x14ac:dyDescent="0.25">
      <c r="A134" s="8" t="s">
        <v>225</v>
      </c>
      <c r="B134" s="5" t="s">
        <v>225</v>
      </c>
      <c r="C134" s="14" t="s">
        <v>225</v>
      </c>
      <c r="D134" s="31" t="s">
        <v>225</v>
      </c>
      <c r="E134" s="6" t="s">
        <v>225</v>
      </c>
      <c r="F134" s="6" t="s">
        <v>225</v>
      </c>
      <c r="G134" s="6" t="s">
        <v>225</v>
      </c>
      <c r="H134" s="6" t="s">
        <v>225</v>
      </c>
      <c r="I134" s="6" t="s">
        <v>225</v>
      </c>
      <c r="J134" s="6" t="s">
        <v>225</v>
      </c>
      <c r="K134" s="35" t="s">
        <v>225</v>
      </c>
      <c r="L134" s="35" t="s">
        <v>225</v>
      </c>
      <c r="M134" s="35" t="s">
        <v>225</v>
      </c>
      <c r="N134" s="33" t="s">
        <v>225</v>
      </c>
      <c r="O134" s="28" t="s">
        <v>225</v>
      </c>
      <c r="P134" s="9" t="s">
        <v>225</v>
      </c>
      <c r="Q134" s="9" t="s">
        <v>225</v>
      </c>
      <c r="R134" s="29" t="s">
        <v>225</v>
      </c>
      <c r="S134" s="15" t="s">
        <v>225</v>
      </c>
      <c r="T134" s="7" t="s">
        <v>225</v>
      </c>
      <c r="U134" s="7" t="s">
        <v>225</v>
      </c>
      <c r="V134" s="16" t="s">
        <v>225</v>
      </c>
      <c r="W134" s="17" t="s">
        <v>225</v>
      </c>
      <c r="X134" s="18" t="s">
        <v>225</v>
      </c>
      <c r="Y134" s="19" t="s">
        <v>225</v>
      </c>
      <c r="Z134" s="18" t="s">
        <v>225</v>
      </c>
    </row>
    <row r="135" spans="1:26" x14ac:dyDescent="0.25">
      <c r="A135" s="8" t="s">
        <v>225</v>
      </c>
      <c r="B135" s="5" t="s">
        <v>225</v>
      </c>
      <c r="C135" s="14" t="s">
        <v>225</v>
      </c>
      <c r="D135" s="31" t="s">
        <v>225</v>
      </c>
      <c r="E135" s="6" t="s">
        <v>225</v>
      </c>
      <c r="F135" s="6" t="s">
        <v>225</v>
      </c>
      <c r="G135" s="6" t="s">
        <v>225</v>
      </c>
      <c r="H135" s="6" t="s">
        <v>225</v>
      </c>
      <c r="I135" s="6" t="s">
        <v>225</v>
      </c>
      <c r="J135" s="6" t="s">
        <v>225</v>
      </c>
      <c r="K135" s="35" t="s">
        <v>225</v>
      </c>
      <c r="L135" s="35" t="s">
        <v>225</v>
      </c>
      <c r="M135" s="35" t="s">
        <v>225</v>
      </c>
      <c r="N135" s="33" t="s">
        <v>225</v>
      </c>
      <c r="O135" s="28" t="s">
        <v>225</v>
      </c>
      <c r="P135" s="9" t="s">
        <v>225</v>
      </c>
      <c r="Q135" s="9" t="s">
        <v>225</v>
      </c>
      <c r="R135" s="29" t="s">
        <v>225</v>
      </c>
      <c r="S135" s="15" t="s">
        <v>225</v>
      </c>
      <c r="T135" s="7" t="s">
        <v>225</v>
      </c>
      <c r="U135" s="7" t="s">
        <v>225</v>
      </c>
      <c r="V135" s="16" t="s">
        <v>225</v>
      </c>
      <c r="W135" s="17" t="s">
        <v>225</v>
      </c>
      <c r="X135" s="18" t="s">
        <v>225</v>
      </c>
      <c r="Y135" s="19" t="s">
        <v>225</v>
      </c>
      <c r="Z135" s="18" t="s">
        <v>225</v>
      </c>
    </row>
    <row r="136" spans="1:26" x14ac:dyDescent="0.25">
      <c r="A136" s="8" t="s">
        <v>225</v>
      </c>
      <c r="B136" s="5" t="s">
        <v>225</v>
      </c>
      <c r="C136" s="14" t="s">
        <v>225</v>
      </c>
      <c r="D136" s="31" t="s">
        <v>225</v>
      </c>
      <c r="E136" s="6" t="s">
        <v>225</v>
      </c>
      <c r="F136" s="6" t="s">
        <v>225</v>
      </c>
      <c r="G136" s="6" t="s">
        <v>225</v>
      </c>
      <c r="H136" s="6" t="s">
        <v>225</v>
      </c>
      <c r="I136" s="6" t="s">
        <v>225</v>
      </c>
      <c r="J136" s="6" t="s">
        <v>225</v>
      </c>
      <c r="K136" s="35" t="s">
        <v>225</v>
      </c>
      <c r="L136" s="35" t="s">
        <v>225</v>
      </c>
      <c r="M136" s="35" t="s">
        <v>225</v>
      </c>
      <c r="N136" s="33" t="s">
        <v>225</v>
      </c>
      <c r="O136" s="28" t="s">
        <v>225</v>
      </c>
      <c r="P136" s="9" t="s">
        <v>225</v>
      </c>
      <c r="Q136" s="9" t="s">
        <v>225</v>
      </c>
      <c r="R136" s="29" t="s">
        <v>225</v>
      </c>
      <c r="S136" s="15" t="s">
        <v>225</v>
      </c>
      <c r="T136" s="7" t="s">
        <v>225</v>
      </c>
      <c r="U136" s="7" t="s">
        <v>225</v>
      </c>
      <c r="V136" s="16" t="s">
        <v>225</v>
      </c>
      <c r="W136" s="17" t="s">
        <v>225</v>
      </c>
      <c r="X136" s="18" t="s">
        <v>225</v>
      </c>
      <c r="Y136" s="19" t="s">
        <v>225</v>
      </c>
      <c r="Z136" s="18" t="s">
        <v>225</v>
      </c>
    </row>
    <row r="137" spans="1:26" x14ac:dyDescent="0.25">
      <c r="A137" s="8" t="s">
        <v>225</v>
      </c>
      <c r="B137" s="5" t="s">
        <v>225</v>
      </c>
      <c r="C137" s="14" t="s">
        <v>225</v>
      </c>
      <c r="D137" s="31" t="s">
        <v>225</v>
      </c>
      <c r="E137" s="6" t="s">
        <v>225</v>
      </c>
      <c r="F137" s="6" t="s">
        <v>225</v>
      </c>
      <c r="G137" s="6" t="s">
        <v>225</v>
      </c>
      <c r="H137" s="6" t="s">
        <v>225</v>
      </c>
      <c r="I137" s="6" t="s">
        <v>225</v>
      </c>
      <c r="J137" s="6" t="s">
        <v>225</v>
      </c>
      <c r="K137" s="35" t="s">
        <v>225</v>
      </c>
      <c r="L137" s="35" t="s">
        <v>225</v>
      </c>
      <c r="M137" s="35" t="s">
        <v>225</v>
      </c>
      <c r="N137" s="33" t="s">
        <v>225</v>
      </c>
      <c r="O137" s="28" t="s">
        <v>225</v>
      </c>
      <c r="P137" s="9" t="s">
        <v>225</v>
      </c>
      <c r="Q137" s="9" t="s">
        <v>225</v>
      </c>
      <c r="R137" s="29" t="s">
        <v>225</v>
      </c>
      <c r="S137" s="15" t="s">
        <v>225</v>
      </c>
      <c r="T137" s="7" t="s">
        <v>225</v>
      </c>
      <c r="U137" s="7" t="s">
        <v>225</v>
      </c>
      <c r="V137" s="16" t="s">
        <v>225</v>
      </c>
      <c r="W137" s="17" t="s">
        <v>225</v>
      </c>
      <c r="X137" s="18" t="s">
        <v>225</v>
      </c>
      <c r="Y137" s="19" t="s">
        <v>225</v>
      </c>
      <c r="Z137" s="18" t="s">
        <v>225</v>
      </c>
    </row>
    <row r="138" spans="1:26" x14ac:dyDescent="0.25">
      <c r="A138" s="8" t="s">
        <v>225</v>
      </c>
      <c r="B138" s="5" t="s">
        <v>225</v>
      </c>
      <c r="C138" s="14" t="s">
        <v>225</v>
      </c>
      <c r="D138" s="31" t="s">
        <v>225</v>
      </c>
      <c r="E138" s="6" t="s">
        <v>225</v>
      </c>
      <c r="F138" s="6" t="s">
        <v>225</v>
      </c>
      <c r="G138" s="6" t="s">
        <v>225</v>
      </c>
      <c r="H138" s="6" t="s">
        <v>225</v>
      </c>
      <c r="I138" s="6" t="s">
        <v>225</v>
      </c>
      <c r="J138" s="6" t="s">
        <v>225</v>
      </c>
      <c r="K138" s="35" t="s">
        <v>225</v>
      </c>
      <c r="L138" s="35" t="s">
        <v>225</v>
      </c>
      <c r="M138" s="35" t="s">
        <v>225</v>
      </c>
      <c r="N138" s="33" t="s">
        <v>225</v>
      </c>
      <c r="O138" s="28" t="s">
        <v>225</v>
      </c>
      <c r="P138" s="9" t="s">
        <v>225</v>
      </c>
      <c r="Q138" s="9" t="s">
        <v>225</v>
      </c>
      <c r="R138" s="29" t="s">
        <v>225</v>
      </c>
      <c r="S138" s="15" t="s">
        <v>225</v>
      </c>
      <c r="T138" s="7" t="s">
        <v>225</v>
      </c>
      <c r="U138" s="7" t="s">
        <v>225</v>
      </c>
      <c r="V138" s="16" t="s">
        <v>225</v>
      </c>
      <c r="W138" s="17" t="s">
        <v>225</v>
      </c>
      <c r="X138" s="18" t="s">
        <v>225</v>
      </c>
      <c r="Y138" s="19" t="s">
        <v>225</v>
      </c>
      <c r="Z138" s="18" t="s">
        <v>225</v>
      </c>
    </row>
    <row r="139" spans="1:26" x14ac:dyDescent="0.25">
      <c r="A139" s="8" t="s">
        <v>225</v>
      </c>
      <c r="B139" s="5" t="s">
        <v>225</v>
      </c>
      <c r="C139" s="14" t="s">
        <v>225</v>
      </c>
      <c r="D139" s="31" t="s">
        <v>225</v>
      </c>
      <c r="E139" s="6" t="s">
        <v>225</v>
      </c>
      <c r="F139" s="6" t="s">
        <v>225</v>
      </c>
      <c r="G139" s="6" t="s">
        <v>225</v>
      </c>
      <c r="H139" s="6" t="s">
        <v>225</v>
      </c>
      <c r="I139" s="6" t="s">
        <v>225</v>
      </c>
      <c r="J139" s="6" t="s">
        <v>225</v>
      </c>
      <c r="K139" s="35" t="s">
        <v>225</v>
      </c>
      <c r="L139" s="35" t="s">
        <v>225</v>
      </c>
      <c r="M139" s="35" t="s">
        <v>225</v>
      </c>
      <c r="N139" s="33" t="s">
        <v>225</v>
      </c>
      <c r="O139" s="28" t="s">
        <v>225</v>
      </c>
      <c r="P139" s="9" t="s">
        <v>225</v>
      </c>
      <c r="Q139" s="9" t="s">
        <v>225</v>
      </c>
      <c r="R139" s="29" t="s">
        <v>225</v>
      </c>
      <c r="S139" s="15" t="s">
        <v>225</v>
      </c>
      <c r="T139" s="7" t="s">
        <v>225</v>
      </c>
      <c r="U139" s="7" t="s">
        <v>225</v>
      </c>
      <c r="V139" s="16" t="s">
        <v>225</v>
      </c>
      <c r="W139" s="17" t="s">
        <v>225</v>
      </c>
      <c r="X139" s="18" t="s">
        <v>225</v>
      </c>
      <c r="Y139" s="19" t="s">
        <v>225</v>
      </c>
      <c r="Z139" s="18" t="s">
        <v>225</v>
      </c>
    </row>
    <row r="140" spans="1:26" x14ac:dyDescent="0.25">
      <c r="A140" s="8" t="s">
        <v>225</v>
      </c>
      <c r="B140" s="5" t="s">
        <v>225</v>
      </c>
      <c r="C140" s="14" t="s">
        <v>225</v>
      </c>
      <c r="D140" s="31" t="s">
        <v>225</v>
      </c>
      <c r="E140" s="6" t="s">
        <v>225</v>
      </c>
      <c r="F140" s="6" t="s">
        <v>225</v>
      </c>
      <c r="G140" s="6" t="s">
        <v>225</v>
      </c>
      <c r="H140" s="6" t="s">
        <v>225</v>
      </c>
      <c r="I140" s="6" t="s">
        <v>225</v>
      </c>
      <c r="J140" s="6" t="s">
        <v>225</v>
      </c>
      <c r="K140" s="35" t="s">
        <v>225</v>
      </c>
      <c r="L140" s="35" t="s">
        <v>225</v>
      </c>
      <c r="M140" s="35" t="s">
        <v>225</v>
      </c>
      <c r="N140" s="33" t="s">
        <v>225</v>
      </c>
      <c r="O140" s="28" t="s">
        <v>225</v>
      </c>
      <c r="P140" s="9" t="s">
        <v>225</v>
      </c>
      <c r="Q140" s="9" t="s">
        <v>225</v>
      </c>
      <c r="R140" s="29" t="s">
        <v>225</v>
      </c>
      <c r="S140" s="15" t="s">
        <v>225</v>
      </c>
      <c r="T140" s="7" t="s">
        <v>225</v>
      </c>
      <c r="U140" s="7" t="s">
        <v>225</v>
      </c>
      <c r="V140" s="16" t="s">
        <v>225</v>
      </c>
      <c r="W140" s="17" t="s">
        <v>225</v>
      </c>
      <c r="X140" s="18" t="s">
        <v>225</v>
      </c>
      <c r="Y140" s="19" t="s">
        <v>225</v>
      </c>
      <c r="Z140" s="18" t="s">
        <v>225</v>
      </c>
    </row>
    <row r="141" spans="1:26" x14ac:dyDescent="0.25">
      <c r="A141" s="8" t="s">
        <v>225</v>
      </c>
      <c r="B141" s="5" t="s">
        <v>225</v>
      </c>
      <c r="C141" s="14" t="s">
        <v>225</v>
      </c>
      <c r="D141" s="31" t="s">
        <v>225</v>
      </c>
      <c r="E141" s="6" t="s">
        <v>225</v>
      </c>
      <c r="F141" s="6" t="s">
        <v>225</v>
      </c>
      <c r="G141" s="6" t="s">
        <v>225</v>
      </c>
      <c r="H141" s="6" t="s">
        <v>225</v>
      </c>
      <c r="I141" s="6" t="s">
        <v>225</v>
      </c>
      <c r="J141" s="6" t="s">
        <v>225</v>
      </c>
      <c r="K141" s="35" t="s">
        <v>225</v>
      </c>
      <c r="L141" s="35" t="s">
        <v>225</v>
      </c>
      <c r="M141" s="35" t="s">
        <v>225</v>
      </c>
      <c r="N141" s="33" t="s">
        <v>225</v>
      </c>
      <c r="O141" s="28" t="s">
        <v>225</v>
      </c>
      <c r="P141" s="9" t="s">
        <v>225</v>
      </c>
      <c r="Q141" s="9" t="s">
        <v>225</v>
      </c>
      <c r="R141" s="29" t="s">
        <v>225</v>
      </c>
      <c r="S141" s="15" t="s">
        <v>225</v>
      </c>
      <c r="T141" s="7" t="s">
        <v>225</v>
      </c>
      <c r="U141" s="7" t="s">
        <v>225</v>
      </c>
      <c r="V141" s="16" t="s">
        <v>225</v>
      </c>
      <c r="W141" s="17" t="s">
        <v>225</v>
      </c>
      <c r="X141" s="18" t="s">
        <v>225</v>
      </c>
      <c r="Y141" s="19" t="s">
        <v>225</v>
      </c>
      <c r="Z141" s="18" t="s">
        <v>225</v>
      </c>
    </row>
    <row r="142" spans="1:26" x14ac:dyDescent="0.25">
      <c r="A142" s="8" t="s">
        <v>225</v>
      </c>
      <c r="B142" s="5" t="s">
        <v>225</v>
      </c>
      <c r="C142" s="14" t="s">
        <v>225</v>
      </c>
      <c r="D142" s="31" t="s">
        <v>225</v>
      </c>
      <c r="E142" s="6" t="s">
        <v>225</v>
      </c>
      <c r="F142" s="6" t="s">
        <v>225</v>
      </c>
      <c r="G142" s="6" t="s">
        <v>225</v>
      </c>
      <c r="H142" s="6" t="s">
        <v>225</v>
      </c>
      <c r="I142" s="6" t="s">
        <v>225</v>
      </c>
      <c r="J142" s="6" t="s">
        <v>225</v>
      </c>
      <c r="K142" s="35" t="s">
        <v>225</v>
      </c>
      <c r="L142" s="35" t="s">
        <v>225</v>
      </c>
      <c r="M142" s="35" t="s">
        <v>225</v>
      </c>
      <c r="N142" s="33" t="s">
        <v>225</v>
      </c>
      <c r="O142" s="28" t="s">
        <v>225</v>
      </c>
      <c r="P142" s="9" t="s">
        <v>225</v>
      </c>
      <c r="Q142" s="9" t="s">
        <v>225</v>
      </c>
      <c r="R142" s="29" t="s">
        <v>225</v>
      </c>
      <c r="S142" s="15" t="s">
        <v>225</v>
      </c>
      <c r="T142" s="7" t="s">
        <v>225</v>
      </c>
      <c r="U142" s="7" t="s">
        <v>225</v>
      </c>
      <c r="V142" s="16" t="s">
        <v>225</v>
      </c>
      <c r="W142" s="17" t="s">
        <v>225</v>
      </c>
      <c r="X142" s="18" t="s">
        <v>225</v>
      </c>
      <c r="Y142" s="19" t="s">
        <v>225</v>
      </c>
      <c r="Z142" s="18" t="s">
        <v>225</v>
      </c>
    </row>
    <row r="143" spans="1:26" x14ac:dyDescent="0.25">
      <c r="A143" s="8" t="s">
        <v>225</v>
      </c>
      <c r="B143" s="5" t="s">
        <v>225</v>
      </c>
      <c r="C143" s="14" t="s">
        <v>225</v>
      </c>
      <c r="D143" s="31" t="s">
        <v>225</v>
      </c>
      <c r="E143" s="6" t="s">
        <v>225</v>
      </c>
      <c r="F143" s="6" t="s">
        <v>225</v>
      </c>
      <c r="G143" s="6" t="s">
        <v>225</v>
      </c>
      <c r="H143" s="6" t="s">
        <v>225</v>
      </c>
      <c r="I143" s="6" t="s">
        <v>225</v>
      </c>
      <c r="J143" s="6" t="s">
        <v>225</v>
      </c>
      <c r="K143" s="35" t="s">
        <v>225</v>
      </c>
      <c r="L143" s="35" t="s">
        <v>225</v>
      </c>
      <c r="M143" s="35" t="s">
        <v>225</v>
      </c>
      <c r="N143" s="33" t="s">
        <v>225</v>
      </c>
      <c r="O143" s="28" t="s">
        <v>225</v>
      </c>
      <c r="P143" s="9" t="s">
        <v>225</v>
      </c>
      <c r="Q143" s="9" t="s">
        <v>225</v>
      </c>
      <c r="R143" s="29" t="s">
        <v>225</v>
      </c>
      <c r="S143" s="15" t="s">
        <v>225</v>
      </c>
      <c r="T143" s="7" t="s">
        <v>225</v>
      </c>
      <c r="U143" s="7" t="s">
        <v>225</v>
      </c>
      <c r="V143" s="16" t="s">
        <v>225</v>
      </c>
      <c r="W143" s="17" t="s">
        <v>225</v>
      </c>
      <c r="X143" s="18" t="s">
        <v>225</v>
      </c>
      <c r="Y143" s="19" t="s">
        <v>225</v>
      </c>
      <c r="Z143" s="18" t="s">
        <v>225</v>
      </c>
    </row>
    <row r="144" spans="1:26" x14ac:dyDescent="0.25">
      <c r="A144" s="8" t="s">
        <v>225</v>
      </c>
      <c r="B144" s="5" t="s">
        <v>225</v>
      </c>
      <c r="C144" s="14" t="s">
        <v>225</v>
      </c>
      <c r="D144" s="31" t="s">
        <v>225</v>
      </c>
      <c r="E144" s="6" t="s">
        <v>225</v>
      </c>
      <c r="F144" s="6" t="s">
        <v>225</v>
      </c>
      <c r="G144" s="6" t="s">
        <v>225</v>
      </c>
      <c r="H144" s="6" t="s">
        <v>225</v>
      </c>
      <c r="I144" s="6" t="s">
        <v>225</v>
      </c>
      <c r="J144" s="6" t="s">
        <v>225</v>
      </c>
      <c r="K144" s="35" t="s">
        <v>225</v>
      </c>
      <c r="L144" s="35" t="s">
        <v>225</v>
      </c>
      <c r="M144" s="35" t="s">
        <v>225</v>
      </c>
      <c r="N144" s="33" t="s">
        <v>225</v>
      </c>
      <c r="O144" s="28" t="s">
        <v>225</v>
      </c>
      <c r="P144" s="9" t="s">
        <v>225</v>
      </c>
      <c r="Q144" s="9" t="s">
        <v>225</v>
      </c>
      <c r="R144" s="29" t="s">
        <v>225</v>
      </c>
      <c r="S144" s="15" t="s">
        <v>225</v>
      </c>
      <c r="T144" s="7" t="s">
        <v>225</v>
      </c>
      <c r="U144" s="7" t="s">
        <v>225</v>
      </c>
      <c r="V144" s="16" t="s">
        <v>225</v>
      </c>
      <c r="W144" s="17" t="s">
        <v>225</v>
      </c>
      <c r="X144" s="18" t="s">
        <v>225</v>
      </c>
      <c r="Y144" s="19" t="s">
        <v>225</v>
      </c>
      <c r="Z144" s="18" t="s">
        <v>225</v>
      </c>
    </row>
    <row r="145" spans="1:26" x14ac:dyDescent="0.25">
      <c r="A145" s="8" t="s">
        <v>225</v>
      </c>
      <c r="B145" s="5" t="s">
        <v>225</v>
      </c>
      <c r="C145" s="14" t="s">
        <v>225</v>
      </c>
      <c r="D145" s="31" t="s">
        <v>225</v>
      </c>
      <c r="E145" s="6" t="s">
        <v>225</v>
      </c>
      <c r="F145" s="6" t="s">
        <v>225</v>
      </c>
      <c r="G145" s="6" t="s">
        <v>225</v>
      </c>
      <c r="H145" s="6" t="s">
        <v>225</v>
      </c>
      <c r="I145" s="6" t="s">
        <v>225</v>
      </c>
      <c r="J145" s="6" t="s">
        <v>225</v>
      </c>
      <c r="K145" s="35" t="s">
        <v>225</v>
      </c>
      <c r="L145" s="35" t="s">
        <v>225</v>
      </c>
      <c r="M145" s="35" t="s">
        <v>225</v>
      </c>
      <c r="N145" s="33" t="s">
        <v>225</v>
      </c>
      <c r="O145" s="28" t="s">
        <v>225</v>
      </c>
      <c r="P145" s="9" t="s">
        <v>225</v>
      </c>
      <c r="Q145" s="9" t="s">
        <v>225</v>
      </c>
      <c r="R145" s="29" t="s">
        <v>225</v>
      </c>
      <c r="S145" s="15" t="s">
        <v>225</v>
      </c>
      <c r="T145" s="7" t="s">
        <v>225</v>
      </c>
      <c r="U145" s="7" t="s">
        <v>225</v>
      </c>
      <c r="V145" s="16" t="s">
        <v>225</v>
      </c>
      <c r="W145" s="17" t="s">
        <v>225</v>
      </c>
      <c r="X145" s="18" t="s">
        <v>225</v>
      </c>
      <c r="Y145" s="19" t="s">
        <v>225</v>
      </c>
      <c r="Z145" s="18" t="s">
        <v>225</v>
      </c>
    </row>
    <row r="146" spans="1:26" x14ac:dyDescent="0.25">
      <c r="A146" s="8" t="s">
        <v>225</v>
      </c>
      <c r="B146" s="5" t="s">
        <v>225</v>
      </c>
      <c r="C146" s="14" t="s">
        <v>225</v>
      </c>
      <c r="D146" s="31" t="s">
        <v>225</v>
      </c>
      <c r="E146" s="6" t="s">
        <v>225</v>
      </c>
      <c r="F146" s="6" t="s">
        <v>225</v>
      </c>
      <c r="G146" s="6" t="s">
        <v>225</v>
      </c>
      <c r="H146" s="6" t="s">
        <v>225</v>
      </c>
      <c r="I146" s="6" t="s">
        <v>225</v>
      </c>
      <c r="J146" s="6" t="s">
        <v>225</v>
      </c>
      <c r="K146" s="35" t="s">
        <v>225</v>
      </c>
      <c r="L146" s="35" t="s">
        <v>225</v>
      </c>
      <c r="M146" s="35" t="s">
        <v>225</v>
      </c>
      <c r="N146" s="33" t="s">
        <v>225</v>
      </c>
      <c r="O146" s="28" t="s">
        <v>225</v>
      </c>
      <c r="P146" s="9" t="s">
        <v>225</v>
      </c>
      <c r="Q146" s="9" t="s">
        <v>225</v>
      </c>
      <c r="R146" s="29" t="s">
        <v>225</v>
      </c>
      <c r="S146" s="15" t="s">
        <v>225</v>
      </c>
      <c r="T146" s="7" t="s">
        <v>225</v>
      </c>
      <c r="U146" s="7" t="s">
        <v>225</v>
      </c>
      <c r="V146" s="16" t="s">
        <v>225</v>
      </c>
      <c r="W146" s="17" t="s">
        <v>225</v>
      </c>
      <c r="X146" s="18" t="s">
        <v>225</v>
      </c>
      <c r="Y146" s="19" t="s">
        <v>225</v>
      </c>
      <c r="Z146" s="18" t="s">
        <v>225</v>
      </c>
    </row>
    <row r="147" spans="1:26" x14ac:dyDescent="0.25">
      <c r="A147" s="8" t="s">
        <v>225</v>
      </c>
      <c r="B147" s="5" t="s">
        <v>225</v>
      </c>
      <c r="C147" s="14" t="s">
        <v>225</v>
      </c>
      <c r="D147" s="31" t="s">
        <v>225</v>
      </c>
      <c r="E147" s="6" t="s">
        <v>225</v>
      </c>
      <c r="F147" s="6" t="s">
        <v>225</v>
      </c>
      <c r="G147" s="6" t="s">
        <v>225</v>
      </c>
      <c r="H147" s="6" t="s">
        <v>225</v>
      </c>
      <c r="I147" s="6" t="s">
        <v>225</v>
      </c>
      <c r="J147" s="6" t="s">
        <v>225</v>
      </c>
      <c r="K147" s="35" t="s">
        <v>225</v>
      </c>
      <c r="L147" s="35" t="s">
        <v>225</v>
      </c>
      <c r="M147" s="35" t="s">
        <v>225</v>
      </c>
      <c r="N147" s="33" t="s">
        <v>225</v>
      </c>
      <c r="O147" s="28" t="s">
        <v>225</v>
      </c>
      <c r="P147" s="9" t="s">
        <v>225</v>
      </c>
      <c r="Q147" s="9" t="s">
        <v>225</v>
      </c>
      <c r="R147" s="29" t="s">
        <v>225</v>
      </c>
      <c r="S147" s="15" t="s">
        <v>225</v>
      </c>
      <c r="T147" s="7" t="s">
        <v>225</v>
      </c>
      <c r="U147" s="7" t="s">
        <v>225</v>
      </c>
      <c r="V147" s="16" t="s">
        <v>225</v>
      </c>
      <c r="W147" s="17" t="s">
        <v>225</v>
      </c>
      <c r="X147" s="18" t="s">
        <v>225</v>
      </c>
      <c r="Y147" s="19" t="s">
        <v>225</v>
      </c>
      <c r="Z147" s="18" t="s">
        <v>225</v>
      </c>
    </row>
    <row r="148" spans="1:26" x14ac:dyDescent="0.25">
      <c r="A148" s="8" t="s">
        <v>225</v>
      </c>
      <c r="B148" s="5" t="s">
        <v>225</v>
      </c>
      <c r="C148" s="14" t="s">
        <v>225</v>
      </c>
      <c r="D148" s="31" t="s">
        <v>225</v>
      </c>
      <c r="E148" s="6" t="s">
        <v>225</v>
      </c>
      <c r="F148" s="6" t="s">
        <v>225</v>
      </c>
      <c r="G148" s="6" t="s">
        <v>225</v>
      </c>
      <c r="H148" s="6" t="s">
        <v>225</v>
      </c>
      <c r="I148" s="6" t="s">
        <v>225</v>
      </c>
      <c r="J148" s="6" t="s">
        <v>225</v>
      </c>
      <c r="K148" s="35" t="s">
        <v>225</v>
      </c>
      <c r="L148" s="35" t="s">
        <v>225</v>
      </c>
      <c r="M148" s="35" t="s">
        <v>225</v>
      </c>
      <c r="N148" s="33" t="s">
        <v>225</v>
      </c>
      <c r="O148" s="28" t="s">
        <v>225</v>
      </c>
      <c r="P148" s="9" t="s">
        <v>225</v>
      </c>
      <c r="Q148" s="9" t="s">
        <v>225</v>
      </c>
      <c r="R148" s="29" t="s">
        <v>225</v>
      </c>
      <c r="S148" s="15" t="s">
        <v>225</v>
      </c>
      <c r="T148" s="7" t="s">
        <v>225</v>
      </c>
      <c r="U148" s="7" t="s">
        <v>225</v>
      </c>
      <c r="V148" s="16" t="s">
        <v>225</v>
      </c>
      <c r="W148" s="17" t="s">
        <v>225</v>
      </c>
      <c r="X148" s="18" t="s">
        <v>225</v>
      </c>
      <c r="Y148" s="19" t="s">
        <v>225</v>
      </c>
      <c r="Z148" s="18" t="s">
        <v>225</v>
      </c>
    </row>
    <row r="149" spans="1:26" x14ac:dyDescent="0.25">
      <c r="A149" s="8" t="s">
        <v>225</v>
      </c>
      <c r="B149" s="5" t="s">
        <v>225</v>
      </c>
      <c r="C149" s="14" t="s">
        <v>225</v>
      </c>
      <c r="D149" s="31" t="s">
        <v>225</v>
      </c>
      <c r="E149" s="6" t="s">
        <v>225</v>
      </c>
      <c r="F149" s="6" t="s">
        <v>225</v>
      </c>
      <c r="G149" s="6" t="s">
        <v>225</v>
      </c>
      <c r="H149" s="6" t="s">
        <v>225</v>
      </c>
      <c r="I149" s="6" t="s">
        <v>225</v>
      </c>
      <c r="J149" s="6" t="s">
        <v>225</v>
      </c>
      <c r="K149" s="35" t="s">
        <v>225</v>
      </c>
      <c r="L149" s="35" t="s">
        <v>225</v>
      </c>
      <c r="M149" s="35" t="s">
        <v>225</v>
      </c>
      <c r="N149" s="33" t="s">
        <v>225</v>
      </c>
      <c r="O149" s="28" t="s">
        <v>225</v>
      </c>
      <c r="P149" s="9" t="s">
        <v>225</v>
      </c>
      <c r="Q149" s="9" t="s">
        <v>225</v>
      </c>
      <c r="R149" s="29" t="s">
        <v>225</v>
      </c>
      <c r="S149" s="15" t="s">
        <v>225</v>
      </c>
      <c r="T149" s="7" t="s">
        <v>225</v>
      </c>
      <c r="U149" s="7" t="s">
        <v>225</v>
      </c>
      <c r="V149" s="16" t="s">
        <v>225</v>
      </c>
      <c r="W149" s="17" t="s">
        <v>225</v>
      </c>
      <c r="X149" s="18" t="s">
        <v>225</v>
      </c>
      <c r="Y149" s="19" t="s">
        <v>225</v>
      </c>
      <c r="Z149" s="18" t="s">
        <v>225</v>
      </c>
    </row>
    <row r="150" spans="1:26" x14ac:dyDescent="0.25">
      <c r="A150" s="8" t="s">
        <v>225</v>
      </c>
      <c r="B150" s="5" t="s">
        <v>225</v>
      </c>
      <c r="C150" s="14" t="s">
        <v>225</v>
      </c>
      <c r="D150" s="31" t="s">
        <v>225</v>
      </c>
      <c r="E150" s="6" t="s">
        <v>225</v>
      </c>
      <c r="F150" s="6" t="s">
        <v>225</v>
      </c>
      <c r="G150" s="6" t="s">
        <v>225</v>
      </c>
      <c r="H150" s="6" t="s">
        <v>225</v>
      </c>
      <c r="I150" s="6" t="s">
        <v>225</v>
      </c>
      <c r="J150" s="6" t="s">
        <v>225</v>
      </c>
      <c r="K150" s="35" t="s">
        <v>225</v>
      </c>
      <c r="L150" s="35" t="s">
        <v>225</v>
      </c>
      <c r="M150" s="35" t="s">
        <v>225</v>
      </c>
      <c r="N150" s="33" t="s">
        <v>225</v>
      </c>
      <c r="O150" s="28" t="s">
        <v>225</v>
      </c>
      <c r="P150" s="9" t="s">
        <v>225</v>
      </c>
      <c r="Q150" s="9" t="s">
        <v>225</v>
      </c>
      <c r="R150" s="29" t="s">
        <v>225</v>
      </c>
      <c r="S150" s="15" t="s">
        <v>225</v>
      </c>
      <c r="T150" s="7" t="s">
        <v>225</v>
      </c>
      <c r="U150" s="7" t="s">
        <v>225</v>
      </c>
      <c r="V150" s="16" t="s">
        <v>225</v>
      </c>
      <c r="W150" s="17" t="s">
        <v>225</v>
      </c>
      <c r="X150" s="18" t="s">
        <v>225</v>
      </c>
      <c r="Y150" s="19" t="s">
        <v>225</v>
      </c>
      <c r="Z150" s="18" t="s">
        <v>225</v>
      </c>
    </row>
    <row r="151" spans="1:26" x14ac:dyDescent="0.25">
      <c r="A151" s="8" t="s">
        <v>225</v>
      </c>
      <c r="B151" s="5" t="s">
        <v>225</v>
      </c>
      <c r="C151" s="14" t="s">
        <v>225</v>
      </c>
      <c r="D151" s="31" t="s">
        <v>225</v>
      </c>
      <c r="E151" s="6" t="s">
        <v>225</v>
      </c>
      <c r="F151" s="6" t="s">
        <v>225</v>
      </c>
      <c r="G151" s="6" t="s">
        <v>225</v>
      </c>
      <c r="H151" s="6" t="s">
        <v>225</v>
      </c>
      <c r="I151" s="6" t="s">
        <v>225</v>
      </c>
      <c r="J151" s="6" t="s">
        <v>225</v>
      </c>
      <c r="K151" s="35" t="s">
        <v>225</v>
      </c>
      <c r="L151" s="35" t="s">
        <v>225</v>
      </c>
      <c r="M151" s="35" t="s">
        <v>225</v>
      </c>
      <c r="N151" s="33" t="s">
        <v>225</v>
      </c>
      <c r="O151" s="28" t="s">
        <v>225</v>
      </c>
      <c r="P151" s="9" t="s">
        <v>225</v>
      </c>
      <c r="Q151" s="9" t="s">
        <v>225</v>
      </c>
      <c r="R151" s="29" t="s">
        <v>225</v>
      </c>
      <c r="S151" s="15" t="s">
        <v>225</v>
      </c>
      <c r="T151" s="7" t="s">
        <v>225</v>
      </c>
      <c r="U151" s="7" t="s">
        <v>225</v>
      </c>
      <c r="V151" s="16" t="s">
        <v>225</v>
      </c>
      <c r="W151" s="17" t="s">
        <v>225</v>
      </c>
      <c r="X151" s="18" t="s">
        <v>225</v>
      </c>
      <c r="Y151" s="19" t="s">
        <v>225</v>
      </c>
      <c r="Z151" s="18" t="s">
        <v>225</v>
      </c>
    </row>
    <row r="152" spans="1:26" x14ac:dyDescent="0.25">
      <c r="A152" s="8" t="s">
        <v>225</v>
      </c>
      <c r="B152" s="5" t="s">
        <v>225</v>
      </c>
      <c r="C152" s="14" t="s">
        <v>225</v>
      </c>
      <c r="D152" s="31" t="s">
        <v>225</v>
      </c>
      <c r="E152" s="6" t="s">
        <v>225</v>
      </c>
      <c r="F152" s="6" t="s">
        <v>225</v>
      </c>
      <c r="G152" s="6" t="s">
        <v>225</v>
      </c>
      <c r="H152" s="6" t="s">
        <v>225</v>
      </c>
      <c r="I152" s="6" t="s">
        <v>225</v>
      </c>
      <c r="J152" s="6" t="s">
        <v>225</v>
      </c>
      <c r="K152" s="35" t="s">
        <v>225</v>
      </c>
      <c r="L152" s="35" t="s">
        <v>225</v>
      </c>
      <c r="M152" s="35" t="s">
        <v>225</v>
      </c>
      <c r="N152" s="33" t="s">
        <v>225</v>
      </c>
      <c r="O152" s="28" t="s">
        <v>225</v>
      </c>
      <c r="P152" s="9" t="s">
        <v>225</v>
      </c>
      <c r="Q152" s="9" t="s">
        <v>225</v>
      </c>
      <c r="R152" s="29" t="s">
        <v>225</v>
      </c>
      <c r="S152" s="15" t="s">
        <v>225</v>
      </c>
      <c r="T152" s="7" t="s">
        <v>225</v>
      </c>
      <c r="U152" s="7" t="s">
        <v>225</v>
      </c>
      <c r="V152" s="16" t="s">
        <v>225</v>
      </c>
      <c r="W152" s="17" t="s">
        <v>225</v>
      </c>
      <c r="X152" s="18" t="s">
        <v>225</v>
      </c>
      <c r="Y152" s="19" t="s">
        <v>225</v>
      </c>
      <c r="Z152" s="18" t="s">
        <v>225</v>
      </c>
    </row>
    <row r="153" spans="1:26" x14ac:dyDescent="0.25">
      <c r="A153" s="8" t="s">
        <v>225</v>
      </c>
      <c r="B153" s="5" t="s">
        <v>225</v>
      </c>
      <c r="C153" s="14" t="s">
        <v>225</v>
      </c>
      <c r="D153" s="31" t="s">
        <v>225</v>
      </c>
      <c r="E153" s="6" t="s">
        <v>225</v>
      </c>
      <c r="F153" s="6" t="s">
        <v>225</v>
      </c>
      <c r="G153" s="6" t="s">
        <v>225</v>
      </c>
      <c r="H153" s="6" t="s">
        <v>225</v>
      </c>
      <c r="I153" s="6" t="s">
        <v>225</v>
      </c>
      <c r="J153" s="6" t="s">
        <v>225</v>
      </c>
      <c r="K153" s="35" t="s">
        <v>225</v>
      </c>
      <c r="L153" s="35" t="s">
        <v>225</v>
      </c>
      <c r="M153" s="35" t="s">
        <v>225</v>
      </c>
      <c r="N153" s="33" t="s">
        <v>225</v>
      </c>
      <c r="O153" s="28" t="s">
        <v>225</v>
      </c>
      <c r="P153" s="9" t="s">
        <v>225</v>
      </c>
      <c r="Q153" s="9" t="s">
        <v>225</v>
      </c>
      <c r="R153" s="29" t="s">
        <v>225</v>
      </c>
      <c r="S153" s="15" t="s">
        <v>225</v>
      </c>
      <c r="T153" s="7" t="s">
        <v>225</v>
      </c>
      <c r="U153" s="7" t="s">
        <v>225</v>
      </c>
      <c r="V153" s="16" t="s">
        <v>225</v>
      </c>
      <c r="W153" s="17" t="s">
        <v>225</v>
      </c>
      <c r="X153" s="18" t="s">
        <v>225</v>
      </c>
      <c r="Y153" s="19" t="s">
        <v>225</v>
      </c>
      <c r="Z153" s="18" t="s">
        <v>225</v>
      </c>
    </row>
    <row r="154" spans="1:26" x14ac:dyDescent="0.25">
      <c r="A154" s="8" t="s">
        <v>225</v>
      </c>
      <c r="B154" s="5" t="s">
        <v>225</v>
      </c>
      <c r="C154" s="14" t="s">
        <v>225</v>
      </c>
      <c r="D154" s="31" t="s">
        <v>225</v>
      </c>
      <c r="E154" s="6" t="s">
        <v>225</v>
      </c>
      <c r="F154" s="6" t="s">
        <v>225</v>
      </c>
      <c r="G154" s="6" t="s">
        <v>225</v>
      </c>
      <c r="H154" s="6" t="s">
        <v>225</v>
      </c>
      <c r="I154" s="6" t="s">
        <v>225</v>
      </c>
      <c r="J154" s="6" t="s">
        <v>225</v>
      </c>
      <c r="K154" s="35" t="s">
        <v>225</v>
      </c>
      <c r="L154" s="35" t="s">
        <v>225</v>
      </c>
      <c r="M154" s="35" t="s">
        <v>225</v>
      </c>
      <c r="N154" s="33" t="s">
        <v>225</v>
      </c>
      <c r="O154" s="28" t="s">
        <v>225</v>
      </c>
      <c r="P154" s="9" t="s">
        <v>225</v>
      </c>
      <c r="Q154" s="9" t="s">
        <v>225</v>
      </c>
      <c r="R154" s="29" t="s">
        <v>225</v>
      </c>
      <c r="S154" s="15" t="s">
        <v>225</v>
      </c>
      <c r="T154" s="7" t="s">
        <v>225</v>
      </c>
      <c r="U154" s="7" t="s">
        <v>225</v>
      </c>
      <c r="V154" s="16" t="s">
        <v>225</v>
      </c>
      <c r="W154" s="17" t="s">
        <v>225</v>
      </c>
      <c r="X154" s="18" t="s">
        <v>225</v>
      </c>
      <c r="Y154" s="19" t="s">
        <v>225</v>
      </c>
      <c r="Z154" s="18" t="s">
        <v>225</v>
      </c>
    </row>
    <row r="155" spans="1:26" x14ac:dyDescent="0.25">
      <c r="A155" s="8" t="s">
        <v>225</v>
      </c>
      <c r="B155" s="5" t="s">
        <v>225</v>
      </c>
      <c r="C155" s="14" t="s">
        <v>225</v>
      </c>
      <c r="D155" s="31" t="s">
        <v>225</v>
      </c>
      <c r="E155" s="6" t="s">
        <v>225</v>
      </c>
      <c r="F155" s="6" t="s">
        <v>225</v>
      </c>
      <c r="G155" s="6" t="s">
        <v>225</v>
      </c>
      <c r="H155" s="6" t="s">
        <v>225</v>
      </c>
      <c r="I155" s="6" t="s">
        <v>225</v>
      </c>
      <c r="J155" s="6" t="s">
        <v>225</v>
      </c>
      <c r="K155" s="35" t="s">
        <v>225</v>
      </c>
      <c r="L155" s="35" t="s">
        <v>225</v>
      </c>
      <c r="M155" s="35" t="s">
        <v>225</v>
      </c>
      <c r="N155" s="33" t="s">
        <v>225</v>
      </c>
      <c r="O155" s="28" t="s">
        <v>225</v>
      </c>
      <c r="P155" s="9" t="s">
        <v>225</v>
      </c>
      <c r="Q155" s="9" t="s">
        <v>225</v>
      </c>
      <c r="R155" s="29" t="s">
        <v>225</v>
      </c>
      <c r="S155" s="15" t="s">
        <v>225</v>
      </c>
      <c r="T155" s="7" t="s">
        <v>225</v>
      </c>
      <c r="U155" s="7" t="s">
        <v>225</v>
      </c>
      <c r="V155" s="16" t="s">
        <v>225</v>
      </c>
      <c r="W155" s="17" t="s">
        <v>225</v>
      </c>
      <c r="X155" s="18" t="s">
        <v>225</v>
      </c>
      <c r="Y155" s="19" t="s">
        <v>225</v>
      </c>
      <c r="Z155" s="18" t="s">
        <v>225</v>
      </c>
    </row>
    <row r="156" spans="1:26" x14ac:dyDescent="0.25">
      <c r="A156" s="8" t="s">
        <v>225</v>
      </c>
      <c r="B156" s="5" t="s">
        <v>225</v>
      </c>
      <c r="C156" s="14" t="s">
        <v>225</v>
      </c>
      <c r="D156" s="31" t="s">
        <v>225</v>
      </c>
      <c r="E156" s="6" t="s">
        <v>225</v>
      </c>
      <c r="F156" s="6" t="s">
        <v>225</v>
      </c>
      <c r="G156" s="6" t="s">
        <v>225</v>
      </c>
      <c r="H156" s="6" t="s">
        <v>225</v>
      </c>
      <c r="I156" s="6" t="s">
        <v>225</v>
      </c>
      <c r="J156" s="6" t="s">
        <v>225</v>
      </c>
      <c r="K156" s="35" t="s">
        <v>225</v>
      </c>
      <c r="L156" s="35" t="s">
        <v>225</v>
      </c>
      <c r="M156" s="35" t="s">
        <v>225</v>
      </c>
      <c r="N156" s="33" t="s">
        <v>225</v>
      </c>
      <c r="O156" s="28" t="s">
        <v>225</v>
      </c>
      <c r="P156" s="9" t="s">
        <v>225</v>
      </c>
      <c r="Q156" s="9" t="s">
        <v>225</v>
      </c>
      <c r="R156" s="29" t="s">
        <v>225</v>
      </c>
      <c r="S156" s="15" t="s">
        <v>225</v>
      </c>
      <c r="T156" s="7" t="s">
        <v>225</v>
      </c>
      <c r="U156" s="7" t="s">
        <v>225</v>
      </c>
      <c r="V156" s="16" t="s">
        <v>225</v>
      </c>
      <c r="W156" s="17" t="s">
        <v>225</v>
      </c>
      <c r="X156" s="18" t="s">
        <v>225</v>
      </c>
      <c r="Y156" s="19" t="s">
        <v>225</v>
      </c>
      <c r="Z156" s="18" t="s">
        <v>225</v>
      </c>
    </row>
    <row r="157" spans="1:26" x14ac:dyDescent="0.25">
      <c r="A157" s="8" t="s">
        <v>225</v>
      </c>
      <c r="B157" s="5" t="s">
        <v>225</v>
      </c>
      <c r="C157" s="14" t="s">
        <v>225</v>
      </c>
      <c r="D157" s="31" t="s">
        <v>225</v>
      </c>
      <c r="E157" s="6" t="s">
        <v>225</v>
      </c>
      <c r="F157" s="6" t="s">
        <v>225</v>
      </c>
      <c r="G157" s="6" t="s">
        <v>225</v>
      </c>
      <c r="H157" s="6" t="s">
        <v>225</v>
      </c>
      <c r="I157" s="6" t="s">
        <v>225</v>
      </c>
      <c r="J157" s="6" t="s">
        <v>225</v>
      </c>
      <c r="K157" s="35" t="s">
        <v>225</v>
      </c>
      <c r="L157" s="35" t="s">
        <v>225</v>
      </c>
      <c r="M157" s="35" t="s">
        <v>225</v>
      </c>
      <c r="N157" s="33" t="s">
        <v>225</v>
      </c>
      <c r="O157" s="28" t="s">
        <v>225</v>
      </c>
      <c r="P157" s="9" t="s">
        <v>225</v>
      </c>
      <c r="Q157" s="9" t="s">
        <v>225</v>
      </c>
      <c r="R157" s="29" t="s">
        <v>225</v>
      </c>
      <c r="S157" s="15" t="s">
        <v>225</v>
      </c>
      <c r="T157" s="7" t="s">
        <v>225</v>
      </c>
      <c r="U157" s="7" t="s">
        <v>225</v>
      </c>
      <c r="V157" s="16" t="s">
        <v>225</v>
      </c>
      <c r="W157" s="17" t="s">
        <v>225</v>
      </c>
      <c r="X157" s="18" t="s">
        <v>225</v>
      </c>
      <c r="Y157" s="19" t="s">
        <v>225</v>
      </c>
      <c r="Z157" s="18" t="s">
        <v>225</v>
      </c>
    </row>
    <row r="158" spans="1:26" x14ac:dyDescent="0.25">
      <c r="A158" s="8" t="s">
        <v>225</v>
      </c>
      <c r="B158" s="5" t="s">
        <v>225</v>
      </c>
      <c r="C158" s="14" t="s">
        <v>225</v>
      </c>
      <c r="D158" s="31" t="s">
        <v>225</v>
      </c>
      <c r="E158" s="6" t="s">
        <v>225</v>
      </c>
      <c r="F158" s="6" t="s">
        <v>225</v>
      </c>
      <c r="G158" s="6" t="s">
        <v>225</v>
      </c>
      <c r="H158" s="6" t="s">
        <v>225</v>
      </c>
      <c r="I158" s="6" t="s">
        <v>225</v>
      </c>
      <c r="J158" s="6" t="s">
        <v>225</v>
      </c>
      <c r="K158" s="35" t="s">
        <v>225</v>
      </c>
      <c r="L158" s="35" t="s">
        <v>225</v>
      </c>
      <c r="M158" s="35" t="s">
        <v>225</v>
      </c>
      <c r="N158" s="33" t="s">
        <v>225</v>
      </c>
      <c r="O158" s="28" t="s">
        <v>225</v>
      </c>
      <c r="P158" s="9" t="s">
        <v>225</v>
      </c>
      <c r="Q158" s="9" t="s">
        <v>225</v>
      </c>
      <c r="R158" s="29" t="s">
        <v>225</v>
      </c>
      <c r="S158" s="15" t="s">
        <v>225</v>
      </c>
      <c r="T158" s="7" t="s">
        <v>225</v>
      </c>
      <c r="U158" s="7" t="s">
        <v>225</v>
      </c>
      <c r="V158" s="16" t="s">
        <v>225</v>
      </c>
      <c r="W158" s="17" t="s">
        <v>225</v>
      </c>
      <c r="X158" s="18" t="s">
        <v>225</v>
      </c>
      <c r="Y158" s="19" t="s">
        <v>225</v>
      </c>
      <c r="Z158" s="18" t="s">
        <v>225</v>
      </c>
    </row>
    <row r="159" spans="1:26" x14ac:dyDescent="0.25">
      <c r="A159" s="8" t="s">
        <v>225</v>
      </c>
      <c r="B159" s="5" t="s">
        <v>225</v>
      </c>
      <c r="C159" s="14" t="s">
        <v>225</v>
      </c>
      <c r="D159" s="31" t="s">
        <v>225</v>
      </c>
      <c r="E159" s="6" t="s">
        <v>225</v>
      </c>
      <c r="F159" s="6" t="s">
        <v>225</v>
      </c>
      <c r="G159" s="6" t="s">
        <v>225</v>
      </c>
      <c r="H159" s="6" t="s">
        <v>225</v>
      </c>
      <c r="I159" s="6" t="s">
        <v>225</v>
      </c>
      <c r="J159" s="6" t="s">
        <v>225</v>
      </c>
      <c r="K159" s="35" t="s">
        <v>225</v>
      </c>
      <c r="L159" s="35" t="s">
        <v>225</v>
      </c>
      <c r="M159" s="35" t="s">
        <v>225</v>
      </c>
      <c r="N159" s="33" t="s">
        <v>225</v>
      </c>
      <c r="O159" s="28" t="s">
        <v>225</v>
      </c>
      <c r="P159" s="9" t="s">
        <v>225</v>
      </c>
      <c r="Q159" s="9" t="s">
        <v>225</v>
      </c>
      <c r="R159" s="29" t="s">
        <v>225</v>
      </c>
      <c r="S159" s="15" t="s">
        <v>225</v>
      </c>
      <c r="T159" s="7" t="s">
        <v>225</v>
      </c>
      <c r="U159" s="7" t="s">
        <v>225</v>
      </c>
      <c r="V159" s="16" t="s">
        <v>225</v>
      </c>
      <c r="W159" s="17" t="s">
        <v>225</v>
      </c>
      <c r="X159" s="18" t="s">
        <v>225</v>
      </c>
      <c r="Y159" s="19" t="s">
        <v>225</v>
      </c>
      <c r="Z159" s="18" t="s">
        <v>225</v>
      </c>
    </row>
    <row r="160" spans="1:26" x14ac:dyDescent="0.25">
      <c r="A160" s="8" t="s">
        <v>225</v>
      </c>
      <c r="B160" s="5" t="s">
        <v>225</v>
      </c>
      <c r="C160" s="14" t="s">
        <v>225</v>
      </c>
      <c r="D160" s="31" t="s">
        <v>225</v>
      </c>
      <c r="E160" s="6" t="s">
        <v>225</v>
      </c>
      <c r="F160" s="6" t="s">
        <v>225</v>
      </c>
      <c r="G160" s="6" t="s">
        <v>225</v>
      </c>
      <c r="H160" s="6" t="s">
        <v>225</v>
      </c>
      <c r="I160" s="6" t="s">
        <v>225</v>
      </c>
      <c r="J160" s="6" t="s">
        <v>225</v>
      </c>
      <c r="K160" s="35" t="s">
        <v>225</v>
      </c>
      <c r="L160" s="35" t="s">
        <v>225</v>
      </c>
      <c r="M160" s="35" t="s">
        <v>225</v>
      </c>
      <c r="N160" s="33" t="s">
        <v>225</v>
      </c>
      <c r="O160" s="28" t="s">
        <v>225</v>
      </c>
      <c r="P160" s="9" t="s">
        <v>225</v>
      </c>
      <c r="Q160" s="9" t="s">
        <v>225</v>
      </c>
      <c r="R160" s="29" t="s">
        <v>225</v>
      </c>
      <c r="S160" s="15" t="s">
        <v>225</v>
      </c>
      <c r="T160" s="7" t="s">
        <v>225</v>
      </c>
      <c r="U160" s="7" t="s">
        <v>225</v>
      </c>
      <c r="V160" s="16" t="s">
        <v>225</v>
      </c>
      <c r="W160" s="17" t="s">
        <v>225</v>
      </c>
      <c r="X160" s="18" t="s">
        <v>225</v>
      </c>
      <c r="Y160" s="19" t="s">
        <v>225</v>
      </c>
      <c r="Z160" s="18" t="s">
        <v>225</v>
      </c>
    </row>
    <row r="161" spans="1:26" x14ac:dyDescent="0.25">
      <c r="A161" s="8" t="s">
        <v>225</v>
      </c>
      <c r="B161" s="5" t="s">
        <v>225</v>
      </c>
      <c r="C161" s="14" t="s">
        <v>225</v>
      </c>
      <c r="D161" s="31" t="s">
        <v>225</v>
      </c>
      <c r="E161" s="6" t="s">
        <v>225</v>
      </c>
      <c r="F161" s="6" t="s">
        <v>225</v>
      </c>
      <c r="G161" s="6" t="s">
        <v>225</v>
      </c>
      <c r="H161" s="6" t="s">
        <v>225</v>
      </c>
      <c r="I161" s="6" t="s">
        <v>225</v>
      </c>
      <c r="J161" s="6" t="s">
        <v>225</v>
      </c>
      <c r="K161" s="35" t="s">
        <v>225</v>
      </c>
      <c r="L161" s="35" t="s">
        <v>225</v>
      </c>
      <c r="M161" s="35" t="s">
        <v>225</v>
      </c>
      <c r="N161" s="33" t="s">
        <v>225</v>
      </c>
      <c r="O161" s="28" t="s">
        <v>225</v>
      </c>
      <c r="P161" s="9" t="s">
        <v>225</v>
      </c>
      <c r="Q161" s="9" t="s">
        <v>225</v>
      </c>
      <c r="R161" s="29" t="s">
        <v>225</v>
      </c>
      <c r="S161" s="15" t="s">
        <v>225</v>
      </c>
      <c r="T161" s="7" t="s">
        <v>225</v>
      </c>
      <c r="U161" s="7" t="s">
        <v>225</v>
      </c>
      <c r="V161" s="16" t="s">
        <v>225</v>
      </c>
      <c r="W161" s="17" t="s">
        <v>225</v>
      </c>
      <c r="X161" s="18" t="s">
        <v>225</v>
      </c>
      <c r="Y161" s="19" t="s">
        <v>225</v>
      </c>
      <c r="Z161" s="18" t="s">
        <v>225</v>
      </c>
    </row>
    <row r="162" spans="1:26" x14ac:dyDescent="0.25">
      <c r="A162" s="8" t="s">
        <v>225</v>
      </c>
      <c r="B162" s="5" t="s">
        <v>225</v>
      </c>
      <c r="C162" s="14" t="s">
        <v>225</v>
      </c>
      <c r="D162" s="31" t="s">
        <v>225</v>
      </c>
      <c r="E162" s="6" t="s">
        <v>225</v>
      </c>
      <c r="F162" s="6" t="s">
        <v>225</v>
      </c>
      <c r="G162" s="6" t="s">
        <v>225</v>
      </c>
      <c r="H162" s="6" t="s">
        <v>225</v>
      </c>
      <c r="I162" s="6" t="s">
        <v>225</v>
      </c>
      <c r="J162" s="6" t="s">
        <v>225</v>
      </c>
      <c r="K162" s="35" t="s">
        <v>225</v>
      </c>
      <c r="L162" s="35" t="s">
        <v>225</v>
      </c>
      <c r="M162" s="35" t="s">
        <v>225</v>
      </c>
      <c r="N162" s="33" t="s">
        <v>225</v>
      </c>
      <c r="O162" s="28" t="s">
        <v>225</v>
      </c>
      <c r="P162" s="9" t="s">
        <v>225</v>
      </c>
      <c r="Q162" s="9" t="s">
        <v>225</v>
      </c>
      <c r="R162" s="29" t="s">
        <v>225</v>
      </c>
      <c r="S162" s="15" t="s">
        <v>225</v>
      </c>
      <c r="T162" s="7" t="s">
        <v>225</v>
      </c>
      <c r="U162" s="7" t="s">
        <v>225</v>
      </c>
      <c r="V162" s="16" t="s">
        <v>225</v>
      </c>
      <c r="W162" s="17" t="s">
        <v>225</v>
      </c>
      <c r="X162" s="18" t="s">
        <v>225</v>
      </c>
      <c r="Y162" s="19" t="s">
        <v>225</v>
      </c>
      <c r="Z162" s="18" t="s">
        <v>225</v>
      </c>
    </row>
    <row r="163" spans="1:26" x14ac:dyDescent="0.25">
      <c r="A163" s="8" t="s">
        <v>225</v>
      </c>
      <c r="B163" s="5" t="s">
        <v>225</v>
      </c>
      <c r="C163" s="14" t="s">
        <v>225</v>
      </c>
      <c r="D163" s="31" t="s">
        <v>225</v>
      </c>
      <c r="E163" s="6" t="s">
        <v>225</v>
      </c>
      <c r="F163" s="6" t="s">
        <v>225</v>
      </c>
      <c r="G163" s="6" t="s">
        <v>225</v>
      </c>
      <c r="H163" s="6" t="s">
        <v>225</v>
      </c>
      <c r="I163" s="6" t="s">
        <v>225</v>
      </c>
      <c r="J163" s="6" t="s">
        <v>225</v>
      </c>
      <c r="K163" s="35" t="s">
        <v>225</v>
      </c>
      <c r="L163" s="35" t="s">
        <v>225</v>
      </c>
      <c r="M163" s="35" t="s">
        <v>225</v>
      </c>
      <c r="N163" s="33" t="s">
        <v>225</v>
      </c>
      <c r="O163" s="28" t="s">
        <v>225</v>
      </c>
      <c r="P163" s="9" t="s">
        <v>225</v>
      </c>
      <c r="Q163" s="9" t="s">
        <v>225</v>
      </c>
      <c r="R163" s="29" t="s">
        <v>225</v>
      </c>
      <c r="S163" s="15" t="s">
        <v>225</v>
      </c>
      <c r="T163" s="7" t="s">
        <v>225</v>
      </c>
      <c r="U163" s="7" t="s">
        <v>225</v>
      </c>
      <c r="V163" s="16" t="s">
        <v>225</v>
      </c>
      <c r="W163" s="17" t="s">
        <v>225</v>
      </c>
      <c r="X163" s="18" t="s">
        <v>225</v>
      </c>
      <c r="Y163" s="19" t="s">
        <v>225</v>
      </c>
      <c r="Z163" s="18" t="s">
        <v>225</v>
      </c>
    </row>
    <row r="164" spans="1:26" x14ac:dyDescent="0.25">
      <c r="A164" s="8" t="s">
        <v>225</v>
      </c>
      <c r="B164" s="5" t="s">
        <v>225</v>
      </c>
      <c r="C164" s="14" t="s">
        <v>225</v>
      </c>
      <c r="D164" s="31" t="s">
        <v>225</v>
      </c>
      <c r="E164" s="6" t="s">
        <v>225</v>
      </c>
      <c r="F164" s="6" t="s">
        <v>225</v>
      </c>
      <c r="G164" s="6" t="s">
        <v>225</v>
      </c>
      <c r="H164" s="6" t="s">
        <v>225</v>
      </c>
      <c r="I164" s="6" t="s">
        <v>225</v>
      </c>
      <c r="J164" s="6" t="s">
        <v>225</v>
      </c>
      <c r="K164" s="35" t="s">
        <v>225</v>
      </c>
      <c r="L164" s="35" t="s">
        <v>225</v>
      </c>
      <c r="M164" s="35" t="s">
        <v>225</v>
      </c>
      <c r="N164" s="33" t="s">
        <v>225</v>
      </c>
      <c r="O164" s="28" t="s">
        <v>225</v>
      </c>
      <c r="P164" s="9" t="s">
        <v>225</v>
      </c>
      <c r="Q164" s="9" t="s">
        <v>225</v>
      </c>
      <c r="R164" s="29" t="s">
        <v>225</v>
      </c>
      <c r="S164" s="15" t="s">
        <v>225</v>
      </c>
      <c r="T164" s="7" t="s">
        <v>225</v>
      </c>
      <c r="U164" s="7" t="s">
        <v>225</v>
      </c>
      <c r="V164" s="16" t="s">
        <v>225</v>
      </c>
      <c r="W164" s="17" t="s">
        <v>225</v>
      </c>
      <c r="X164" s="18" t="s">
        <v>225</v>
      </c>
      <c r="Y164" s="19" t="s">
        <v>225</v>
      </c>
      <c r="Z164" s="18" t="s">
        <v>225</v>
      </c>
    </row>
    <row r="165" spans="1:26" x14ac:dyDescent="0.25">
      <c r="A165" s="8" t="s">
        <v>225</v>
      </c>
      <c r="B165" s="5" t="s">
        <v>225</v>
      </c>
      <c r="C165" s="14" t="s">
        <v>225</v>
      </c>
      <c r="D165" s="31" t="s">
        <v>225</v>
      </c>
      <c r="E165" s="6" t="s">
        <v>225</v>
      </c>
      <c r="F165" s="6" t="s">
        <v>225</v>
      </c>
      <c r="G165" s="6" t="s">
        <v>225</v>
      </c>
      <c r="H165" s="6" t="s">
        <v>225</v>
      </c>
      <c r="I165" s="6" t="s">
        <v>225</v>
      </c>
      <c r="J165" s="6" t="s">
        <v>225</v>
      </c>
      <c r="K165" s="35" t="s">
        <v>225</v>
      </c>
      <c r="L165" s="35" t="s">
        <v>225</v>
      </c>
      <c r="M165" s="35" t="s">
        <v>225</v>
      </c>
      <c r="N165" s="33" t="s">
        <v>225</v>
      </c>
      <c r="O165" s="28" t="s">
        <v>225</v>
      </c>
      <c r="P165" s="9" t="s">
        <v>225</v>
      </c>
      <c r="Q165" s="9" t="s">
        <v>225</v>
      </c>
      <c r="R165" s="29" t="s">
        <v>225</v>
      </c>
      <c r="S165" s="15" t="s">
        <v>225</v>
      </c>
      <c r="T165" s="7" t="s">
        <v>225</v>
      </c>
      <c r="U165" s="7" t="s">
        <v>225</v>
      </c>
      <c r="V165" s="16" t="s">
        <v>225</v>
      </c>
      <c r="W165" s="17" t="s">
        <v>225</v>
      </c>
      <c r="X165" s="18" t="s">
        <v>225</v>
      </c>
      <c r="Y165" s="19" t="s">
        <v>225</v>
      </c>
      <c r="Z165" s="18" t="s">
        <v>225</v>
      </c>
    </row>
    <row r="166" spans="1:26" x14ac:dyDescent="0.25">
      <c r="A166" s="8" t="s">
        <v>225</v>
      </c>
      <c r="B166" s="5" t="s">
        <v>225</v>
      </c>
      <c r="C166" s="14" t="s">
        <v>225</v>
      </c>
      <c r="D166" s="31" t="s">
        <v>225</v>
      </c>
      <c r="E166" s="6" t="s">
        <v>225</v>
      </c>
      <c r="F166" s="6" t="s">
        <v>225</v>
      </c>
      <c r="G166" s="6" t="s">
        <v>225</v>
      </c>
      <c r="H166" s="6" t="s">
        <v>225</v>
      </c>
      <c r="I166" s="6" t="s">
        <v>225</v>
      </c>
      <c r="J166" s="6" t="s">
        <v>225</v>
      </c>
      <c r="K166" s="35" t="s">
        <v>225</v>
      </c>
      <c r="L166" s="35" t="s">
        <v>225</v>
      </c>
      <c r="M166" s="35" t="s">
        <v>225</v>
      </c>
      <c r="N166" s="33" t="s">
        <v>225</v>
      </c>
      <c r="O166" s="28" t="s">
        <v>225</v>
      </c>
      <c r="P166" s="9" t="s">
        <v>225</v>
      </c>
      <c r="Q166" s="9" t="s">
        <v>225</v>
      </c>
      <c r="R166" s="29" t="s">
        <v>225</v>
      </c>
      <c r="S166" s="15" t="s">
        <v>225</v>
      </c>
      <c r="T166" s="7" t="s">
        <v>225</v>
      </c>
      <c r="U166" s="7" t="s">
        <v>225</v>
      </c>
      <c r="V166" s="16" t="s">
        <v>225</v>
      </c>
      <c r="W166" s="17" t="s">
        <v>225</v>
      </c>
      <c r="X166" s="18" t="s">
        <v>225</v>
      </c>
      <c r="Y166" s="19" t="s">
        <v>225</v>
      </c>
      <c r="Z166" s="18" t="s">
        <v>225</v>
      </c>
    </row>
    <row r="167" spans="1:26" x14ac:dyDescent="0.25">
      <c r="A167" s="8" t="s">
        <v>225</v>
      </c>
      <c r="B167" s="5" t="s">
        <v>225</v>
      </c>
      <c r="C167" s="14" t="s">
        <v>225</v>
      </c>
      <c r="D167" s="31" t="s">
        <v>225</v>
      </c>
      <c r="E167" s="6" t="s">
        <v>225</v>
      </c>
      <c r="F167" s="6" t="s">
        <v>225</v>
      </c>
      <c r="G167" s="6" t="s">
        <v>225</v>
      </c>
      <c r="H167" s="6" t="s">
        <v>225</v>
      </c>
      <c r="I167" s="6" t="s">
        <v>225</v>
      </c>
      <c r="J167" s="6" t="s">
        <v>225</v>
      </c>
      <c r="K167" s="35" t="s">
        <v>225</v>
      </c>
      <c r="L167" s="35" t="s">
        <v>225</v>
      </c>
      <c r="M167" s="35" t="s">
        <v>225</v>
      </c>
      <c r="N167" s="33" t="s">
        <v>225</v>
      </c>
      <c r="O167" s="28" t="s">
        <v>225</v>
      </c>
      <c r="P167" s="9" t="s">
        <v>225</v>
      </c>
      <c r="Q167" s="9" t="s">
        <v>225</v>
      </c>
      <c r="R167" s="29" t="s">
        <v>225</v>
      </c>
      <c r="S167" s="15" t="s">
        <v>225</v>
      </c>
      <c r="T167" s="7" t="s">
        <v>225</v>
      </c>
      <c r="U167" s="7" t="s">
        <v>225</v>
      </c>
      <c r="V167" s="16" t="s">
        <v>225</v>
      </c>
      <c r="W167" s="17" t="s">
        <v>225</v>
      </c>
      <c r="X167" s="18" t="s">
        <v>225</v>
      </c>
      <c r="Y167" s="19" t="s">
        <v>225</v>
      </c>
      <c r="Z167" s="18" t="s">
        <v>225</v>
      </c>
    </row>
    <row r="168" spans="1:26" x14ac:dyDescent="0.25">
      <c r="A168" s="8" t="s">
        <v>225</v>
      </c>
      <c r="B168" s="5" t="s">
        <v>225</v>
      </c>
      <c r="C168" s="14" t="s">
        <v>225</v>
      </c>
      <c r="D168" s="31" t="s">
        <v>225</v>
      </c>
      <c r="E168" s="6" t="s">
        <v>225</v>
      </c>
      <c r="F168" s="6" t="s">
        <v>225</v>
      </c>
      <c r="G168" s="6" t="s">
        <v>225</v>
      </c>
      <c r="H168" s="6" t="s">
        <v>225</v>
      </c>
      <c r="I168" s="6" t="s">
        <v>225</v>
      </c>
      <c r="J168" s="6" t="s">
        <v>225</v>
      </c>
      <c r="K168" s="35" t="s">
        <v>225</v>
      </c>
      <c r="L168" s="35" t="s">
        <v>225</v>
      </c>
      <c r="M168" s="35" t="s">
        <v>225</v>
      </c>
      <c r="N168" s="33" t="s">
        <v>225</v>
      </c>
      <c r="O168" s="28" t="s">
        <v>225</v>
      </c>
      <c r="P168" s="9" t="s">
        <v>225</v>
      </c>
      <c r="Q168" s="9" t="s">
        <v>225</v>
      </c>
      <c r="R168" s="29" t="s">
        <v>225</v>
      </c>
      <c r="S168" s="15" t="s">
        <v>225</v>
      </c>
      <c r="T168" s="7" t="s">
        <v>225</v>
      </c>
      <c r="U168" s="7" t="s">
        <v>225</v>
      </c>
      <c r="V168" s="16" t="s">
        <v>225</v>
      </c>
      <c r="W168" s="17" t="s">
        <v>225</v>
      </c>
      <c r="X168" s="18" t="s">
        <v>225</v>
      </c>
      <c r="Y168" s="19" t="s">
        <v>225</v>
      </c>
      <c r="Z168" s="18" t="s">
        <v>225</v>
      </c>
    </row>
    <row r="169" spans="1:26" x14ac:dyDescent="0.25">
      <c r="A169" s="8" t="s">
        <v>225</v>
      </c>
      <c r="B169" s="5" t="s">
        <v>225</v>
      </c>
      <c r="C169" s="14" t="s">
        <v>225</v>
      </c>
      <c r="D169" s="31" t="s">
        <v>225</v>
      </c>
      <c r="E169" s="6" t="s">
        <v>225</v>
      </c>
      <c r="F169" s="6" t="s">
        <v>225</v>
      </c>
      <c r="G169" s="6" t="s">
        <v>225</v>
      </c>
      <c r="H169" s="6" t="s">
        <v>225</v>
      </c>
      <c r="I169" s="6" t="s">
        <v>225</v>
      </c>
      <c r="J169" s="6" t="s">
        <v>225</v>
      </c>
      <c r="K169" s="35" t="s">
        <v>225</v>
      </c>
      <c r="L169" s="35" t="s">
        <v>225</v>
      </c>
      <c r="M169" s="35" t="s">
        <v>225</v>
      </c>
      <c r="N169" s="33" t="s">
        <v>225</v>
      </c>
      <c r="O169" s="28" t="s">
        <v>225</v>
      </c>
      <c r="P169" s="9" t="s">
        <v>225</v>
      </c>
      <c r="Q169" s="9" t="s">
        <v>225</v>
      </c>
      <c r="R169" s="29" t="s">
        <v>225</v>
      </c>
      <c r="S169" s="15" t="s">
        <v>225</v>
      </c>
      <c r="T169" s="7" t="s">
        <v>225</v>
      </c>
      <c r="U169" s="7" t="s">
        <v>225</v>
      </c>
      <c r="V169" s="16" t="s">
        <v>225</v>
      </c>
      <c r="W169" s="17" t="s">
        <v>225</v>
      </c>
      <c r="X169" s="18" t="s">
        <v>225</v>
      </c>
      <c r="Y169" s="19" t="s">
        <v>225</v>
      </c>
      <c r="Z169" s="18" t="s">
        <v>225</v>
      </c>
    </row>
    <row r="170" spans="1:26" x14ac:dyDescent="0.25">
      <c r="A170" s="8" t="s">
        <v>225</v>
      </c>
      <c r="B170" s="5" t="s">
        <v>225</v>
      </c>
      <c r="C170" s="14" t="s">
        <v>225</v>
      </c>
      <c r="D170" s="31" t="s">
        <v>225</v>
      </c>
      <c r="E170" s="6" t="s">
        <v>225</v>
      </c>
      <c r="F170" s="6" t="s">
        <v>225</v>
      </c>
      <c r="G170" s="6" t="s">
        <v>225</v>
      </c>
      <c r="H170" s="6" t="s">
        <v>225</v>
      </c>
      <c r="I170" s="6" t="s">
        <v>225</v>
      </c>
      <c r="J170" s="6" t="s">
        <v>225</v>
      </c>
      <c r="K170" s="35" t="s">
        <v>225</v>
      </c>
      <c r="L170" s="35" t="s">
        <v>225</v>
      </c>
      <c r="M170" s="35" t="s">
        <v>225</v>
      </c>
      <c r="N170" s="33" t="s">
        <v>225</v>
      </c>
      <c r="O170" s="28" t="s">
        <v>225</v>
      </c>
      <c r="P170" s="9" t="s">
        <v>225</v>
      </c>
      <c r="Q170" s="9" t="s">
        <v>225</v>
      </c>
      <c r="R170" s="29" t="s">
        <v>225</v>
      </c>
      <c r="S170" s="15" t="s">
        <v>225</v>
      </c>
      <c r="T170" s="7" t="s">
        <v>225</v>
      </c>
      <c r="U170" s="7" t="s">
        <v>225</v>
      </c>
      <c r="V170" s="16" t="s">
        <v>225</v>
      </c>
      <c r="W170" s="17" t="s">
        <v>225</v>
      </c>
      <c r="X170" s="18" t="s">
        <v>225</v>
      </c>
      <c r="Y170" s="19" t="s">
        <v>225</v>
      </c>
      <c r="Z170" s="18" t="s">
        <v>225</v>
      </c>
    </row>
    <row r="171" spans="1:26" x14ac:dyDescent="0.25">
      <c r="A171" s="8" t="s">
        <v>225</v>
      </c>
      <c r="B171" s="5" t="s">
        <v>225</v>
      </c>
      <c r="C171" s="14" t="s">
        <v>225</v>
      </c>
      <c r="D171" s="31" t="s">
        <v>225</v>
      </c>
      <c r="E171" s="6" t="s">
        <v>225</v>
      </c>
      <c r="F171" s="6" t="s">
        <v>225</v>
      </c>
      <c r="G171" s="6" t="s">
        <v>225</v>
      </c>
      <c r="H171" s="6" t="s">
        <v>225</v>
      </c>
      <c r="I171" s="6" t="s">
        <v>225</v>
      </c>
      <c r="J171" s="6" t="s">
        <v>225</v>
      </c>
      <c r="K171" s="35" t="s">
        <v>225</v>
      </c>
      <c r="L171" s="35" t="s">
        <v>225</v>
      </c>
      <c r="M171" s="35" t="s">
        <v>225</v>
      </c>
      <c r="N171" s="33" t="s">
        <v>225</v>
      </c>
      <c r="O171" s="28" t="s">
        <v>225</v>
      </c>
      <c r="P171" s="9" t="s">
        <v>225</v>
      </c>
      <c r="Q171" s="9" t="s">
        <v>225</v>
      </c>
      <c r="R171" s="29" t="s">
        <v>225</v>
      </c>
      <c r="S171" s="15" t="s">
        <v>225</v>
      </c>
      <c r="T171" s="7" t="s">
        <v>225</v>
      </c>
      <c r="U171" s="7" t="s">
        <v>225</v>
      </c>
      <c r="V171" s="16" t="s">
        <v>225</v>
      </c>
      <c r="W171" s="17" t="s">
        <v>225</v>
      </c>
      <c r="X171" s="18" t="s">
        <v>225</v>
      </c>
      <c r="Y171" s="19" t="s">
        <v>225</v>
      </c>
      <c r="Z171" s="18" t="s">
        <v>225</v>
      </c>
    </row>
    <row r="172" spans="1:26" x14ac:dyDescent="0.25">
      <c r="A172" s="8" t="s">
        <v>225</v>
      </c>
      <c r="B172" s="5" t="s">
        <v>225</v>
      </c>
      <c r="C172" s="14" t="s">
        <v>225</v>
      </c>
      <c r="D172" s="31" t="s">
        <v>225</v>
      </c>
      <c r="E172" s="6" t="s">
        <v>225</v>
      </c>
      <c r="F172" s="6" t="s">
        <v>225</v>
      </c>
      <c r="G172" s="6" t="s">
        <v>225</v>
      </c>
      <c r="H172" s="6" t="s">
        <v>225</v>
      </c>
      <c r="I172" s="6" t="s">
        <v>225</v>
      </c>
      <c r="J172" s="6" t="s">
        <v>225</v>
      </c>
      <c r="K172" s="35" t="s">
        <v>225</v>
      </c>
      <c r="L172" s="35" t="s">
        <v>225</v>
      </c>
      <c r="M172" s="35" t="s">
        <v>225</v>
      </c>
      <c r="N172" s="33" t="s">
        <v>225</v>
      </c>
      <c r="O172" s="28" t="s">
        <v>225</v>
      </c>
      <c r="P172" s="9" t="s">
        <v>225</v>
      </c>
      <c r="Q172" s="9" t="s">
        <v>225</v>
      </c>
      <c r="R172" s="29" t="s">
        <v>225</v>
      </c>
      <c r="S172" s="15" t="s">
        <v>225</v>
      </c>
      <c r="T172" s="7" t="s">
        <v>225</v>
      </c>
      <c r="U172" s="7" t="s">
        <v>225</v>
      </c>
      <c r="V172" s="16" t="s">
        <v>225</v>
      </c>
      <c r="W172" s="17" t="s">
        <v>225</v>
      </c>
      <c r="X172" s="18" t="s">
        <v>225</v>
      </c>
      <c r="Y172" s="19" t="s">
        <v>225</v>
      </c>
      <c r="Z172" s="18" t="s">
        <v>225</v>
      </c>
    </row>
    <row r="173" spans="1:26" x14ac:dyDescent="0.25">
      <c r="A173" s="8" t="s">
        <v>225</v>
      </c>
      <c r="B173" s="5" t="s">
        <v>225</v>
      </c>
      <c r="C173" s="14" t="s">
        <v>225</v>
      </c>
      <c r="D173" s="31" t="s">
        <v>225</v>
      </c>
      <c r="E173" s="6" t="s">
        <v>225</v>
      </c>
      <c r="F173" s="6" t="s">
        <v>225</v>
      </c>
      <c r="G173" s="6" t="s">
        <v>225</v>
      </c>
      <c r="H173" s="6" t="s">
        <v>225</v>
      </c>
      <c r="I173" s="6" t="s">
        <v>225</v>
      </c>
      <c r="J173" s="6" t="s">
        <v>225</v>
      </c>
      <c r="K173" s="35" t="s">
        <v>225</v>
      </c>
      <c r="L173" s="35" t="s">
        <v>225</v>
      </c>
      <c r="M173" s="35" t="s">
        <v>225</v>
      </c>
      <c r="N173" s="33" t="s">
        <v>225</v>
      </c>
      <c r="O173" s="28" t="s">
        <v>225</v>
      </c>
      <c r="P173" s="9" t="s">
        <v>225</v>
      </c>
      <c r="Q173" s="9" t="s">
        <v>225</v>
      </c>
      <c r="R173" s="29" t="s">
        <v>225</v>
      </c>
      <c r="S173" s="15" t="s">
        <v>225</v>
      </c>
      <c r="T173" s="7" t="s">
        <v>225</v>
      </c>
      <c r="U173" s="7" t="s">
        <v>225</v>
      </c>
      <c r="V173" s="16" t="s">
        <v>225</v>
      </c>
      <c r="W173" s="17" t="s">
        <v>225</v>
      </c>
      <c r="X173" s="18" t="s">
        <v>225</v>
      </c>
      <c r="Y173" s="19" t="s">
        <v>225</v>
      </c>
      <c r="Z173" s="18" t="s">
        <v>225</v>
      </c>
    </row>
    <row r="174" spans="1:26" x14ac:dyDescent="0.25">
      <c r="A174" s="8" t="s">
        <v>225</v>
      </c>
      <c r="B174" s="5" t="s">
        <v>225</v>
      </c>
      <c r="C174" s="14" t="s">
        <v>225</v>
      </c>
      <c r="D174" s="31" t="s">
        <v>225</v>
      </c>
      <c r="E174" s="6" t="s">
        <v>225</v>
      </c>
      <c r="F174" s="6" t="s">
        <v>225</v>
      </c>
      <c r="G174" s="6" t="s">
        <v>225</v>
      </c>
      <c r="H174" s="6" t="s">
        <v>225</v>
      </c>
      <c r="I174" s="6" t="s">
        <v>225</v>
      </c>
      <c r="J174" s="6" t="s">
        <v>225</v>
      </c>
      <c r="K174" s="35" t="s">
        <v>225</v>
      </c>
      <c r="L174" s="35" t="s">
        <v>225</v>
      </c>
      <c r="M174" s="35" t="s">
        <v>225</v>
      </c>
      <c r="N174" s="33" t="s">
        <v>225</v>
      </c>
      <c r="O174" s="28" t="s">
        <v>225</v>
      </c>
      <c r="P174" s="9" t="s">
        <v>225</v>
      </c>
      <c r="Q174" s="9" t="s">
        <v>225</v>
      </c>
      <c r="R174" s="29" t="s">
        <v>225</v>
      </c>
      <c r="S174" s="15" t="s">
        <v>225</v>
      </c>
      <c r="T174" s="7" t="s">
        <v>225</v>
      </c>
      <c r="U174" s="7" t="s">
        <v>225</v>
      </c>
      <c r="V174" s="16" t="s">
        <v>225</v>
      </c>
      <c r="W174" s="17" t="s">
        <v>225</v>
      </c>
      <c r="X174" s="18" t="s">
        <v>225</v>
      </c>
      <c r="Y174" s="19" t="s">
        <v>225</v>
      </c>
      <c r="Z174" s="18" t="s">
        <v>225</v>
      </c>
    </row>
    <row r="175" spans="1:26" x14ac:dyDescent="0.25">
      <c r="A175" s="8" t="s">
        <v>225</v>
      </c>
      <c r="B175" s="5" t="s">
        <v>225</v>
      </c>
      <c r="C175" s="14" t="s">
        <v>225</v>
      </c>
      <c r="D175" s="31" t="s">
        <v>225</v>
      </c>
      <c r="E175" s="6" t="s">
        <v>225</v>
      </c>
      <c r="F175" s="6" t="s">
        <v>225</v>
      </c>
      <c r="G175" s="6" t="s">
        <v>225</v>
      </c>
      <c r="H175" s="6" t="s">
        <v>225</v>
      </c>
      <c r="I175" s="6" t="s">
        <v>225</v>
      </c>
      <c r="J175" s="6" t="s">
        <v>225</v>
      </c>
      <c r="K175" s="35" t="s">
        <v>225</v>
      </c>
      <c r="L175" s="35" t="s">
        <v>225</v>
      </c>
      <c r="M175" s="35" t="s">
        <v>225</v>
      </c>
      <c r="N175" s="33" t="s">
        <v>225</v>
      </c>
      <c r="O175" s="28" t="s">
        <v>225</v>
      </c>
      <c r="P175" s="9" t="s">
        <v>225</v>
      </c>
      <c r="Q175" s="9" t="s">
        <v>225</v>
      </c>
      <c r="R175" s="29" t="s">
        <v>225</v>
      </c>
      <c r="S175" s="15" t="s">
        <v>225</v>
      </c>
      <c r="T175" s="7" t="s">
        <v>225</v>
      </c>
      <c r="U175" s="7" t="s">
        <v>225</v>
      </c>
      <c r="V175" s="16" t="s">
        <v>225</v>
      </c>
      <c r="W175" s="17" t="s">
        <v>225</v>
      </c>
      <c r="X175" s="18" t="s">
        <v>225</v>
      </c>
      <c r="Y175" s="19" t="s">
        <v>225</v>
      </c>
      <c r="Z175" s="18" t="s">
        <v>225</v>
      </c>
    </row>
    <row r="176" spans="1:26" x14ac:dyDescent="0.25">
      <c r="A176" s="8" t="s">
        <v>225</v>
      </c>
      <c r="B176" s="5" t="s">
        <v>225</v>
      </c>
      <c r="C176" s="14" t="s">
        <v>225</v>
      </c>
      <c r="D176" s="31" t="s">
        <v>225</v>
      </c>
      <c r="E176" s="6" t="s">
        <v>225</v>
      </c>
      <c r="F176" s="6" t="s">
        <v>225</v>
      </c>
      <c r="G176" s="6" t="s">
        <v>225</v>
      </c>
      <c r="H176" s="6" t="s">
        <v>225</v>
      </c>
      <c r="I176" s="6" t="s">
        <v>225</v>
      </c>
      <c r="J176" s="6" t="s">
        <v>225</v>
      </c>
      <c r="K176" s="35" t="s">
        <v>225</v>
      </c>
      <c r="L176" s="35" t="s">
        <v>225</v>
      </c>
      <c r="M176" s="35" t="s">
        <v>225</v>
      </c>
      <c r="N176" s="33" t="s">
        <v>225</v>
      </c>
      <c r="O176" s="28" t="s">
        <v>225</v>
      </c>
      <c r="P176" s="9" t="s">
        <v>225</v>
      </c>
      <c r="Q176" s="9" t="s">
        <v>225</v>
      </c>
      <c r="R176" s="29" t="s">
        <v>225</v>
      </c>
      <c r="S176" s="15" t="s">
        <v>225</v>
      </c>
      <c r="T176" s="7" t="s">
        <v>225</v>
      </c>
      <c r="U176" s="7" t="s">
        <v>225</v>
      </c>
      <c r="V176" s="16" t="s">
        <v>225</v>
      </c>
      <c r="W176" s="17" t="s">
        <v>225</v>
      </c>
      <c r="X176" s="18" t="s">
        <v>225</v>
      </c>
      <c r="Y176" s="19" t="s">
        <v>225</v>
      </c>
      <c r="Z176" s="18" t="s">
        <v>225</v>
      </c>
    </row>
    <row r="177" spans="1:26" x14ac:dyDescent="0.25">
      <c r="A177" s="8" t="s">
        <v>225</v>
      </c>
      <c r="B177" s="5" t="s">
        <v>225</v>
      </c>
      <c r="C177" s="14" t="s">
        <v>225</v>
      </c>
      <c r="D177" s="31" t="s">
        <v>225</v>
      </c>
      <c r="E177" s="6" t="s">
        <v>225</v>
      </c>
      <c r="F177" s="6" t="s">
        <v>225</v>
      </c>
      <c r="G177" s="6" t="s">
        <v>225</v>
      </c>
      <c r="H177" s="6" t="s">
        <v>225</v>
      </c>
      <c r="I177" s="6" t="s">
        <v>225</v>
      </c>
      <c r="J177" s="6" t="s">
        <v>225</v>
      </c>
      <c r="K177" s="35" t="s">
        <v>225</v>
      </c>
      <c r="L177" s="35" t="s">
        <v>225</v>
      </c>
      <c r="M177" s="35" t="s">
        <v>225</v>
      </c>
      <c r="N177" s="33" t="s">
        <v>225</v>
      </c>
      <c r="O177" s="28" t="s">
        <v>225</v>
      </c>
      <c r="P177" s="9" t="s">
        <v>225</v>
      </c>
      <c r="Q177" s="9" t="s">
        <v>225</v>
      </c>
      <c r="R177" s="29" t="s">
        <v>225</v>
      </c>
      <c r="S177" s="15" t="s">
        <v>225</v>
      </c>
      <c r="T177" s="7" t="s">
        <v>225</v>
      </c>
      <c r="U177" s="7" t="s">
        <v>225</v>
      </c>
      <c r="V177" s="16" t="s">
        <v>225</v>
      </c>
      <c r="W177" s="17" t="s">
        <v>225</v>
      </c>
      <c r="X177" s="18" t="s">
        <v>225</v>
      </c>
      <c r="Y177" s="19" t="s">
        <v>225</v>
      </c>
      <c r="Z177" s="18" t="s">
        <v>225</v>
      </c>
    </row>
    <row r="178" spans="1:26" x14ac:dyDescent="0.25">
      <c r="A178" s="8" t="s">
        <v>225</v>
      </c>
      <c r="B178" s="5" t="s">
        <v>225</v>
      </c>
      <c r="C178" s="14" t="s">
        <v>225</v>
      </c>
      <c r="D178" s="31" t="s">
        <v>225</v>
      </c>
      <c r="E178" s="6" t="s">
        <v>225</v>
      </c>
      <c r="F178" s="6" t="s">
        <v>225</v>
      </c>
      <c r="G178" s="6" t="s">
        <v>225</v>
      </c>
      <c r="H178" s="6" t="s">
        <v>225</v>
      </c>
      <c r="I178" s="6" t="s">
        <v>225</v>
      </c>
      <c r="J178" s="6" t="s">
        <v>225</v>
      </c>
      <c r="K178" s="35" t="s">
        <v>225</v>
      </c>
      <c r="L178" s="35" t="s">
        <v>225</v>
      </c>
      <c r="M178" s="35" t="s">
        <v>225</v>
      </c>
      <c r="N178" s="33" t="s">
        <v>225</v>
      </c>
      <c r="O178" s="28" t="s">
        <v>225</v>
      </c>
      <c r="P178" s="9" t="s">
        <v>225</v>
      </c>
      <c r="Q178" s="9" t="s">
        <v>225</v>
      </c>
      <c r="R178" s="29" t="s">
        <v>225</v>
      </c>
      <c r="S178" s="15" t="s">
        <v>225</v>
      </c>
      <c r="T178" s="7" t="s">
        <v>225</v>
      </c>
      <c r="U178" s="7" t="s">
        <v>225</v>
      </c>
      <c r="V178" s="16" t="s">
        <v>225</v>
      </c>
      <c r="W178" s="17" t="s">
        <v>225</v>
      </c>
      <c r="X178" s="18" t="s">
        <v>225</v>
      </c>
      <c r="Y178" s="19" t="s">
        <v>225</v>
      </c>
      <c r="Z178" s="18" t="s">
        <v>225</v>
      </c>
    </row>
    <row r="179" spans="1:26" x14ac:dyDescent="0.25">
      <c r="A179" s="8" t="s">
        <v>225</v>
      </c>
      <c r="B179" s="5" t="s">
        <v>225</v>
      </c>
      <c r="C179" s="14" t="s">
        <v>225</v>
      </c>
      <c r="D179" s="31" t="s">
        <v>225</v>
      </c>
      <c r="E179" s="6" t="s">
        <v>225</v>
      </c>
      <c r="F179" s="6" t="s">
        <v>225</v>
      </c>
      <c r="G179" s="6" t="s">
        <v>225</v>
      </c>
      <c r="H179" s="6" t="s">
        <v>225</v>
      </c>
      <c r="I179" s="6" t="s">
        <v>225</v>
      </c>
      <c r="J179" s="6" t="s">
        <v>225</v>
      </c>
      <c r="K179" s="35" t="s">
        <v>225</v>
      </c>
      <c r="L179" s="35" t="s">
        <v>225</v>
      </c>
      <c r="M179" s="35" t="s">
        <v>225</v>
      </c>
      <c r="N179" s="33" t="s">
        <v>225</v>
      </c>
      <c r="O179" s="28" t="s">
        <v>225</v>
      </c>
      <c r="P179" s="9" t="s">
        <v>225</v>
      </c>
      <c r="Q179" s="9" t="s">
        <v>225</v>
      </c>
      <c r="R179" s="29" t="s">
        <v>225</v>
      </c>
      <c r="S179" s="15" t="s">
        <v>225</v>
      </c>
      <c r="T179" s="7" t="s">
        <v>225</v>
      </c>
      <c r="U179" s="7" t="s">
        <v>225</v>
      </c>
      <c r="V179" s="16" t="s">
        <v>225</v>
      </c>
      <c r="W179" s="17" t="s">
        <v>225</v>
      </c>
      <c r="X179" s="18" t="s">
        <v>225</v>
      </c>
      <c r="Y179" s="19" t="s">
        <v>225</v>
      </c>
      <c r="Z179" s="18" t="s">
        <v>225</v>
      </c>
    </row>
    <row r="180" spans="1:26" x14ac:dyDescent="0.25">
      <c r="A180" s="8" t="s">
        <v>225</v>
      </c>
      <c r="B180" s="5" t="s">
        <v>225</v>
      </c>
      <c r="C180" s="14" t="s">
        <v>225</v>
      </c>
      <c r="D180" s="31" t="s">
        <v>225</v>
      </c>
      <c r="E180" s="6" t="s">
        <v>225</v>
      </c>
      <c r="F180" s="6" t="s">
        <v>225</v>
      </c>
      <c r="G180" s="6" t="s">
        <v>225</v>
      </c>
      <c r="H180" s="6" t="s">
        <v>225</v>
      </c>
      <c r="I180" s="6" t="s">
        <v>225</v>
      </c>
      <c r="J180" s="6" t="s">
        <v>225</v>
      </c>
      <c r="K180" s="35" t="s">
        <v>225</v>
      </c>
      <c r="L180" s="35" t="s">
        <v>225</v>
      </c>
      <c r="M180" s="35" t="s">
        <v>225</v>
      </c>
      <c r="N180" s="33" t="s">
        <v>225</v>
      </c>
      <c r="O180" s="28" t="s">
        <v>225</v>
      </c>
      <c r="P180" s="9" t="s">
        <v>225</v>
      </c>
      <c r="Q180" s="9" t="s">
        <v>225</v>
      </c>
      <c r="R180" s="29" t="s">
        <v>225</v>
      </c>
      <c r="S180" s="15" t="s">
        <v>225</v>
      </c>
      <c r="T180" s="7" t="s">
        <v>225</v>
      </c>
      <c r="U180" s="7" t="s">
        <v>225</v>
      </c>
      <c r="V180" s="16" t="s">
        <v>225</v>
      </c>
      <c r="W180" s="17" t="s">
        <v>225</v>
      </c>
      <c r="X180" s="18" t="s">
        <v>225</v>
      </c>
      <c r="Y180" s="19" t="s">
        <v>225</v>
      </c>
      <c r="Z180" s="18" t="s">
        <v>225</v>
      </c>
    </row>
    <row r="181" spans="1:26" x14ac:dyDescent="0.25">
      <c r="A181" s="8" t="s">
        <v>225</v>
      </c>
      <c r="B181" s="5" t="s">
        <v>225</v>
      </c>
      <c r="C181" s="14" t="s">
        <v>225</v>
      </c>
      <c r="D181" s="31" t="s">
        <v>225</v>
      </c>
      <c r="E181" s="6" t="s">
        <v>225</v>
      </c>
      <c r="F181" s="6" t="s">
        <v>225</v>
      </c>
      <c r="G181" s="6" t="s">
        <v>225</v>
      </c>
      <c r="H181" s="6" t="s">
        <v>225</v>
      </c>
      <c r="I181" s="6" t="s">
        <v>225</v>
      </c>
      <c r="J181" s="6" t="s">
        <v>225</v>
      </c>
      <c r="K181" s="35" t="s">
        <v>225</v>
      </c>
      <c r="L181" s="35" t="s">
        <v>225</v>
      </c>
      <c r="M181" s="35" t="s">
        <v>225</v>
      </c>
      <c r="N181" s="33" t="s">
        <v>225</v>
      </c>
      <c r="O181" s="28" t="s">
        <v>225</v>
      </c>
      <c r="P181" s="9" t="s">
        <v>225</v>
      </c>
      <c r="Q181" s="9" t="s">
        <v>225</v>
      </c>
      <c r="R181" s="29" t="s">
        <v>225</v>
      </c>
      <c r="S181" s="15" t="s">
        <v>225</v>
      </c>
      <c r="T181" s="7" t="s">
        <v>225</v>
      </c>
      <c r="U181" s="7" t="s">
        <v>225</v>
      </c>
      <c r="V181" s="16" t="s">
        <v>225</v>
      </c>
      <c r="W181" s="17" t="s">
        <v>225</v>
      </c>
      <c r="X181" s="18" t="s">
        <v>225</v>
      </c>
      <c r="Y181" s="19" t="s">
        <v>225</v>
      </c>
      <c r="Z181" s="18" t="s">
        <v>225</v>
      </c>
    </row>
    <row r="182" spans="1:26" x14ac:dyDescent="0.25">
      <c r="A182" s="8" t="s">
        <v>225</v>
      </c>
      <c r="B182" s="5" t="s">
        <v>225</v>
      </c>
      <c r="C182" s="14" t="s">
        <v>225</v>
      </c>
      <c r="D182" s="31" t="s">
        <v>225</v>
      </c>
      <c r="E182" s="6" t="s">
        <v>225</v>
      </c>
      <c r="F182" s="6" t="s">
        <v>225</v>
      </c>
      <c r="G182" s="6" t="s">
        <v>225</v>
      </c>
      <c r="H182" s="6" t="s">
        <v>225</v>
      </c>
      <c r="I182" s="6" t="s">
        <v>225</v>
      </c>
      <c r="J182" s="6" t="s">
        <v>225</v>
      </c>
      <c r="K182" s="35" t="s">
        <v>225</v>
      </c>
      <c r="L182" s="35" t="s">
        <v>225</v>
      </c>
      <c r="M182" s="35" t="s">
        <v>225</v>
      </c>
      <c r="N182" s="33" t="s">
        <v>225</v>
      </c>
      <c r="O182" s="28" t="s">
        <v>225</v>
      </c>
      <c r="P182" s="9" t="s">
        <v>225</v>
      </c>
      <c r="Q182" s="9" t="s">
        <v>225</v>
      </c>
      <c r="R182" s="29" t="s">
        <v>225</v>
      </c>
      <c r="S182" s="15" t="s">
        <v>225</v>
      </c>
      <c r="T182" s="7" t="s">
        <v>225</v>
      </c>
      <c r="U182" s="7" t="s">
        <v>225</v>
      </c>
      <c r="V182" s="16" t="s">
        <v>225</v>
      </c>
      <c r="W182" s="17" t="s">
        <v>225</v>
      </c>
      <c r="X182" s="18" t="s">
        <v>225</v>
      </c>
      <c r="Y182" s="19" t="s">
        <v>225</v>
      </c>
      <c r="Z182" s="18" t="s">
        <v>225</v>
      </c>
    </row>
    <row r="183" spans="1:26" x14ac:dyDescent="0.25">
      <c r="A183" s="8" t="s">
        <v>225</v>
      </c>
      <c r="B183" s="5" t="s">
        <v>225</v>
      </c>
      <c r="C183" s="14" t="s">
        <v>225</v>
      </c>
      <c r="D183" s="31" t="s">
        <v>225</v>
      </c>
      <c r="E183" s="6" t="s">
        <v>225</v>
      </c>
      <c r="F183" s="6" t="s">
        <v>225</v>
      </c>
      <c r="G183" s="6" t="s">
        <v>225</v>
      </c>
      <c r="H183" s="6" t="s">
        <v>225</v>
      </c>
      <c r="I183" s="6" t="s">
        <v>225</v>
      </c>
      <c r="J183" s="6" t="s">
        <v>225</v>
      </c>
      <c r="K183" s="35" t="s">
        <v>225</v>
      </c>
      <c r="L183" s="35" t="s">
        <v>225</v>
      </c>
      <c r="M183" s="35" t="s">
        <v>225</v>
      </c>
      <c r="N183" s="33" t="s">
        <v>225</v>
      </c>
      <c r="O183" s="28" t="s">
        <v>225</v>
      </c>
      <c r="P183" s="9" t="s">
        <v>225</v>
      </c>
      <c r="Q183" s="9" t="s">
        <v>225</v>
      </c>
      <c r="R183" s="29" t="s">
        <v>225</v>
      </c>
      <c r="S183" s="15" t="s">
        <v>225</v>
      </c>
      <c r="T183" s="7" t="s">
        <v>225</v>
      </c>
      <c r="U183" s="7" t="s">
        <v>225</v>
      </c>
      <c r="V183" s="16" t="s">
        <v>225</v>
      </c>
      <c r="W183" s="17" t="s">
        <v>225</v>
      </c>
      <c r="X183" s="18" t="s">
        <v>225</v>
      </c>
      <c r="Y183" s="19" t="s">
        <v>225</v>
      </c>
      <c r="Z183" s="18" t="s">
        <v>225</v>
      </c>
    </row>
    <row r="184" spans="1:26" x14ac:dyDescent="0.25">
      <c r="A184" s="8" t="s">
        <v>225</v>
      </c>
      <c r="B184" s="5" t="s">
        <v>225</v>
      </c>
      <c r="C184" s="14" t="s">
        <v>225</v>
      </c>
      <c r="D184" s="31" t="s">
        <v>225</v>
      </c>
      <c r="E184" s="6" t="s">
        <v>225</v>
      </c>
      <c r="F184" s="6" t="s">
        <v>225</v>
      </c>
      <c r="G184" s="6" t="s">
        <v>225</v>
      </c>
      <c r="H184" s="6" t="s">
        <v>225</v>
      </c>
      <c r="I184" s="6" t="s">
        <v>225</v>
      </c>
      <c r="J184" s="6" t="s">
        <v>225</v>
      </c>
      <c r="K184" s="35" t="s">
        <v>225</v>
      </c>
      <c r="L184" s="35" t="s">
        <v>225</v>
      </c>
      <c r="M184" s="35" t="s">
        <v>225</v>
      </c>
      <c r="N184" s="33" t="s">
        <v>225</v>
      </c>
      <c r="O184" s="28" t="s">
        <v>225</v>
      </c>
      <c r="P184" s="9" t="s">
        <v>225</v>
      </c>
      <c r="Q184" s="9" t="s">
        <v>225</v>
      </c>
      <c r="R184" s="29" t="s">
        <v>225</v>
      </c>
      <c r="S184" s="15" t="s">
        <v>225</v>
      </c>
      <c r="T184" s="7" t="s">
        <v>225</v>
      </c>
      <c r="U184" s="7" t="s">
        <v>225</v>
      </c>
      <c r="V184" s="16" t="s">
        <v>225</v>
      </c>
      <c r="W184" s="17" t="s">
        <v>225</v>
      </c>
      <c r="X184" s="18" t="s">
        <v>225</v>
      </c>
      <c r="Y184" s="19" t="s">
        <v>225</v>
      </c>
      <c r="Z184" s="18" t="s">
        <v>225</v>
      </c>
    </row>
    <row r="185" spans="1:26" x14ac:dyDescent="0.25">
      <c r="A185" s="8" t="s">
        <v>225</v>
      </c>
      <c r="B185" s="5" t="s">
        <v>225</v>
      </c>
      <c r="C185" s="14" t="s">
        <v>225</v>
      </c>
      <c r="D185" s="31" t="s">
        <v>225</v>
      </c>
      <c r="E185" s="6" t="s">
        <v>225</v>
      </c>
      <c r="F185" s="6" t="s">
        <v>225</v>
      </c>
      <c r="G185" s="6" t="s">
        <v>225</v>
      </c>
      <c r="H185" s="6" t="s">
        <v>225</v>
      </c>
      <c r="I185" s="6" t="s">
        <v>225</v>
      </c>
      <c r="J185" s="6" t="s">
        <v>225</v>
      </c>
      <c r="K185" s="35" t="s">
        <v>225</v>
      </c>
      <c r="L185" s="35" t="s">
        <v>225</v>
      </c>
      <c r="M185" s="35" t="s">
        <v>225</v>
      </c>
      <c r="N185" s="33" t="s">
        <v>225</v>
      </c>
      <c r="O185" s="28" t="s">
        <v>225</v>
      </c>
      <c r="P185" s="9" t="s">
        <v>225</v>
      </c>
      <c r="Q185" s="9" t="s">
        <v>225</v>
      </c>
      <c r="R185" s="29" t="s">
        <v>225</v>
      </c>
      <c r="S185" s="15" t="s">
        <v>225</v>
      </c>
      <c r="T185" s="7" t="s">
        <v>225</v>
      </c>
      <c r="U185" s="7" t="s">
        <v>225</v>
      </c>
      <c r="V185" s="16" t="s">
        <v>225</v>
      </c>
      <c r="W185" s="17" t="s">
        <v>225</v>
      </c>
      <c r="X185" s="18" t="s">
        <v>225</v>
      </c>
      <c r="Y185" s="19" t="s">
        <v>225</v>
      </c>
      <c r="Z185" s="18" t="s">
        <v>225</v>
      </c>
    </row>
    <row r="186" spans="1:26" x14ac:dyDescent="0.25">
      <c r="A186" s="8" t="s">
        <v>225</v>
      </c>
      <c r="B186" s="5" t="s">
        <v>225</v>
      </c>
      <c r="C186" s="14" t="s">
        <v>225</v>
      </c>
      <c r="D186" s="31" t="s">
        <v>225</v>
      </c>
      <c r="E186" s="6" t="s">
        <v>225</v>
      </c>
      <c r="F186" s="6" t="s">
        <v>225</v>
      </c>
      <c r="G186" s="6" t="s">
        <v>225</v>
      </c>
      <c r="H186" s="6" t="s">
        <v>225</v>
      </c>
      <c r="I186" s="6" t="s">
        <v>225</v>
      </c>
      <c r="J186" s="6" t="s">
        <v>225</v>
      </c>
      <c r="K186" s="35" t="s">
        <v>225</v>
      </c>
      <c r="L186" s="35" t="s">
        <v>225</v>
      </c>
      <c r="M186" s="35" t="s">
        <v>225</v>
      </c>
      <c r="N186" s="33" t="s">
        <v>225</v>
      </c>
      <c r="O186" s="28" t="s">
        <v>225</v>
      </c>
      <c r="P186" s="9" t="s">
        <v>225</v>
      </c>
      <c r="Q186" s="9" t="s">
        <v>225</v>
      </c>
      <c r="R186" s="29" t="s">
        <v>225</v>
      </c>
      <c r="S186" s="15" t="s">
        <v>225</v>
      </c>
      <c r="T186" s="7" t="s">
        <v>225</v>
      </c>
      <c r="U186" s="7" t="s">
        <v>225</v>
      </c>
      <c r="V186" s="16" t="s">
        <v>225</v>
      </c>
      <c r="W186" s="17" t="s">
        <v>225</v>
      </c>
      <c r="X186" s="18" t="s">
        <v>225</v>
      </c>
      <c r="Y186" s="19" t="s">
        <v>225</v>
      </c>
      <c r="Z186" s="18" t="s">
        <v>225</v>
      </c>
    </row>
    <row r="187" spans="1:26" x14ac:dyDescent="0.25">
      <c r="A187" s="8" t="s">
        <v>225</v>
      </c>
      <c r="C187" s="14" t="s">
        <v>225</v>
      </c>
      <c r="D187" s="31" t="s">
        <v>225</v>
      </c>
      <c r="E187" s="6" t="s">
        <v>225</v>
      </c>
      <c r="F187" s="6" t="s">
        <v>225</v>
      </c>
      <c r="G187" s="6" t="s">
        <v>225</v>
      </c>
      <c r="H187" s="6" t="s">
        <v>225</v>
      </c>
      <c r="I187" s="6" t="s">
        <v>225</v>
      </c>
      <c r="J187" s="6" t="s">
        <v>225</v>
      </c>
      <c r="K187" s="35" t="s">
        <v>225</v>
      </c>
      <c r="L187" s="35" t="s">
        <v>225</v>
      </c>
      <c r="M187" s="35" t="s">
        <v>225</v>
      </c>
      <c r="N187" s="33" t="s">
        <v>225</v>
      </c>
      <c r="O187" s="28" t="s">
        <v>225</v>
      </c>
      <c r="P187" s="9" t="s">
        <v>225</v>
      </c>
      <c r="Q187" s="9" t="s">
        <v>225</v>
      </c>
      <c r="R187" s="29" t="s">
        <v>225</v>
      </c>
      <c r="S187" s="15" t="s">
        <v>225</v>
      </c>
      <c r="T187" s="7" t="s">
        <v>225</v>
      </c>
      <c r="U187" s="7" t="s">
        <v>225</v>
      </c>
      <c r="V187" s="16" t="s">
        <v>225</v>
      </c>
      <c r="W187" s="17" t="s">
        <v>225</v>
      </c>
      <c r="X187" s="18" t="s">
        <v>225</v>
      </c>
      <c r="Y187" s="19" t="s">
        <v>225</v>
      </c>
      <c r="Z187" s="18" t="s">
        <v>225</v>
      </c>
    </row>
    <row r="188" spans="1:26" x14ac:dyDescent="0.25">
      <c r="A188" s="8" t="s">
        <v>225</v>
      </c>
      <c r="C188" s="14" t="s">
        <v>225</v>
      </c>
      <c r="D188" s="31" t="s">
        <v>225</v>
      </c>
      <c r="E188" s="6" t="s">
        <v>225</v>
      </c>
      <c r="F188" s="6" t="s">
        <v>225</v>
      </c>
      <c r="G188" s="6" t="s">
        <v>225</v>
      </c>
      <c r="H188" s="6" t="s">
        <v>225</v>
      </c>
      <c r="I188" s="6" t="s">
        <v>225</v>
      </c>
      <c r="J188" s="6" t="s">
        <v>225</v>
      </c>
      <c r="K188" s="35" t="s">
        <v>225</v>
      </c>
      <c r="L188" s="35" t="s">
        <v>225</v>
      </c>
      <c r="M188" s="35" t="s">
        <v>225</v>
      </c>
      <c r="N188" s="33" t="s">
        <v>225</v>
      </c>
      <c r="O188" s="28" t="s">
        <v>225</v>
      </c>
      <c r="P188" s="9" t="s">
        <v>225</v>
      </c>
      <c r="Q188" s="9" t="s">
        <v>225</v>
      </c>
      <c r="R188" s="29" t="s">
        <v>225</v>
      </c>
      <c r="S188" s="15" t="s">
        <v>225</v>
      </c>
      <c r="T188" s="7" t="s">
        <v>225</v>
      </c>
      <c r="U188" s="7" t="s">
        <v>225</v>
      </c>
      <c r="V188" s="16" t="s">
        <v>225</v>
      </c>
      <c r="W188" s="17" t="s">
        <v>225</v>
      </c>
      <c r="X188" s="18" t="s">
        <v>225</v>
      </c>
      <c r="Y188" s="19" t="s">
        <v>225</v>
      </c>
      <c r="Z188" s="18" t="s">
        <v>225</v>
      </c>
    </row>
    <row r="189" spans="1:26" x14ac:dyDescent="0.25">
      <c r="A189" s="8" t="s">
        <v>225</v>
      </c>
      <c r="C189" s="14" t="s">
        <v>225</v>
      </c>
      <c r="D189" s="31" t="s">
        <v>225</v>
      </c>
      <c r="E189" s="6" t="s">
        <v>225</v>
      </c>
      <c r="F189" s="6" t="s">
        <v>225</v>
      </c>
      <c r="G189" s="6" t="s">
        <v>225</v>
      </c>
      <c r="H189" s="6" t="s">
        <v>225</v>
      </c>
      <c r="I189" s="6" t="s">
        <v>225</v>
      </c>
      <c r="J189" s="6" t="s">
        <v>225</v>
      </c>
      <c r="K189" s="35" t="s">
        <v>225</v>
      </c>
      <c r="L189" s="35" t="s">
        <v>225</v>
      </c>
      <c r="M189" s="35" t="s">
        <v>225</v>
      </c>
      <c r="N189" s="33" t="s">
        <v>225</v>
      </c>
      <c r="O189" s="28" t="s">
        <v>225</v>
      </c>
      <c r="P189" s="9" t="s">
        <v>225</v>
      </c>
      <c r="Q189" s="9" t="s">
        <v>225</v>
      </c>
      <c r="R189" s="29" t="s">
        <v>225</v>
      </c>
      <c r="S189" s="15" t="s">
        <v>225</v>
      </c>
      <c r="T189" s="7" t="s">
        <v>225</v>
      </c>
      <c r="U189" s="7" t="s">
        <v>225</v>
      </c>
      <c r="V189" s="16" t="s">
        <v>225</v>
      </c>
      <c r="W189" s="17" t="s">
        <v>225</v>
      </c>
      <c r="X189" s="18" t="s">
        <v>225</v>
      </c>
      <c r="Y189" s="19" t="s">
        <v>225</v>
      </c>
      <c r="Z189" s="18" t="s">
        <v>225</v>
      </c>
    </row>
    <row r="190" spans="1:26" x14ac:dyDescent="0.25">
      <c r="A190" s="8" t="s">
        <v>225</v>
      </c>
      <c r="C190" s="14" t="s">
        <v>225</v>
      </c>
      <c r="D190" s="31" t="s">
        <v>225</v>
      </c>
      <c r="E190" s="6" t="s">
        <v>225</v>
      </c>
      <c r="F190" s="6" t="s">
        <v>225</v>
      </c>
      <c r="G190" s="6" t="s">
        <v>225</v>
      </c>
      <c r="H190" s="6" t="s">
        <v>225</v>
      </c>
      <c r="I190" s="6" t="s">
        <v>225</v>
      </c>
      <c r="J190" s="6" t="s">
        <v>225</v>
      </c>
      <c r="K190" s="35" t="s">
        <v>225</v>
      </c>
      <c r="L190" s="35" t="s">
        <v>225</v>
      </c>
      <c r="M190" s="35" t="s">
        <v>225</v>
      </c>
      <c r="N190" s="33" t="s">
        <v>225</v>
      </c>
      <c r="O190" s="28" t="s">
        <v>225</v>
      </c>
      <c r="P190" s="9" t="s">
        <v>225</v>
      </c>
      <c r="Q190" s="9" t="s">
        <v>225</v>
      </c>
      <c r="R190" s="29" t="s">
        <v>225</v>
      </c>
      <c r="S190" s="15" t="s">
        <v>225</v>
      </c>
      <c r="T190" s="7" t="s">
        <v>225</v>
      </c>
      <c r="U190" s="7" t="s">
        <v>225</v>
      </c>
      <c r="V190" s="16" t="s">
        <v>225</v>
      </c>
      <c r="W190" s="17" t="s">
        <v>225</v>
      </c>
      <c r="X190" s="18" t="s">
        <v>225</v>
      </c>
      <c r="Y190" s="19" t="s">
        <v>225</v>
      </c>
      <c r="Z190" s="18" t="s">
        <v>225</v>
      </c>
    </row>
    <row r="191" spans="1:26" x14ac:dyDescent="0.25">
      <c r="A191" s="8" t="s">
        <v>225</v>
      </c>
      <c r="C191" s="14" t="s">
        <v>225</v>
      </c>
      <c r="D191" s="31" t="s">
        <v>225</v>
      </c>
      <c r="E191" s="6" t="s">
        <v>225</v>
      </c>
      <c r="F191" s="6" t="s">
        <v>225</v>
      </c>
      <c r="G191" s="6" t="s">
        <v>225</v>
      </c>
      <c r="H191" s="6" t="s">
        <v>225</v>
      </c>
      <c r="I191" s="6" t="s">
        <v>225</v>
      </c>
      <c r="J191" s="6" t="s">
        <v>225</v>
      </c>
      <c r="K191" s="35" t="s">
        <v>225</v>
      </c>
      <c r="L191" s="35" t="s">
        <v>225</v>
      </c>
      <c r="M191" s="35" t="s">
        <v>225</v>
      </c>
      <c r="N191" s="33" t="s">
        <v>225</v>
      </c>
      <c r="O191" s="28" t="s">
        <v>225</v>
      </c>
      <c r="P191" s="9" t="s">
        <v>225</v>
      </c>
      <c r="Q191" s="9" t="s">
        <v>225</v>
      </c>
      <c r="R191" s="29" t="s">
        <v>225</v>
      </c>
      <c r="S191" s="15" t="s">
        <v>225</v>
      </c>
      <c r="T191" s="7" t="s">
        <v>225</v>
      </c>
      <c r="U191" s="7" t="s">
        <v>225</v>
      </c>
      <c r="V191" s="16" t="s">
        <v>225</v>
      </c>
      <c r="W191" s="17" t="s">
        <v>225</v>
      </c>
      <c r="X191" s="18" t="s">
        <v>225</v>
      </c>
      <c r="Y191" s="19" t="s">
        <v>225</v>
      </c>
      <c r="Z191" s="18" t="s">
        <v>225</v>
      </c>
    </row>
    <row r="192" spans="1:26" x14ac:dyDescent="0.25">
      <c r="A192" s="8" t="s">
        <v>225</v>
      </c>
      <c r="C192" s="14" t="s">
        <v>225</v>
      </c>
      <c r="D192" s="31" t="s">
        <v>225</v>
      </c>
      <c r="E192" s="6" t="s">
        <v>225</v>
      </c>
      <c r="F192" s="6" t="s">
        <v>225</v>
      </c>
      <c r="G192" s="6" t="s">
        <v>225</v>
      </c>
      <c r="H192" s="6" t="s">
        <v>225</v>
      </c>
      <c r="I192" s="6" t="s">
        <v>225</v>
      </c>
      <c r="J192" s="6" t="s">
        <v>225</v>
      </c>
      <c r="K192" s="35" t="s">
        <v>225</v>
      </c>
      <c r="L192" s="35" t="s">
        <v>225</v>
      </c>
      <c r="M192" s="35" t="s">
        <v>225</v>
      </c>
      <c r="N192" s="33" t="s">
        <v>225</v>
      </c>
      <c r="O192" s="28" t="s">
        <v>225</v>
      </c>
      <c r="P192" s="9" t="s">
        <v>225</v>
      </c>
      <c r="Q192" s="9" t="s">
        <v>225</v>
      </c>
      <c r="R192" s="29" t="s">
        <v>225</v>
      </c>
      <c r="S192" s="15" t="s">
        <v>225</v>
      </c>
      <c r="T192" s="7" t="s">
        <v>225</v>
      </c>
      <c r="U192" s="7" t="s">
        <v>225</v>
      </c>
      <c r="V192" s="16" t="s">
        <v>225</v>
      </c>
      <c r="W192" s="17" t="s">
        <v>225</v>
      </c>
      <c r="X192" s="18" t="s">
        <v>225</v>
      </c>
      <c r="Y192" s="19" t="s">
        <v>225</v>
      </c>
      <c r="Z192" s="18" t="s">
        <v>225</v>
      </c>
    </row>
    <row r="193" spans="1:26" x14ac:dyDescent="0.25">
      <c r="A193" s="8" t="s">
        <v>225</v>
      </c>
      <c r="C193" s="14" t="s">
        <v>225</v>
      </c>
      <c r="D193" s="31" t="s">
        <v>225</v>
      </c>
      <c r="E193" s="6" t="s">
        <v>225</v>
      </c>
      <c r="F193" s="6" t="s">
        <v>225</v>
      </c>
      <c r="G193" s="6" t="s">
        <v>225</v>
      </c>
      <c r="H193" s="6" t="s">
        <v>225</v>
      </c>
      <c r="I193" s="6" t="s">
        <v>225</v>
      </c>
      <c r="J193" s="6" t="s">
        <v>225</v>
      </c>
      <c r="K193" s="35" t="s">
        <v>225</v>
      </c>
      <c r="L193" s="35" t="s">
        <v>225</v>
      </c>
      <c r="M193" s="35" t="s">
        <v>225</v>
      </c>
      <c r="N193" s="33" t="s">
        <v>225</v>
      </c>
      <c r="O193" s="28" t="s">
        <v>225</v>
      </c>
      <c r="P193" s="9" t="s">
        <v>225</v>
      </c>
      <c r="Q193" s="9" t="s">
        <v>225</v>
      </c>
      <c r="R193" s="29" t="s">
        <v>225</v>
      </c>
      <c r="S193" s="15" t="s">
        <v>225</v>
      </c>
      <c r="T193" s="7" t="s">
        <v>225</v>
      </c>
      <c r="U193" s="7" t="s">
        <v>225</v>
      </c>
      <c r="V193" s="16" t="s">
        <v>225</v>
      </c>
      <c r="W193" s="17" t="s">
        <v>225</v>
      </c>
      <c r="X193" s="18" t="s">
        <v>225</v>
      </c>
      <c r="Y193" s="19" t="s">
        <v>225</v>
      </c>
      <c r="Z193" s="18" t="s">
        <v>225</v>
      </c>
    </row>
    <row r="194" spans="1:26" x14ac:dyDescent="0.25">
      <c r="A194" s="8" t="s">
        <v>225</v>
      </c>
      <c r="C194" s="14" t="s">
        <v>225</v>
      </c>
      <c r="D194" s="31" t="s">
        <v>225</v>
      </c>
      <c r="E194" s="6" t="s">
        <v>225</v>
      </c>
      <c r="F194" s="6" t="s">
        <v>225</v>
      </c>
      <c r="G194" s="6" t="s">
        <v>225</v>
      </c>
      <c r="H194" s="6" t="s">
        <v>225</v>
      </c>
      <c r="I194" s="6" t="s">
        <v>225</v>
      </c>
      <c r="J194" s="6" t="s">
        <v>225</v>
      </c>
      <c r="K194" s="35" t="s">
        <v>225</v>
      </c>
      <c r="L194" s="35" t="s">
        <v>225</v>
      </c>
      <c r="M194" s="35" t="s">
        <v>225</v>
      </c>
      <c r="N194" s="33" t="s">
        <v>225</v>
      </c>
      <c r="O194" s="28" t="s">
        <v>225</v>
      </c>
      <c r="P194" s="9" t="s">
        <v>225</v>
      </c>
      <c r="Q194" s="9" t="s">
        <v>225</v>
      </c>
      <c r="R194" s="29" t="s">
        <v>225</v>
      </c>
      <c r="S194" s="15" t="s">
        <v>225</v>
      </c>
      <c r="T194" s="7" t="s">
        <v>225</v>
      </c>
      <c r="U194" s="7" t="s">
        <v>225</v>
      </c>
      <c r="V194" s="16" t="s">
        <v>225</v>
      </c>
      <c r="W194" s="17" t="s">
        <v>225</v>
      </c>
      <c r="X194" s="18" t="s">
        <v>225</v>
      </c>
      <c r="Y194" s="19" t="s">
        <v>225</v>
      </c>
      <c r="Z194" s="18" t="s">
        <v>225</v>
      </c>
    </row>
    <row r="195" spans="1:26" x14ac:dyDescent="0.25">
      <c r="A195" s="8" t="s">
        <v>225</v>
      </c>
      <c r="C195" s="14" t="s">
        <v>225</v>
      </c>
      <c r="D195" s="31" t="s">
        <v>225</v>
      </c>
      <c r="E195" s="6" t="s">
        <v>225</v>
      </c>
      <c r="F195" s="6" t="s">
        <v>225</v>
      </c>
      <c r="G195" s="6" t="s">
        <v>225</v>
      </c>
      <c r="H195" s="6" t="s">
        <v>225</v>
      </c>
      <c r="I195" s="6" t="s">
        <v>225</v>
      </c>
      <c r="J195" s="6" t="s">
        <v>225</v>
      </c>
      <c r="K195" s="35" t="s">
        <v>225</v>
      </c>
      <c r="L195" s="35" t="s">
        <v>225</v>
      </c>
      <c r="M195" s="35" t="s">
        <v>225</v>
      </c>
      <c r="N195" s="33" t="s">
        <v>225</v>
      </c>
      <c r="O195" s="28" t="s">
        <v>225</v>
      </c>
      <c r="P195" s="9" t="s">
        <v>225</v>
      </c>
      <c r="Q195" s="9" t="s">
        <v>225</v>
      </c>
      <c r="R195" s="29" t="s">
        <v>225</v>
      </c>
      <c r="S195" s="15" t="s">
        <v>225</v>
      </c>
      <c r="T195" s="7" t="s">
        <v>225</v>
      </c>
      <c r="U195" s="7" t="s">
        <v>225</v>
      </c>
      <c r="V195" s="16" t="s">
        <v>225</v>
      </c>
      <c r="W195" s="17" t="s">
        <v>225</v>
      </c>
      <c r="X195" s="18" t="s">
        <v>225</v>
      </c>
      <c r="Y195" s="19" t="s">
        <v>225</v>
      </c>
      <c r="Z195" s="18" t="s">
        <v>225</v>
      </c>
    </row>
    <row r="196" spans="1:26" x14ac:dyDescent="0.25">
      <c r="A196" s="8" t="s">
        <v>225</v>
      </c>
      <c r="C196" s="14" t="s">
        <v>225</v>
      </c>
      <c r="D196" s="31" t="s">
        <v>225</v>
      </c>
      <c r="E196" s="6" t="s">
        <v>225</v>
      </c>
      <c r="F196" s="6" t="s">
        <v>225</v>
      </c>
      <c r="G196" s="6" t="s">
        <v>225</v>
      </c>
      <c r="H196" s="6" t="s">
        <v>225</v>
      </c>
      <c r="I196" s="6" t="s">
        <v>225</v>
      </c>
      <c r="J196" s="6" t="s">
        <v>225</v>
      </c>
      <c r="K196" s="35" t="s">
        <v>225</v>
      </c>
      <c r="L196" s="35" t="s">
        <v>225</v>
      </c>
      <c r="M196" s="35" t="s">
        <v>225</v>
      </c>
      <c r="N196" s="33" t="s">
        <v>225</v>
      </c>
      <c r="O196" s="28" t="s">
        <v>225</v>
      </c>
      <c r="P196" s="9" t="s">
        <v>225</v>
      </c>
      <c r="Q196" s="9" t="s">
        <v>225</v>
      </c>
      <c r="R196" s="29" t="s">
        <v>225</v>
      </c>
      <c r="S196" s="15" t="s">
        <v>225</v>
      </c>
      <c r="T196" s="7" t="s">
        <v>225</v>
      </c>
      <c r="U196" s="7" t="s">
        <v>225</v>
      </c>
      <c r="V196" s="16" t="s">
        <v>225</v>
      </c>
      <c r="W196" s="17" t="s">
        <v>225</v>
      </c>
      <c r="X196" s="18" t="s">
        <v>225</v>
      </c>
      <c r="Y196" s="19" t="s">
        <v>225</v>
      </c>
      <c r="Z196" s="18" t="s">
        <v>225</v>
      </c>
    </row>
    <row r="197" spans="1:26" x14ac:dyDescent="0.25">
      <c r="A197" s="8" t="s">
        <v>225</v>
      </c>
      <c r="C197" s="14" t="s">
        <v>225</v>
      </c>
      <c r="D197" s="31" t="s">
        <v>225</v>
      </c>
      <c r="E197" s="6" t="s">
        <v>225</v>
      </c>
      <c r="F197" s="6" t="s">
        <v>225</v>
      </c>
      <c r="G197" s="6" t="s">
        <v>225</v>
      </c>
      <c r="H197" s="6" t="s">
        <v>225</v>
      </c>
      <c r="I197" s="6" t="s">
        <v>225</v>
      </c>
      <c r="J197" s="6" t="s">
        <v>225</v>
      </c>
      <c r="K197" s="35" t="s">
        <v>225</v>
      </c>
      <c r="L197" s="35" t="s">
        <v>225</v>
      </c>
      <c r="M197" s="35" t="s">
        <v>225</v>
      </c>
      <c r="N197" s="33" t="s">
        <v>225</v>
      </c>
      <c r="O197" s="28" t="s">
        <v>225</v>
      </c>
      <c r="P197" s="9" t="s">
        <v>225</v>
      </c>
      <c r="Q197" s="9" t="s">
        <v>225</v>
      </c>
      <c r="R197" s="29" t="s">
        <v>225</v>
      </c>
      <c r="S197" s="15" t="s">
        <v>225</v>
      </c>
      <c r="T197" s="7" t="s">
        <v>225</v>
      </c>
      <c r="U197" s="7" t="s">
        <v>225</v>
      </c>
      <c r="V197" s="16" t="s">
        <v>225</v>
      </c>
      <c r="W197" s="17" t="s">
        <v>225</v>
      </c>
      <c r="X197" s="18" t="s">
        <v>225</v>
      </c>
      <c r="Y197" s="19" t="s">
        <v>225</v>
      </c>
      <c r="Z197" s="18" t="s">
        <v>225</v>
      </c>
    </row>
    <row r="198" spans="1:26" x14ac:dyDescent="0.25">
      <c r="A198" s="8" t="s">
        <v>225</v>
      </c>
      <c r="C198" s="14" t="s">
        <v>225</v>
      </c>
      <c r="D198" s="31" t="s">
        <v>225</v>
      </c>
      <c r="E198" s="6" t="s">
        <v>225</v>
      </c>
      <c r="F198" s="6" t="s">
        <v>225</v>
      </c>
      <c r="G198" s="6" t="s">
        <v>225</v>
      </c>
      <c r="H198" s="6" t="s">
        <v>225</v>
      </c>
      <c r="I198" s="6" t="s">
        <v>225</v>
      </c>
      <c r="J198" s="6" t="s">
        <v>225</v>
      </c>
      <c r="K198" s="35" t="s">
        <v>225</v>
      </c>
      <c r="L198" s="35" t="s">
        <v>225</v>
      </c>
      <c r="M198" s="35" t="s">
        <v>225</v>
      </c>
      <c r="N198" s="33" t="s">
        <v>225</v>
      </c>
      <c r="O198" s="28" t="s">
        <v>225</v>
      </c>
      <c r="P198" s="9" t="s">
        <v>225</v>
      </c>
      <c r="Q198" s="9" t="s">
        <v>225</v>
      </c>
      <c r="R198" s="29" t="s">
        <v>225</v>
      </c>
      <c r="S198" s="15" t="s">
        <v>225</v>
      </c>
      <c r="T198" s="7" t="s">
        <v>225</v>
      </c>
      <c r="U198" s="7" t="s">
        <v>225</v>
      </c>
      <c r="V198" s="16" t="s">
        <v>225</v>
      </c>
      <c r="W198" s="17" t="s">
        <v>225</v>
      </c>
      <c r="X198" s="18" t="s">
        <v>225</v>
      </c>
      <c r="Y198" s="19" t="s">
        <v>225</v>
      </c>
      <c r="Z198" s="18" t="s">
        <v>225</v>
      </c>
    </row>
  </sheetData>
  <autoFilter ref="A4:Y18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</vt:lpstr>
      <vt:lpstr>Info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2017-07-05T08:49:18Z</cp:lastPrinted>
  <dcterms:created xsi:type="dcterms:W3CDTF">2015-05-27T08:40:01Z</dcterms:created>
  <dcterms:modified xsi:type="dcterms:W3CDTF">2017-07-24T08:23:22Z</dcterms:modified>
</cp:coreProperties>
</file>